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8_{7CC97136-6B82-4BD0-A7A4-60E75AC4F387}" xr6:coauthVersionLast="47" xr6:coauthVersionMax="47" xr10:uidLastSave="{00000000-0000-0000-0000-000000000000}"/>
  <bookViews>
    <workbookView xWindow="1536" yWindow="1536" windowWidth="17280" windowHeight="9960" xr2:uid="{00000000-000D-0000-FFFF-FFFF00000000}"/>
  </bookViews>
  <sheets>
    <sheet name="VIDEOS" sheetId="1" r:id="rId1"/>
    <sheet name="REFS" sheetId="2" state="hidden" r:id="rId2"/>
    <sheet name="INSTRUCCIONE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4" i="1" l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</calcChain>
</file>

<file path=xl/sharedStrings.xml><?xml version="1.0" encoding="utf-8"?>
<sst xmlns="http://schemas.openxmlformats.org/spreadsheetml/2006/main" count="51" uniqueCount="51">
  <si>
    <t>🎬  CASLA VOLEY — CARGA DE VIDEOS</t>
  </si>
  <si>
    <t>Completá cada fila y ejecutá la macro  ▶  GenerarVideosJS</t>
  </si>
  <si>
    <t>#</t>
  </si>
  <si>
    <t>JUGADOR</t>
  </si>
  <si>
    <t>PARTIDO</t>
  </si>
  <si>
    <t>CATEGORÍA</t>
  </si>
  <si>
    <t>TÍTULO DEL VIDEO</t>
  </si>
  <si>
    <t>URL (YouTube/Drive)</t>
  </si>
  <si>
    <t>CÓDIGO CATEGORÍA</t>
  </si>
  <si>
    <t>ESTADO</t>
  </si>
  <si>
    <t>NOTAS</t>
  </si>
  <si>
    <t>⚡ Saque</t>
  </si>
  <si>
    <t>S</t>
  </si>
  <si>
    <t>🛡️ Recepción</t>
  </si>
  <si>
    <t>R</t>
  </si>
  <si>
    <t>🎯 Armado</t>
  </si>
  <si>
    <t>AR</t>
  </si>
  <si>
    <t>💥 Ataque</t>
  </si>
  <si>
    <t>A</t>
  </si>
  <si>
    <t>🧱 Bloqueo</t>
  </si>
  <si>
    <t>B</t>
  </si>
  <si>
    <t>🔵 Defensa</t>
  </si>
  <si>
    <t>D</t>
  </si>
  <si>
    <t>📋  INSTRUCCIONES — CASLA VOLEY VIDEOS</t>
  </si>
  <si>
    <t>PASO 1 — Cargá los videos en la hoja VIDEOS</t>
  </si>
  <si>
    <t xml:space="preserve">  · Columna B: elegí el jugador de la lista desplegable</t>
  </si>
  <si>
    <t xml:space="preserve">  · Columna C: elegí el partido de la lista desplegable</t>
  </si>
  <si>
    <t xml:space="preserve">  · Columna D: elegí la categoría (Saque, Recepción, Armado, Ataque, Bloqueo, Defensa)</t>
  </si>
  <si>
    <t xml:space="preserve">  · Columna E: escribí un título descriptivo  (ej: 'Ataques set 2')</t>
  </si>
  <si>
    <t xml:space="preserve">  · Columna F: pegá el link de YouTube (ej: https://youtu.be/XXXXX)</t>
  </si>
  <si>
    <t xml:space="preserve">  · Las columnas G y H se completan solas</t>
  </si>
  <si>
    <t>PASO 2 — Subí el video a YouTube</t>
  </si>
  <si>
    <t xml:space="preserve">  · Entrás a studio.youtube.com → Subir video</t>
  </si>
  <si>
    <t xml:space="preserve">  · Visibilidad: NO LISTADO (solo quien tiene el link lo ve)</t>
  </si>
  <si>
    <t xml:space="preserve">  · Copiás el link y lo pegás en la columna F</t>
  </si>
  <si>
    <t>PASO 3 — Generá el archivo JS</t>
  </si>
  <si>
    <t xml:space="preserve">  · Apretás ALT + F8</t>
  </si>
  <si>
    <t xml:space="preserve">  · Seleccionás 'GenerarVideosJS'</t>
  </si>
  <si>
    <t xml:space="preserve">  · Ejecutar</t>
  </si>
  <si>
    <t xml:space="preserve">  · Se genera datos_videos.js en la misma carpeta que este Excel</t>
  </si>
  <si>
    <t>PASO 4 — Subí a GitHub</t>
  </si>
  <si>
    <t xml:space="preserve">  · Abrís github.com/ignacioverdi/Voley-Stats</t>
  </si>
  <si>
    <t xml:space="preserve">  · Subís datos_videos.js</t>
  </si>
  <si>
    <t xml:space="preserve">  · Vercel actualiza automático en 30 segundos</t>
  </si>
  <si>
    <t>CATEGORÍAS:</t>
  </si>
  <si>
    <t xml:space="preserve">  S  = Saque</t>
  </si>
  <si>
    <t xml:space="preserve">  R  = Recepción</t>
  </si>
  <si>
    <t xml:space="preserve">  AR = Armado</t>
  </si>
  <si>
    <t xml:space="preserve">  A  = Ataque</t>
  </si>
  <si>
    <t xml:space="preserve">  B  = Bloqueo</t>
  </si>
  <si>
    <t xml:space="preserve">  D  = Defensa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</si>
</sst>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4"/>
      <color rgb="FFE8192C"/>
      <name val="Arial"/>
    </font>
    <font>
      <i/>
      <sz val="10"/>
      <color rgb="FF475569"/>
      <name val="Arial"/>
    </font>
    <font>
      <b/>
      <sz val="10"/>
      <color rgb="FFFFFFFF"/>
      <name val="Arial"/>
    </font>
    <font>
      <sz val="9"/>
      <color rgb="FF475569"/>
      <name val="Arial"/>
    </font>
    <font>
      <sz val="10"/>
      <color rgb="FFE2E8F0"/>
      <name val="Arial"/>
    </font>
    <font>
      <i/>
      <sz val="10"/>
      <color rgb="FF22C55E"/>
      <name val="Arial"/>
    </font>
    <font>
      <sz val="10"/>
      <color rgb="FF22C55E"/>
      <name val="Arial"/>
    </font>
    <font>
      <b/>
      <sz val="13"/>
      <color rgb="FFE8192C"/>
      <name val="Arial"/>
    </font>
    <font>
      <sz val="10"/>
      <color rgb="FF475569"/>
      <name val="Arial"/>
    </font>
    <font>
      <b/>
      <sz val="11"/>
      <color rgb="FF818CF8"/>
      <name val="Arial"/>
    </font>
  </fonts>
  <fills count="5">
    <fill>
      <patternFill patternType="none"/>
    </fill>
    <fill>
      <patternFill patternType="gray125"/>
    </fill>
    <fill>
      <patternFill patternType="solid">
        <fgColor rgb="FF0D0E1A"/>
      </patternFill>
    </fill>
    <fill>
      <patternFill patternType="solid">
        <fgColor rgb="FF07080F"/>
      </patternFill>
    </fill>
    <fill>
      <patternFill patternType="solid">
        <fgColor rgb="FF0A0B18"/>
      </patternFill>
    </fill>
  </fills>
  <borders count="2">
    <border>
      <left/>
      <right/>
      <top/>
      <bottom/>
      <diagonal/>
    </border>
    <border>
      <left style="thin">
        <color rgb="FF1E2235"/>
      </left>
      <right style="thin">
        <color rgb="FF1E2235"/>
      </right>
      <top style="thin">
        <color rgb="FF1E2235"/>
      </top>
      <bottom style="thin">
        <color rgb="FF1E2235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 indent="1"/>
    </xf>
    <xf numFmtId="0" fontId="10" fillId="3" borderId="0" xfId="0" applyFont="1" applyFill="1" applyAlignment="1">
      <alignment vertical="center" indent="1"/>
    </xf>
    <xf numFmtId="0" fontId="5" fillId="3" borderId="0" xfId="0" applyFont="1" applyFill="1" applyAlignment="1">
      <alignment vertical="center" indent="1"/>
    </xf>
    <xf numFmtId="0" fontId="7" fillId="3" borderId="0" xfId="0" applyFont="1" applyFill="1" applyAlignment="1">
      <alignment vertical="center" indent="1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2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 indent="2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4"/>
  <sheetViews>
    <sheetView tabSelected="1" workbookViewId="0">
      <selection sqref="A1:I1"/>
    </sheetView>
  </sheetViews>
  <sheetFormatPr baseColWidth="10" defaultColWidth="8.88671875" defaultRowHeight="14.4" x14ac:dyDescent="0.3"/>
  <cols>
    <col min="1" max="1" width="6" customWidth="1"/>
    <col min="2" max="2" width="18" customWidth="1"/>
    <col min="3" max="3" width="26" customWidth="1"/>
    <col min="4" max="4" width="24" customWidth="1"/>
    <col min="5" max="5" width="36" customWidth="1"/>
    <col min="6" max="6" width="52" customWidth="1"/>
    <col min="7" max="7" width="18" customWidth="1"/>
    <col min="8" max="8" width="14" customWidth="1"/>
    <col min="9" max="9" width="24" customWidth="1"/>
  </cols>
  <sheetData>
    <row r="1" spans="1:9" ht="36" customHeight="1" x14ac:dyDescent="0.3">
      <c r="A1" s="14" t="s">
        <v>0</v>
      </c>
      <c r="B1" s="15"/>
      <c r="C1" s="15"/>
      <c r="D1" s="15"/>
      <c r="E1" s="15"/>
      <c r="F1" s="15"/>
      <c r="G1" s="15"/>
      <c r="H1" s="15"/>
      <c r="I1" s="15"/>
    </row>
    <row r="2" spans="1:9" ht="22.05" customHeight="1" x14ac:dyDescent="0.3">
      <c r="A2" s="16" t="s">
        <v>1</v>
      </c>
      <c r="B2" s="15"/>
      <c r="C2" s="15"/>
      <c r="D2" s="15"/>
      <c r="E2" s="15"/>
      <c r="F2" s="15"/>
      <c r="G2" s="15"/>
      <c r="H2" s="15"/>
      <c r="I2" s="15"/>
    </row>
    <row r="3" spans="1:9" ht="7.95" customHeight="1" x14ac:dyDescent="0.3"/>
    <row r="4" spans="1:9" ht="24" customHeight="1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1" t="s">
        <v>10</v>
      </c>
    </row>
    <row r="5" spans="1:9" ht="19.95" customHeight="1" x14ac:dyDescent="0.3">
      <c r="A5" s="2">
        <v>1</v>
      </c>
      <c r="B5" s="3"/>
      <c r="C5" s="3"/>
      <c r="D5" s="3"/>
      <c r="E5" s="3"/>
      <c r="F5" s="3"/>
      <c r="G5" s="4" t="str">
        <f>IFERROR(VLOOKUP(D5,REFS!A:B,2,0),"")</f>
        <v/>
      </c>
      <c r="H5" s="5" t="str">
        <f t="shared" ref="H5:H36" si="0">IF(F5="","","✅ Listo")</f>
        <v/>
      </c>
      <c r="I5" s="3"/>
    </row>
    <row r="6" spans="1:9" ht="19.95" customHeight="1" x14ac:dyDescent="0.3">
      <c r="A6" s="6">
        <v>2</v>
      </c>
      <c r="B6" s="7"/>
      <c r="C6" s="7"/>
      <c r="D6" s="7"/>
      <c r="E6" s="7"/>
      <c r="F6" s="7"/>
      <c r="G6" s="8" t="str">
        <f>IFERROR(VLOOKUP(D6,REFS!A:B,2,0),"")</f>
        <v/>
      </c>
      <c r="H6" s="9" t="str">
        <f t="shared" si="0"/>
        <v/>
      </c>
      <c r="I6" s="7"/>
    </row>
    <row r="7" spans="1:9" ht="19.95" customHeight="1" x14ac:dyDescent="0.3">
      <c r="A7" s="2">
        <v>3</v>
      </c>
      <c r="B7" s="3"/>
      <c r="C7" s="3"/>
      <c r="D7" s="3"/>
      <c r="E7" s="3"/>
      <c r="F7" s="3"/>
      <c r="G7" s="4" t="str">
        <f>IFERROR(VLOOKUP(D7,REFS!A:B,2,0),"")</f>
        <v/>
      </c>
      <c r="H7" s="5" t="str">
        <f t="shared" si="0"/>
        <v/>
      </c>
      <c r="I7" s="3"/>
    </row>
    <row r="8" spans="1:9" ht="19.95" customHeight="1" x14ac:dyDescent="0.3">
      <c r="A8" s="6">
        <v>4</v>
      </c>
      <c r="B8" s="7"/>
      <c r="C8" s="7"/>
      <c r="D8" s="7"/>
      <c r="E8" s="7"/>
      <c r="F8" s="7"/>
      <c r="G8" s="8" t="str">
        <f>IFERROR(VLOOKUP(D8,REFS!A:B,2,0),"")</f>
        <v/>
      </c>
      <c r="H8" s="9" t="str">
        <f t="shared" si="0"/>
        <v/>
      </c>
      <c r="I8" s="7"/>
    </row>
    <row r="9" spans="1:9" ht="19.95" customHeight="1" x14ac:dyDescent="0.3">
      <c r="A9" s="2">
        <v>5</v>
      </c>
      <c r="B9" s="3"/>
      <c r="C9" s="3"/>
      <c r="D9" s="3"/>
      <c r="E9" s="3"/>
      <c r="F9" s="3"/>
      <c r="G9" s="4" t="str">
        <f>IFERROR(VLOOKUP(D9,REFS!A:B,2,0),"")</f>
        <v/>
      </c>
      <c r="H9" s="5" t="str">
        <f t="shared" si="0"/>
        <v/>
      </c>
      <c r="I9" s="3"/>
    </row>
    <row r="10" spans="1:9" ht="19.95" customHeight="1" x14ac:dyDescent="0.3">
      <c r="A10" s="6">
        <v>6</v>
      </c>
      <c r="B10" s="7"/>
      <c r="C10" s="7"/>
      <c r="D10" s="7"/>
      <c r="E10" s="7"/>
      <c r="F10" s="7"/>
      <c r="G10" s="8" t="str">
        <f>IFERROR(VLOOKUP(D10,REFS!A:B,2,0),"")</f>
        <v/>
      </c>
      <c r="H10" s="9" t="str">
        <f t="shared" si="0"/>
        <v/>
      </c>
      <c r="I10" s="7"/>
    </row>
    <row r="11" spans="1:9" ht="19.95" customHeight="1" x14ac:dyDescent="0.3">
      <c r="A11" s="2">
        <v>7</v>
      </c>
      <c r="B11" s="3"/>
      <c r="C11" s="3"/>
      <c r="D11" s="3"/>
      <c r="E11" s="3"/>
      <c r="F11" s="3"/>
      <c r="G11" s="4" t="str">
        <f>IFERROR(VLOOKUP(D11,REFS!A:B,2,0),"")</f>
        <v/>
      </c>
      <c r="H11" s="5" t="str">
        <f t="shared" si="0"/>
        <v/>
      </c>
      <c r="I11" s="3"/>
    </row>
    <row r="12" spans="1:9" ht="19.95" customHeight="1" x14ac:dyDescent="0.3">
      <c r="A12" s="6">
        <v>8</v>
      </c>
      <c r="B12" s="7"/>
      <c r="C12" s="7"/>
      <c r="D12" s="7"/>
      <c r="E12" s="7"/>
      <c r="F12" s="7"/>
      <c r="G12" s="8" t="str">
        <f>IFERROR(VLOOKUP(D12,REFS!A:B,2,0),"")</f>
        <v/>
      </c>
      <c r="H12" s="9" t="str">
        <f t="shared" si="0"/>
        <v/>
      </c>
      <c r="I12" s="7"/>
    </row>
    <row r="13" spans="1:9" ht="19.95" customHeight="1" x14ac:dyDescent="0.3">
      <c r="A13" s="2">
        <v>9</v>
      </c>
      <c r="B13" s="3"/>
      <c r="C13" s="3"/>
      <c r="D13" s="3"/>
      <c r="E13" s="3"/>
      <c r="F13" s="3"/>
      <c r="G13" s="4" t="str">
        <f>IFERROR(VLOOKUP(D13,REFS!A:B,2,0),"")</f>
        <v/>
      </c>
      <c r="H13" s="5" t="str">
        <f t="shared" si="0"/>
        <v/>
      </c>
      <c r="I13" s="3"/>
    </row>
    <row r="14" spans="1:9" ht="19.95" customHeight="1" x14ac:dyDescent="0.3">
      <c r="A14" s="6">
        <v>10</v>
      </c>
      <c r="B14" s="7"/>
      <c r="C14" s="7"/>
      <c r="D14" s="7"/>
      <c r="E14" s="7"/>
      <c r="F14" s="7"/>
      <c r="G14" s="8" t="str">
        <f>IFERROR(VLOOKUP(D14,REFS!A:B,2,0),"")</f>
        <v/>
      </c>
      <c r="H14" s="9" t="str">
        <f t="shared" si="0"/>
        <v/>
      </c>
      <c r="I14" s="7"/>
    </row>
    <row r="15" spans="1:9" ht="19.95" customHeight="1" x14ac:dyDescent="0.3">
      <c r="A15" s="2">
        <v>11</v>
      </c>
      <c r="B15" s="3"/>
      <c r="C15" s="3"/>
      <c r="D15" s="3"/>
      <c r="E15" s="3"/>
      <c r="F15" s="3"/>
      <c r="G15" s="4" t="str">
        <f>IFERROR(VLOOKUP(D15,REFS!A:B,2,0),"")</f>
        <v/>
      </c>
      <c r="H15" s="5" t="str">
        <f t="shared" si="0"/>
        <v/>
      </c>
      <c r="I15" s="3"/>
    </row>
    <row r="16" spans="1:9" ht="19.95" customHeight="1" x14ac:dyDescent="0.3">
      <c r="A16" s="6">
        <v>12</v>
      </c>
      <c r="B16" s="7"/>
      <c r="C16" s="7"/>
      <c r="D16" s="7"/>
      <c r="E16" s="7"/>
      <c r="F16" s="7"/>
      <c r="G16" s="8" t="str">
        <f>IFERROR(VLOOKUP(D16,REFS!A:B,2,0),"")</f>
        <v/>
      </c>
      <c r="H16" s="9" t="str">
        <f t="shared" si="0"/>
        <v/>
      </c>
      <c r="I16" s="7"/>
    </row>
    <row r="17" spans="1:9" ht="19.95" customHeight="1" x14ac:dyDescent="0.3">
      <c r="A17" s="2">
        <v>13</v>
      </c>
      <c r="B17" s="3"/>
      <c r="C17" s="3"/>
      <c r="D17" s="3"/>
      <c r="E17" s="3"/>
      <c r="F17" s="3"/>
      <c r="G17" s="4" t="str">
        <f>IFERROR(VLOOKUP(D17,REFS!A:B,2,0),"")</f>
        <v/>
      </c>
      <c r="H17" s="5" t="str">
        <f t="shared" si="0"/>
        <v/>
      </c>
      <c r="I17" s="3"/>
    </row>
    <row r="18" spans="1:9" ht="19.95" customHeight="1" x14ac:dyDescent="0.3">
      <c r="A18" s="6">
        <v>14</v>
      </c>
      <c r="B18" s="7"/>
      <c r="C18" s="7"/>
      <c r="D18" s="7"/>
      <c r="E18" s="7"/>
      <c r="F18" s="7"/>
      <c r="G18" s="8" t="str">
        <f>IFERROR(VLOOKUP(D18,REFS!A:B,2,0),"")</f>
        <v/>
      </c>
      <c r="H18" s="9" t="str">
        <f t="shared" si="0"/>
        <v/>
      </c>
      <c r="I18" s="7"/>
    </row>
    <row r="19" spans="1:9" ht="19.95" customHeight="1" x14ac:dyDescent="0.3">
      <c r="A19" s="2">
        <v>15</v>
      </c>
      <c r="B19" s="3"/>
      <c r="C19" s="3"/>
      <c r="D19" s="3"/>
      <c r="E19" s="3"/>
      <c r="F19" s="3"/>
      <c r="G19" s="4" t="str">
        <f>IFERROR(VLOOKUP(D19,REFS!A:B,2,0),"")</f>
        <v/>
      </c>
      <c r="H19" s="5" t="str">
        <f t="shared" si="0"/>
        <v/>
      </c>
      <c r="I19" s="3"/>
    </row>
    <row r="20" spans="1:9" ht="19.95" customHeight="1" x14ac:dyDescent="0.3">
      <c r="A20" s="6">
        <v>16</v>
      </c>
      <c r="B20" s="7"/>
      <c r="C20" s="7"/>
      <c r="D20" s="7"/>
      <c r="E20" s="7"/>
      <c r="F20" s="7"/>
      <c r="G20" s="8" t="str">
        <f>IFERROR(VLOOKUP(D20,REFS!A:B,2,0),"")</f>
        <v/>
      </c>
      <c r="H20" s="9" t="str">
        <f t="shared" si="0"/>
        <v/>
      </c>
      <c r="I20" s="7"/>
    </row>
    <row r="21" spans="1:9" ht="19.95" customHeight="1" x14ac:dyDescent="0.3">
      <c r="A21" s="2">
        <v>17</v>
      </c>
      <c r="B21" s="3"/>
      <c r="C21" s="3"/>
      <c r="D21" s="3"/>
      <c r="E21" s="3"/>
      <c r="F21" s="3"/>
      <c r="G21" s="4" t="str">
        <f>IFERROR(VLOOKUP(D21,REFS!A:B,2,0),"")</f>
        <v/>
      </c>
      <c r="H21" s="5" t="str">
        <f t="shared" si="0"/>
        <v/>
      </c>
      <c r="I21" s="3"/>
    </row>
    <row r="22" spans="1:9" ht="19.95" customHeight="1" x14ac:dyDescent="0.3">
      <c r="A22" s="6">
        <v>18</v>
      </c>
      <c r="B22" s="7"/>
      <c r="C22" s="7"/>
      <c r="D22" s="7"/>
      <c r="E22" s="7"/>
      <c r="F22" s="7"/>
      <c r="G22" s="8" t="str">
        <f>IFERROR(VLOOKUP(D22,REFS!A:B,2,0),"")</f>
        <v/>
      </c>
      <c r="H22" s="9" t="str">
        <f t="shared" si="0"/>
        <v/>
      </c>
      <c r="I22" s="7"/>
    </row>
    <row r="23" spans="1:9" ht="19.95" customHeight="1" x14ac:dyDescent="0.3">
      <c r="A23" s="2">
        <v>19</v>
      </c>
      <c r="B23" s="3"/>
      <c r="C23" s="3"/>
      <c r="D23" s="3"/>
      <c r="E23" s="3"/>
      <c r="F23" s="3"/>
      <c r="G23" s="4" t="str">
        <f>IFERROR(VLOOKUP(D23,REFS!A:B,2,0),"")</f>
        <v/>
      </c>
      <c r="H23" s="5" t="str">
        <f t="shared" si="0"/>
        <v/>
      </c>
      <c r="I23" s="3"/>
    </row>
    <row r="24" spans="1:9" ht="19.95" customHeight="1" x14ac:dyDescent="0.3">
      <c r="A24" s="6">
        <v>20</v>
      </c>
      <c r="B24" s="7"/>
      <c r="C24" s="7"/>
      <c r="D24" s="7"/>
      <c r="E24" s="7"/>
      <c r="F24" s="7"/>
      <c r="G24" s="8" t="str">
        <f>IFERROR(VLOOKUP(D24,REFS!A:B,2,0),"")</f>
        <v/>
      </c>
      <c r="H24" s="9" t="str">
        <f t="shared" si="0"/>
        <v/>
      </c>
      <c r="I24" s="7"/>
    </row>
    <row r="25" spans="1:9" ht="19.95" customHeight="1" x14ac:dyDescent="0.3">
      <c r="A25" s="2">
        <v>21</v>
      </c>
      <c r="B25" s="3"/>
      <c r="C25" s="3"/>
      <c r="D25" s="3"/>
      <c r="E25" s="3"/>
      <c r="F25" s="3"/>
      <c r="G25" s="4" t="str">
        <f>IFERROR(VLOOKUP(D25,REFS!A:B,2,0),"")</f>
        <v/>
      </c>
      <c r="H25" s="5" t="str">
        <f t="shared" si="0"/>
        <v/>
      </c>
      <c r="I25" s="3"/>
    </row>
    <row r="26" spans="1:9" ht="19.95" customHeight="1" x14ac:dyDescent="0.3">
      <c r="A26" s="6">
        <v>22</v>
      </c>
      <c r="B26" s="7"/>
      <c r="C26" s="7"/>
      <c r="D26" s="7"/>
      <c r="E26" s="7"/>
      <c r="F26" s="7"/>
      <c r="G26" s="8" t="str">
        <f>IFERROR(VLOOKUP(D26,REFS!A:B,2,0),"")</f>
        <v/>
      </c>
      <c r="H26" s="9" t="str">
        <f t="shared" si="0"/>
        <v/>
      </c>
      <c r="I26" s="7"/>
    </row>
    <row r="27" spans="1:9" ht="19.95" customHeight="1" x14ac:dyDescent="0.3">
      <c r="A27" s="2">
        <v>23</v>
      </c>
      <c r="B27" s="3"/>
      <c r="C27" s="3"/>
      <c r="D27" s="3"/>
      <c r="E27" s="3"/>
      <c r="F27" s="3"/>
      <c r="G27" s="4" t="str">
        <f>IFERROR(VLOOKUP(D27,REFS!A:B,2,0),"")</f>
        <v/>
      </c>
      <c r="H27" s="5" t="str">
        <f t="shared" si="0"/>
        <v/>
      </c>
      <c r="I27" s="3"/>
    </row>
    <row r="28" spans="1:9" ht="19.95" customHeight="1" x14ac:dyDescent="0.3">
      <c r="A28" s="6">
        <v>24</v>
      </c>
      <c r="B28" s="7"/>
      <c r="C28" s="7"/>
      <c r="D28" s="7"/>
      <c r="E28" s="7"/>
      <c r="F28" s="7"/>
      <c r="G28" s="8" t="str">
        <f>IFERROR(VLOOKUP(D28,REFS!A:B,2,0),"")</f>
        <v/>
      </c>
      <c r="H28" s="9" t="str">
        <f t="shared" si="0"/>
        <v/>
      </c>
      <c r="I28" s="7"/>
    </row>
    <row r="29" spans="1:9" ht="19.95" customHeight="1" x14ac:dyDescent="0.3">
      <c r="A29" s="2">
        <v>25</v>
      </c>
      <c r="B29" s="3"/>
      <c r="C29" s="3"/>
      <c r="D29" s="3"/>
      <c r="E29" s="3"/>
      <c r="F29" s="3"/>
      <c r="G29" s="4" t="str">
        <f>IFERROR(VLOOKUP(D29,REFS!A:B,2,0),"")</f>
        <v/>
      </c>
      <c r="H29" s="5" t="str">
        <f t="shared" si="0"/>
        <v/>
      </c>
      <c r="I29" s="3"/>
    </row>
    <row r="30" spans="1:9" ht="19.95" customHeight="1" x14ac:dyDescent="0.3">
      <c r="A30" s="6">
        <v>26</v>
      </c>
      <c r="B30" s="7"/>
      <c r="C30" s="7"/>
      <c r="D30" s="7"/>
      <c r="E30" s="7"/>
      <c r="F30" s="7"/>
      <c r="G30" s="8" t="str">
        <f>IFERROR(VLOOKUP(D30,REFS!A:B,2,0),"")</f>
        <v/>
      </c>
      <c r="H30" s="9" t="str">
        <f t="shared" si="0"/>
        <v/>
      </c>
      <c r="I30" s="7"/>
    </row>
    <row r="31" spans="1:9" ht="19.95" customHeight="1" x14ac:dyDescent="0.3">
      <c r="A31" s="2">
        <v>27</v>
      </c>
      <c r="B31" s="3"/>
      <c r="C31" s="3"/>
      <c r="D31" s="3"/>
      <c r="E31" s="3"/>
      <c r="F31" s="3"/>
      <c r="G31" s="4" t="str">
        <f>IFERROR(VLOOKUP(D31,REFS!A:B,2,0),"")</f>
        <v/>
      </c>
      <c r="H31" s="5" t="str">
        <f t="shared" si="0"/>
        <v/>
      </c>
      <c r="I31" s="3"/>
    </row>
    <row r="32" spans="1:9" ht="19.95" customHeight="1" x14ac:dyDescent="0.3">
      <c r="A32" s="6">
        <v>28</v>
      </c>
      <c r="B32" s="7"/>
      <c r="C32" s="7"/>
      <c r="D32" s="7"/>
      <c r="E32" s="7"/>
      <c r="F32" s="7"/>
      <c r="G32" s="8" t="str">
        <f>IFERROR(VLOOKUP(D32,REFS!A:B,2,0),"")</f>
        <v/>
      </c>
      <c r="H32" s="9" t="str">
        <f t="shared" si="0"/>
        <v/>
      </c>
      <c r="I32" s="7"/>
    </row>
    <row r="33" spans="1:9" ht="19.95" customHeight="1" x14ac:dyDescent="0.3">
      <c r="A33" s="2">
        <v>29</v>
      </c>
      <c r="B33" s="3"/>
      <c r="C33" s="3"/>
      <c r="D33" s="3"/>
      <c r="E33" s="3"/>
      <c r="F33" s="3"/>
      <c r="G33" s="4" t="str">
        <f>IFERROR(VLOOKUP(D33,REFS!A:B,2,0),"")</f>
        <v/>
      </c>
      <c r="H33" s="5" t="str">
        <f t="shared" si="0"/>
        <v/>
      </c>
      <c r="I33" s="3"/>
    </row>
    <row r="34" spans="1:9" ht="19.95" customHeight="1" x14ac:dyDescent="0.3">
      <c r="A34" s="6">
        <v>30</v>
      </c>
      <c r="B34" s="7"/>
      <c r="C34" s="7"/>
      <c r="D34" s="7"/>
      <c r="E34" s="7"/>
      <c r="F34" s="7"/>
      <c r="G34" s="8" t="str">
        <f>IFERROR(VLOOKUP(D34,REFS!A:B,2,0),"")</f>
        <v/>
      </c>
      <c r="H34" s="9" t="str">
        <f t="shared" si="0"/>
        <v/>
      </c>
      <c r="I34" s="7"/>
    </row>
    <row r="35" spans="1:9" ht="19.95" customHeight="1" x14ac:dyDescent="0.3">
      <c r="A35" s="2">
        <v>31</v>
      </c>
      <c r="B35" s="3"/>
      <c r="C35" s="3"/>
      <c r="D35" s="3"/>
      <c r="E35" s="3"/>
      <c r="F35" s="3"/>
      <c r="G35" s="4" t="str">
        <f>IFERROR(VLOOKUP(D35,REFS!A:B,2,0),"")</f>
        <v/>
      </c>
      <c r="H35" s="5" t="str">
        <f t="shared" si="0"/>
        <v/>
      </c>
      <c r="I35" s="3"/>
    </row>
    <row r="36" spans="1:9" ht="19.95" customHeight="1" x14ac:dyDescent="0.3">
      <c r="A36" s="6">
        <v>32</v>
      </c>
      <c r="B36" s="7"/>
      <c r="C36" s="7"/>
      <c r="D36" s="7"/>
      <c r="E36" s="7"/>
      <c r="F36" s="7"/>
      <c r="G36" s="8" t="str">
        <f>IFERROR(VLOOKUP(D36,REFS!A:B,2,0),"")</f>
        <v/>
      </c>
      <c r="H36" s="9" t="str">
        <f t="shared" si="0"/>
        <v/>
      </c>
      <c r="I36" s="7"/>
    </row>
    <row r="37" spans="1:9" ht="19.95" customHeight="1" x14ac:dyDescent="0.3">
      <c r="A37" s="2">
        <v>33</v>
      </c>
      <c r="B37" s="3"/>
      <c r="C37" s="3"/>
      <c r="D37" s="3"/>
      <c r="E37" s="3"/>
      <c r="F37" s="3"/>
      <c r="G37" s="4" t="str">
        <f>IFERROR(VLOOKUP(D37,REFS!A:B,2,0),"")</f>
        <v/>
      </c>
      <c r="H37" s="5" t="str">
        <f t="shared" ref="H37:H54" si="1">IF(F37="","","✅ Listo")</f>
        <v/>
      </c>
      <c r="I37" s="3"/>
    </row>
    <row r="38" spans="1:9" ht="19.95" customHeight="1" x14ac:dyDescent="0.3">
      <c r="A38" s="6">
        <v>34</v>
      </c>
      <c r="B38" s="7"/>
      <c r="C38" s="7"/>
      <c r="D38" s="7"/>
      <c r="E38" s="7"/>
      <c r="F38" s="7"/>
      <c r="G38" s="8" t="str">
        <f>IFERROR(VLOOKUP(D38,REFS!A:B,2,0),"")</f>
        <v/>
      </c>
      <c r="H38" s="9" t="str">
        <f t="shared" si="1"/>
        <v/>
      </c>
      <c r="I38" s="7"/>
    </row>
    <row r="39" spans="1:9" ht="19.95" customHeight="1" x14ac:dyDescent="0.3">
      <c r="A39" s="2">
        <v>35</v>
      </c>
      <c r="B39" s="3"/>
      <c r="C39" s="3"/>
      <c r="D39" s="3"/>
      <c r="E39" s="3"/>
      <c r="F39" s="3"/>
      <c r="G39" s="4" t="str">
        <f>IFERROR(VLOOKUP(D39,REFS!A:B,2,0),"")</f>
        <v/>
      </c>
      <c r="H39" s="5" t="str">
        <f t="shared" si="1"/>
        <v/>
      </c>
      <c r="I39" s="3"/>
    </row>
    <row r="40" spans="1:9" ht="19.95" customHeight="1" x14ac:dyDescent="0.3">
      <c r="A40" s="6">
        <v>36</v>
      </c>
      <c r="B40" s="7"/>
      <c r="C40" s="7"/>
      <c r="D40" s="7"/>
      <c r="E40" s="7"/>
      <c r="F40" s="7"/>
      <c r="G40" s="8" t="str">
        <f>IFERROR(VLOOKUP(D40,REFS!A:B,2,0),"")</f>
        <v/>
      </c>
      <c r="H40" s="9" t="str">
        <f t="shared" si="1"/>
        <v/>
      </c>
      <c r="I40" s="7"/>
    </row>
    <row r="41" spans="1:9" ht="19.95" customHeight="1" x14ac:dyDescent="0.3">
      <c r="A41" s="2">
        <v>37</v>
      </c>
      <c r="B41" s="3"/>
      <c r="C41" s="3"/>
      <c r="D41" s="3"/>
      <c r="E41" s="3"/>
      <c r="F41" s="3"/>
      <c r="G41" s="4" t="str">
        <f>IFERROR(VLOOKUP(D41,REFS!A:B,2,0),"")</f>
        <v/>
      </c>
      <c r="H41" s="5" t="str">
        <f t="shared" si="1"/>
        <v/>
      </c>
      <c r="I41" s="3"/>
    </row>
    <row r="42" spans="1:9" ht="19.95" customHeight="1" x14ac:dyDescent="0.3">
      <c r="A42" s="6">
        <v>38</v>
      </c>
      <c r="B42" s="7"/>
      <c r="C42" s="7"/>
      <c r="D42" s="7"/>
      <c r="E42" s="7"/>
      <c r="F42" s="7"/>
      <c r="G42" s="8" t="str">
        <f>IFERROR(VLOOKUP(D42,REFS!A:B,2,0),"")</f>
        <v/>
      </c>
      <c r="H42" s="9" t="str">
        <f t="shared" si="1"/>
        <v/>
      </c>
      <c r="I42" s="7"/>
    </row>
    <row r="43" spans="1:9" ht="19.95" customHeight="1" x14ac:dyDescent="0.3">
      <c r="A43" s="2">
        <v>39</v>
      </c>
      <c r="B43" s="3"/>
      <c r="C43" s="3"/>
      <c r="D43" s="3"/>
      <c r="E43" s="3"/>
      <c r="F43" s="3"/>
      <c r="G43" s="4" t="str">
        <f>IFERROR(VLOOKUP(D43,REFS!A:B,2,0),"")</f>
        <v/>
      </c>
      <c r="H43" s="5" t="str">
        <f t="shared" si="1"/>
        <v/>
      </c>
      <c r="I43" s="3"/>
    </row>
    <row r="44" spans="1:9" ht="19.95" customHeight="1" x14ac:dyDescent="0.3">
      <c r="A44" s="6">
        <v>40</v>
      </c>
      <c r="B44" s="7"/>
      <c r="C44" s="7"/>
      <c r="D44" s="7"/>
      <c r="E44" s="7"/>
      <c r="F44" s="7"/>
      <c r="G44" s="8" t="str">
        <f>IFERROR(VLOOKUP(D44,REFS!A:B,2,0),"")</f>
        <v/>
      </c>
      <c r="H44" s="9" t="str">
        <f t="shared" si="1"/>
        <v/>
      </c>
      <c r="I44" s="7"/>
    </row>
    <row r="45" spans="1:9" ht="19.95" customHeight="1" x14ac:dyDescent="0.3">
      <c r="A45" s="2">
        <v>41</v>
      </c>
      <c r="B45" s="3"/>
      <c r="C45" s="3"/>
      <c r="D45" s="3"/>
      <c r="E45" s="3"/>
      <c r="F45" s="3"/>
      <c r="G45" s="4" t="str">
        <f>IFERROR(VLOOKUP(D45,REFS!A:B,2,0),"")</f>
        <v/>
      </c>
      <c r="H45" s="5" t="str">
        <f t="shared" si="1"/>
        <v/>
      </c>
      <c r="I45" s="3"/>
    </row>
    <row r="46" spans="1:9" ht="19.95" customHeight="1" x14ac:dyDescent="0.3">
      <c r="A46" s="6">
        <v>42</v>
      </c>
      <c r="B46" s="7"/>
      <c r="C46" s="7"/>
      <c r="D46" s="7"/>
      <c r="E46" s="7"/>
      <c r="F46" s="7"/>
      <c r="G46" s="8" t="str">
        <f>IFERROR(VLOOKUP(D46,REFS!A:B,2,0),"")</f>
        <v/>
      </c>
      <c r="H46" s="9" t="str">
        <f t="shared" si="1"/>
        <v/>
      </c>
      <c r="I46" s="7"/>
    </row>
    <row r="47" spans="1:9" ht="19.95" customHeight="1" x14ac:dyDescent="0.3">
      <c r="A47" s="2">
        <v>43</v>
      </c>
      <c r="B47" s="3"/>
      <c r="C47" s="3"/>
      <c r="D47" s="3"/>
      <c r="E47" s="3"/>
      <c r="F47" s="3"/>
      <c r="G47" s="4" t="str">
        <f>IFERROR(VLOOKUP(D47,REFS!A:B,2,0),"")</f>
        <v/>
      </c>
      <c r="H47" s="5" t="str">
        <f t="shared" si="1"/>
        <v/>
      </c>
      <c r="I47" s="3"/>
    </row>
    <row r="48" spans="1:9" ht="19.95" customHeight="1" x14ac:dyDescent="0.3">
      <c r="A48" s="6">
        <v>44</v>
      </c>
      <c r="B48" s="7"/>
      <c r="C48" s="7"/>
      <c r="D48" s="7"/>
      <c r="E48" s="7"/>
      <c r="F48" s="7"/>
      <c r="G48" s="8" t="str">
        <f>IFERROR(VLOOKUP(D48,REFS!A:B,2,0),"")</f>
        <v/>
      </c>
      <c r="H48" s="9" t="str">
        <f t="shared" si="1"/>
        <v/>
      </c>
      <c r="I48" s="7"/>
    </row>
    <row r="49" spans="1:9" ht="19.95" customHeight="1" x14ac:dyDescent="0.3">
      <c r="A49" s="2">
        <v>45</v>
      </c>
      <c r="B49" s="3"/>
      <c r="C49" s="3"/>
      <c r="D49" s="3"/>
      <c r="E49" s="3"/>
      <c r="F49" s="3"/>
      <c r="G49" s="4" t="str">
        <f>IFERROR(VLOOKUP(D49,REFS!A:B,2,0),"")</f>
        <v/>
      </c>
      <c r="H49" s="5" t="str">
        <f t="shared" si="1"/>
        <v/>
      </c>
      <c r="I49" s="3"/>
    </row>
    <row r="50" spans="1:9" ht="19.95" customHeight="1" x14ac:dyDescent="0.3">
      <c r="A50" s="6">
        <v>46</v>
      </c>
      <c r="B50" s="7"/>
      <c r="C50" s="7"/>
      <c r="D50" s="7"/>
      <c r="E50" s="7"/>
      <c r="F50" s="7"/>
      <c r="G50" s="8" t="str">
        <f>IFERROR(VLOOKUP(D50,REFS!A:B,2,0),"")</f>
        <v/>
      </c>
      <c r="H50" s="9" t="str">
        <f t="shared" si="1"/>
        <v/>
      </c>
      <c r="I50" s="7"/>
    </row>
    <row r="51" spans="1:9" ht="19.95" customHeight="1" x14ac:dyDescent="0.3">
      <c r="A51" s="2">
        <v>47</v>
      </c>
      <c r="B51" s="3"/>
      <c r="C51" s="3"/>
      <c r="D51" s="3"/>
      <c r="E51" s="3"/>
      <c r="F51" s="3"/>
      <c r="G51" s="4" t="str">
        <f>IFERROR(VLOOKUP(D51,REFS!A:B,2,0),"")</f>
        <v/>
      </c>
      <c r="H51" s="5" t="str">
        <f t="shared" si="1"/>
        <v/>
      </c>
      <c r="I51" s="3"/>
    </row>
    <row r="52" spans="1:9" ht="19.95" customHeight="1" x14ac:dyDescent="0.3">
      <c r="A52" s="6">
        <v>48</v>
      </c>
      <c r="B52" s="7"/>
      <c r="C52" s="7"/>
      <c r="D52" s="7"/>
      <c r="E52" s="7"/>
      <c r="F52" s="7"/>
      <c r="G52" s="8" t="str">
        <f>IFERROR(VLOOKUP(D52,REFS!A:B,2,0),"")</f>
        <v/>
      </c>
      <c r="H52" s="9" t="str">
        <f t="shared" si="1"/>
        <v/>
      </c>
      <c r="I52" s="7"/>
    </row>
    <row r="53" spans="1:9" ht="19.95" customHeight="1" x14ac:dyDescent="0.3">
      <c r="A53" s="2">
        <v>49</v>
      </c>
      <c r="B53" s="3"/>
      <c r="C53" s="3"/>
      <c r="D53" s="3"/>
      <c r="E53" s="3"/>
      <c r="F53" s="3"/>
      <c r="G53" s="4" t="str">
        <f>IFERROR(VLOOKUP(D53,REFS!A:B,2,0),"")</f>
        <v/>
      </c>
      <c r="H53" s="5" t="str">
        <f t="shared" si="1"/>
        <v/>
      </c>
      <c r="I53" s="3"/>
    </row>
    <row r="54" spans="1:9" ht="19.95" customHeight="1" x14ac:dyDescent="0.3">
      <c r="A54" s="6">
        <v>50</v>
      </c>
      <c r="B54" s="7"/>
      <c r="C54" s="7"/>
      <c r="D54" s="7"/>
      <c r="E54" s="7"/>
      <c r="F54" s="7"/>
      <c r="G54" s="8" t="str">
        <f>IFERROR(VLOOKUP(D54,REFS!A:B,2,0),"")</f>
        <v/>
      </c>
      <c r="H54" s="9" t="str">
        <f t="shared" si="1"/>
        <v/>
      </c>
      <c r="I54" s="7"/>
    </row>
  </sheetData>
  <mergeCells count="2">
    <mergeCell ref="A1:I1"/>
    <mergeCell ref="A2:I2"/>
  </mergeCells>
  <dataValidations count="3">
    <dataValidation type="list" allowBlank="1" errorTitle="Jugador inválido" error="Elegí un jugador de la lista" sqref="B5:B54" xr:uid="{00000000-0002-0000-0000-000000000000}">
      <formula1>"2-OJUEZ,3-WINER,4-VAZQUEZ,5-RAMOS,6-VILLARRUEL,9-GODOY,10-VIERA,11-DURDOS,12-ZANOTTI,13-ROJAS CARUSO,14-NIELSON,15-ROTEZZI,17-HERBSOMMER,18-ACOSTA,19-DIAZ BOLLI,20-FREDDIE"</formula1>
    </dataValidation>
    <dataValidation type="list" allowBlank="1" sqref="C5:C54" xr:uid="{00000000-0002-0000-0000-000001000000}">
      <formula1>"01/05/2026 vs UNTREF,05/05/2026 vs Ciudad Voley,08/05/2026 vs Ferro,16/05/2026 vs Hacoaj,22/05/2026 vs Vélez"</formula1>
    </dataValidation>
    <dataValidation type="list" allowBlank="1" sqref="D5:D54" xr:uid="{00000000-0002-0000-0000-000002000000}">
      <formula1>"⚡ Saque,🛡️ Recepción,🎯 Armado,💥 Ataque,🧱 Bloqueo,🔵 Defensa"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6"/>
  <sheetViews>
    <sheetView workbookViewId="0"/>
  </sheetViews>
  <sheetFormatPr baseColWidth="10" defaultColWidth="8.88671875" defaultRowHeight="14.4" x14ac:dyDescent="0.3"/>
  <sheetData>
    <row r="1" spans="1:2" x14ac:dyDescent="0.3">
      <c r="A1" t="s">
        <v>11</v>
      </c>
      <c r="B1" t="s">
        <v>12</v>
      </c>
    </row>
    <row r="2" spans="1:2" x14ac:dyDescent="0.3">
      <c r="A2" t="s">
        <v>13</v>
      </c>
      <c r="B2" t="s">
        <v>14</v>
      </c>
    </row>
    <row r="3" spans="1:2" x14ac:dyDescent="0.3">
      <c r="A3" t="s">
        <v>15</v>
      </c>
      <c r="B3" t="s">
        <v>16</v>
      </c>
    </row>
    <row r="4" spans="1:2" x14ac:dyDescent="0.3">
      <c r="A4" t="s">
        <v>17</v>
      </c>
      <c r="B4" t="s">
        <v>18</v>
      </c>
    </row>
    <row r="5" spans="1:2" x14ac:dyDescent="0.3">
      <c r="A5" t="s">
        <v>19</v>
      </c>
      <c r="B5" t="s">
        <v>20</v>
      </c>
    </row>
    <row r="6" spans="1:2" x14ac:dyDescent="0.3">
      <c r="A6" t="s">
        <v>21</v>
      </c>
      <c r="B6" t="s">
        <v>22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33"/>
  <sheetViews>
    <sheetView workbookViewId="0"/>
  </sheetViews>
  <sheetFormatPr baseColWidth="10" defaultColWidth="8.88671875" defaultRowHeight="14.4" x14ac:dyDescent="0.3"/>
  <cols>
    <col min="1" max="1" width="70" customWidth="1"/>
  </cols>
  <sheetData>
    <row r="1" spans="1:1" ht="40.049999999999997" customHeight="1" x14ac:dyDescent="0.3">
      <c r="A1" s="17" t="s">
        <v>23</v>
      </c>
    </row>
    <row r="2" spans="1:1" ht="18" customHeight="1" x14ac:dyDescent="0.3">
      <c r="A2" s="10"/>
    </row>
    <row r="3" spans="1:1" ht="18" customHeight="1" x14ac:dyDescent="0.3">
      <c r="A3" s="11" t="s">
        <v>24</v>
      </c>
    </row>
    <row r="4" spans="1:1" ht="18" customHeight="1" x14ac:dyDescent="0.3">
      <c r="A4" s="12" t="s">
        <v>25</v>
      </c>
    </row>
    <row r="5" spans="1:1" ht="18" customHeight="1" x14ac:dyDescent="0.3">
      <c r="A5" s="12" t="s">
        <v>26</v>
      </c>
    </row>
    <row r="6" spans="1:1" ht="18" customHeight="1" x14ac:dyDescent="0.3">
      <c r="A6" s="12" t="s">
        <v>27</v>
      </c>
    </row>
    <row r="7" spans="1:1" ht="18" customHeight="1" x14ac:dyDescent="0.3">
      <c r="A7" s="12" t="s">
        <v>28</v>
      </c>
    </row>
    <row r="8" spans="1:1" ht="18" customHeight="1" x14ac:dyDescent="0.3">
      <c r="A8" s="12" t="s">
        <v>29</v>
      </c>
    </row>
    <row r="9" spans="1:1" ht="18" customHeight="1" x14ac:dyDescent="0.3">
      <c r="A9" s="12" t="s">
        <v>30</v>
      </c>
    </row>
    <row r="10" spans="1:1" ht="18" customHeight="1" x14ac:dyDescent="0.3">
      <c r="A10" s="10"/>
    </row>
    <row r="11" spans="1:1" ht="18" customHeight="1" x14ac:dyDescent="0.3">
      <c r="A11" s="11" t="s">
        <v>31</v>
      </c>
    </row>
    <row r="12" spans="1:1" ht="18" customHeight="1" x14ac:dyDescent="0.3">
      <c r="A12" s="12" t="s">
        <v>32</v>
      </c>
    </row>
    <row r="13" spans="1:1" ht="18" customHeight="1" x14ac:dyDescent="0.3">
      <c r="A13" s="12" t="s">
        <v>33</v>
      </c>
    </row>
    <row r="14" spans="1:1" ht="18" customHeight="1" x14ac:dyDescent="0.3">
      <c r="A14" s="12" t="s">
        <v>34</v>
      </c>
    </row>
    <row r="15" spans="1:1" ht="18" customHeight="1" x14ac:dyDescent="0.3">
      <c r="A15" s="10"/>
    </row>
    <row r="16" spans="1:1" ht="18" customHeight="1" x14ac:dyDescent="0.3">
      <c r="A16" s="11" t="s">
        <v>35</v>
      </c>
    </row>
    <row r="17" spans="1:1" ht="18" customHeight="1" x14ac:dyDescent="0.3">
      <c r="A17" s="12" t="s">
        <v>36</v>
      </c>
    </row>
    <row r="18" spans="1:1" ht="18" customHeight="1" x14ac:dyDescent="0.3">
      <c r="A18" s="12" t="s">
        <v>37</v>
      </c>
    </row>
    <row r="19" spans="1:1" ht="18" customHeight="1" x14ac:dyDescent="0.3">
      <c r="A19" s="12" t="s">
        <v>38</v>
      </c>
    </row>
    <row r="20" spans="1:1" ht="18" customHeight="1" x14ac:dyDescent="0.3">
      <c r="A20" s="12" t="s">
        <v>39</v>
      </c>
    </row>
    <row r="21" spans="1:1" ht="18" customHeight="1" x14ac:dyDescent="0.3">
      <c r="A21" s="10"/>
    </row>
    <row r="22" spans="1:1" ht="18" customHeight="1" x14ac:dyDescent="0.3">
      <c r="A22" s="11" t="s">
        <v>40</v>
      </c>
    </row>
    <row r="23" spans="1:1" ht="18" customHeight="1" x14ac:dyDescent="0.3">
      <c r="A23" s="12" t="s">
        <v>41</v>
      </c>
    </row>
    <row r="24" spans="1:1" ht="18" customHeight="1" x14ac:dyDescent="0.3">
      <c r="A24" s="12" t="s">
        <v>42</v>
      </c>
    </row>
    <row r="25" spans="1:1" ht="18" customHeight="1" x14ac:dyDescent="0.3">
      <c r="A25" s="12" t="s">
        <v>43</v>
      </c>
    </row>
    <row r="26" spans="1:1" ht="18" customHeight="1" x14ac:dyDescent="0.3">
      <c r="A26" s="10"/>
    </row>
    <row r="27" spans="1:1" ht="18" customHeight="1" x14ac:dyDescent="0.3">
      <c r="A27" s="11" t="s">
        <v>44</v>
      </c>
    </row>
    <row r="28" spans="1:1" ht="18" customHeight="1" x14ac:dyDescent="0.3">
      <c r="A28" s="13" t="s">
        <v>45</v>
      </c>
    </row>
    <row r="29" spans="1:1" ht="18" customHeight="1" x14ac:dyDescent="0.3">
      <c r="A29" s="13" t="s">
        <v>46</v>
      </c>
    </row>
    <row r="30" spans="1:1" ht="18" customHeight="1" x14ac:dyDescent="0.3">
      <c r="A30" s="13" t="s">
        <v>47</v>
      </c>
    </row>
    <row r="31" spans="1:1" ht="18" customHeight="1" x14ac:dyDescent="0.3">
      <c r="A31" s="13" t="s">
        <v>48</v>
      </c>
    </row>
    <row r="32" spans="1:1" ht="18" customHeight="1" x14ac:dyDescent="0.3">
      <c r="A32" s="13" t="s">
        <v>49</v>
      </c>
    </row>
    <row r="33" spans="1:1" ht="18" customHeight="1" x14ac:dyDescent="0.3">
      <c r="A33" s="13" t="s">
        <v>50</v>
      </c>
    </row>
  </sheetData>
  <mergeCells count="1">
    <mergeCell ref="A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VIDEOS</vt:lpstr>
      <vt:lpstr>REFS</vt:lpstr>
      <vt:lpstr>INSTRUCCIONES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2026-05-25T12:59:51Z</dcterms:created>
  <dcterms:modified xsi:type="dcterms:W3CDTF">2026-05-25T14:27:22Z</dcterms:modified>
</cp:coreProperties>
</file>