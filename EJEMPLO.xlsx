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7412EBFE-C857-4873-8EF9-B1A6762B76EF}" xr6:coauthVersionLast="47" xr6:coauthVersionMax="47" xr10:uidLastSave="{00000000-0000-0000-0000-000000000000}"/>
  <bookViews>
    <workbookView xWindow="-108" yWindow="-108" windowWidth="23256" windowHeight="13896" xr2:uid="{9953B910-9D09-4456-85B1-6732D360C33D}"/>
  </bookViews>
  <sheets>
    <sheet name="CASLA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79" i="1" l="1"/>
  <c r="U79" i="1"/>
  <c r="S79" i="1"/>
  <c r="Q79" i="1"/>
  <c r="J79" i="1"/>
  <c r="H79" i="1"/>
  <c r="F79" i="1"/>
  <c r="D79" i="1"/>
  <c r="W78" i="1"/>
  <c r="U78" i="1"/>
  <c r="S78" i="1"/>
  <c r="Q78" i="1"/>
  <c r="J78" i="1"/>
  <c r="H78" i="1"/>
  <c r="F78" i="1"/>
  <c r="D78" i="1"/>
  <c r="W77" i="1"/>
  <c r="U77" i="1"/>
  <c r="S77" i="1"/>
  <c r="Q77" i="1"/>
  <c r="J77" i="1"/>
  <c r="H77" i="1"/>
  <c r="F77" i="1"/>
  <c r="D77" i="1"/>
  <c r="W76" i="1"/>
  <c r="U76" i="1"/>
  <c r="S76" i="1"/>
  <c r="Q76" i="1"/>
  <c r="J76" i="1"/>
  <c r="H76" i="1"/>
  <c r="F76" i="1"/>
  <c r="D76" i="1"/>
  <c r="W75" i="1"/>
  <c r="U75" i="1"/>
  <c r="S75" i="1"/>
  <c r="Q75" i="1"/>
  <c r="J75" i="1"/>
  <c r="H75" i="1"/>
  <c r="F75" i="1"/>
  <c r="D75" i="1"/>
  <c r="W74" i="1"/>
  <c r="U74" i="1"/>
  <c r="S74" i="1"/>
  <c r="Q74" i="1"/>
  <c r="J74" i="1"/>
  <c r="H74" i="1"/>
  <c r="F74" i="1"/>
  <c r="D74" i="1"/>
  <c r="W73" i="1"/>
  <c r="U73" i="1"/>
  <c r="S73" i="1"/>
  <c r="Q73" i="1"/>
  <c r="J73" i="1"/>
  <c r="H73" i="1"/>
  <c r="F73" i="1"/>
  <c r="D73" i="1"/>
  <c r="W72" i="1"/>
  <c r="U72" i="1"/>
  <c r="S72" i="1"/>
  <c r="Q72" i="1"/>
  <c r="J72" i="1"/>
  <c r="H72" i="1"/>
  <c r="F72" i="1"/>
  <c r="D72" i="1"/>
  <c r="W71" i="1"/>
  <c r="U71" i="1"/>
  <c r="S71" i="1"/>
  <c r="Q71" i="1"/>
  <c r="J71" i="1"/>
  <c r="H71" i="1"/>
  <c r="F71" i="1"/>
  <c r="D71" i="1"/>
  <c r="W70" i="1"/>
  <c r="U70" i="1"/>
  <c r="S70" i="1"/>
  <c r="Q70" i="1"/>
  <c r="J70" i="1"/>
  <c r="H70" i="1"/>
  <c r="F70" i="1"/>
  <c r="D70" i="1"/>
  <c r="W69" i="1"/>
  <c r="U69" i="1"/>
  <c r="S69" i="1"/>
  <c r="Q69" i="1"/>
  <c r="J69" i="1"/>
  <c r="H69" i="1"/>
  <c r="F69" i="1"/>
  <c r="D69" i="1"/>
  <c r="W68" i="1"/>
  <c r="U68" i="1"/>
  <c r="S68" i="1"/>
  <c r="Q68" i="1"/>
  <c r="J68" i="1"/>
  <c r="H68" i="1"/>
  <c r="F68" i="1"/>
  <c r="D68" i="1"/>
</calcChain>
</file>

<file path=xl/sharedStrings.xml><?xml version="1.0" encoding="utf-8"?>
<sst xmlns="http://schemas.openxmlformats.org/spreadsheetml/2006/main" count="1434" uniqueCount="141">
  <si>
    <t>CASLA VOLEY  ·  Datos Propios  ·  Pegá los rangos del Data Volley en las secciones indicadas</t>
  </si>
  <si>
    <t>⬇  ATAQUES  —  Pegar A4:BH17 del Data Volley de CASLA</t>
  </si>
  <si>
    <t>📋  INFORMACIÓN TÁCTICA  —  Completar manualmente</t>
  </si>
  <si>
    <t>#</t>
  </si>
  <si>
    <t>JUGADOR</t>
  </si>
  <si>
    <t>POSICIÓN</t>
  </si>
  <si>
    <t>BLOQUEO / SISTEMA</t>
  </si>
  <si>
    <t>DEFENSA</t>
  </si>
  <si>
    <t>ROT 6</t>
  </si>
  <si>
    <t>ROT 5</t>
  </si>
  <si>
    <t>ROT 1</t>
  </si>
  <si>
    <t>NOTA TÁCTICA</t>
  </si>
  <si>
    <t>URL VIDEO</t>
  </si>
  <si>
    <t>5 Ramos I.</t>
  </si>
  <si>
    <t>ZONA</t>
  </si>
  <si>
    <t>ZONA1</t>
  </si>
  <si>
    <t>ZONA9</t>
  </si>
  <si>
    <t>ZONA 2</t>
  </si>
  <si>
    <t>ZONA6</t>
  </si>
  <si>
    <t>ZONA8</t>
  </si>
  <si>
    <t>ZONA5</t>
  </si>
  <si>
    <t>ZONA7</t>
  </si>
  <si>
    <t>ZONA4</t>
  </si>
  <si>
    <t>BLOCK OUT</t>
  </si>
  <si>
    <t>TOTALES</t>
  </si>
  <si>
    <t>18 Acosta W.</t>
  </si>
  <si>
    <t>15 Rotezzi R.</t>
  </si>
  <si>
    <t>2 Ojuez A.</t>
  </si>
  <si>
    <t>17 Herbsommer L.</t>
  </si>
  <si>
    <t>OPUESTO</t>
  </si>
  <si>
    <t>X5</t>
  </si>
  <si>
    <t>X1</t>
  </si>
  <si>
    <t>V5</t>
  </si>
  <si>
    <t>X7</t>
  </si>
  <si>
    <t>PUNTA</t>
  </si>
  <si>
    <t>X6</t>
  </si>
  <si>
    <t>XM</t>
  </si>
  <si>
    <t>CENTRAL</t>
  </si>
  <si>
    <t>V6</t>
  </si>
  <si>
    <t>----</t>
  </si>
  <si>
    <t>X2</t>
  </si>
  <si>
    <t>X8</t>
  </si>
  <si>
    <t>V8</t>
  </si>
  <si>
    <t>ARMADOR</t>
  </si>
  <si>
    <t>OUTSIDE HITTERS</t>
  </si>
  <si>
    <t>14 Nielson R.</t>
  </si>
  <si>
    <t>11 Durdos V.</t>
  </si>
  <si>
    <t>6 Villarruel J.</t>
  </si>
  <si>
    <t>13 Rojas Caruso M.</t>
  </si>
  <si>
    <t>21???</t>
  </si>
  <si>
    <t>XP</t>
  </si>
  <si>
    <t>🚀  GENERAR datos_gameplan.js  →  Alt+F8 → GenerarGamePlanJS</t>
  </si>
  <si>
    <t>⬇  SAQUES  —  Pegar A21:BB33 del Data Volley</t>
  </si>
  <si>
    <t>Z1</t>
  </si>
  <si>
    <t>9 Godoy M.</t>
  </si>
  <si>
    <t>Z6</t>
  </si>
  <si>
    <t>Z5</t>
  </si>
  <si>
    <t>4 Vazquez E.</t>
  </si>
  <si>
    <t>10 Viera M.</t>
  </si>
  <si>
    <t>⬇  STATS  —  Pegar A36:AW64 del Data Volley de CASLA</t>
  </si>
  <si>
    <t>SM</t>
  </si>
  <si>
    <t>EFF%</t>
  </si>
  <si>
    <t>TOT</t>
  </si>
  <si>
    <t>+</t>
  </si>
  <si>
    <t>/</t>
  </si>
  <si>
    <t>=</t>
  </si>
  <si>
    <t>#%</t>
  </si>
  <si>
    <t>BLOCK</t>
  </si>
  <si>
    <t>+%</t>
  </si>
  <si>
    <t>Club Atlético San L</t>
  </si>
  <si>
    <t>19 Diaz Bolli S.</t>
  </si>
  <si>
    <t>SQ</t>
  </si>
  <si>
    <t>TRAN</t>
  </si>
  <si>
    <t>ATQ SO</t>
  </si>
  <si>
    <t>📋  DATOS DEL ARMADOR — Pegar datos del Data Volley de CASLA</t>
  </si>
  <si>
    <t>📋  ARMADOR SUPLENTE — Misma estructura</t>
  </si>
  <si>
    <t>#P4</t>
  </si>
  <si>
    <t>%P4</t>
  </si>
  <si>
    <t>#P3</t>
  </si>
  <si>
    <t>%P3</t>
  </si>
  <si>
    <t>#P2</t>
  </si>
  <si>
    <t>%P2</t>
  </si>
  <si>
    <t>#P6</t>
  </si>
  <si>
    <t>%P6</t>
  </si>
  <si>
    <t>P1</t>
  </si>
  <si>
    <t>/ %=</t>
  </si>
  <si>
    <t>SO</t>
  </si>
  <si>
    <t>P6</t>
  </si>
  <si>
    <t>REC #</t>
  </si>
  <si>
    <t>REC +</t>
  </si>
  <si>
    <t>P5</t>
  </si>
  <si>
    <t>REC !</t>
  </si>
  <si>
    <t>P4</t>
  </si>
  <si>
    <t>REC -</t>
  </si>
  <si>
    <t>P3</t>
  </si>
  <si>
    <t>TRANS</t>
  </si>
  <si>
    <t>P2</t>
  </si>
  <si>
    <t>SD</t>
  </si>
  <si>
    <t>TR</t>
  </si>
  <si>
    <t>SIDE OUT</t>
  </si>
  <si>
    <t>TRANSITION</t>
  </si>
  <si>
    <t>SERVE</t>
  </si>
  <si>
    <t>EFF</t>
  </si>
  <si>
    <t>12 Zanotti J.</t>
  </si>
  <si>
    <t>SM TO 1</t>
  </si>
  <si>
    <t>3 Romeo Winer A.</t>
  </si>
  <si>
    <t>SM TO 6</t>
  </si>
  <si>
    <t>SM TO 5</t>
  </si>
  <si>
    <t>SQ TO 1</t>
  </si>
  <si>
    <t>SQ TO 6</t>
  </si>
  <si>
    <t>SQ TO 5</t>
  </si>
  <si>
    <t>TOTAL SM</t>
  </si>
  <si>
    <t>TOTAL RM</t>
  </si>
  <si>
    <t>TOTAL SQ</t>
  </si>
  <si>
    <t>TOTAL RQ</t>
  </si>
  <si>
    <t>FLOAT</t>
  </si>
  <si>
    <t>SM FROM POS 1</t>
  </si>
  <si>
    <t>SM FROM POS 1 TO POS 1</t>
  </si>
  <si>
    <t>SM FROM POS 1 TO POS 6</t>
  </si>
  <si>
    <t>SM FROM POS 1 TO POS 5</t>
  </si>
  <si>
    <t>SM FROM POS 6</t>
  </si>
  <si>
    <t>SM FROM POS 6 TO POS 1</t>
  </si>
  <si>
    <t>SM FROM POS 6 TO POS 6</t>
  </si>
  <si>
    <t>SM FROM POS 6 TO POS 5</t>
  </si>
  <si>
    <t>SM FROM POS 5</t>
  </si>
  <si>
    <t>SM FROM POS 5 TO POS 1</t>
  </si>
  <si>
    <t>SM FROM POS 5 TO POS 6</t>
  </si>
  <si>
    <t>SM FROM POS 5 TO POS 5</t>
  </si>
  <si>
    <t>SPIN</t>
  </si>
  <si>
    <t>SQ FROM POS 1</t>
  </si>
  <si>
    <t>SQ FROM POS 1 TO POS 1</t>
  </si>
  <si>
    <t>SQ FROM POS 1 TO POS 6</t>
  </si>
  <si>
    <t>SQ FROM POS 1 TO POS 5</t>
  </si>
  <si>
    <t>SQ FROM POS 6</t>
  </si>
  <si>
    <t>SQ FROM POS 6 TO POS 1</t>
  </si>
  <si>
    <t>SQ FROM POS 6 TO POS 6</t>
  </si>
  <si>
    <t>SQ FROM POS 6 TO POS 5</t>
  </si>
  <si>
    <t>SQ FROM POS 5</t>
  </si>
  <si>
    <t>SQ FROM POS 5 TO POS 1</t>
  </si>
  <si>
    <t>SQ FROM POS 5 TO POS 6</t>
  </si>
  <si>
    <t>SQ FROM POS 5 TO POS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</si>
</sst>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"/>
    <numFmt numFmtId="165" formatCode="0.00;\-0.00"/>
    <numFmt numFmtId="166" formatCode="0%;\-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E2E8F0"/>
      <name val="Arial"/>
      <family val="2"/>
    </font>
    <font>
      <i/>
      <sz val="9"/>
      <color rgb="FF818CF8"/>
      <name val="Arial"/>
      <family val="2"/>
    </font>
    <font>
      <b/>
      <sz val="12"/>
      <color rgb="FFFFFFFF"/>
      <name val="Calibri"/>
      <family val="2"/>
    </font>
    <font>
      <b/>
      <sz val="10"/>
      <color rgb="FFF59E0B"/>
      <name val="Calibri"/>
      <family val="2"/>
    </font>
    <font>
      <sz val="8"/>
      <color rgb="FF000000"/>
      <name val="Segoe UI"/>
      <family val="2"/>
    </font>
    <font>
      <sz val="8"/>
      <color rgb="FFFFFFFF"/>
      <name val="Segoe UI"/>
      <family val="2"/>
    </font>
    <font>
      <b/>
      <sz val="8"/>
      <color rgb="FFFFFFFF"/>
      <name val="Segoe UI"/>
      <family val="2"/>
    </font>
    <font>
      <b/>
      <sz val="12"/>
      <color rgb="FF818CF8"/>
      <name val="Calibri"/>
      <family val="2"/>
    </font>
    <font>
      <b/>
      <sz val="11"/>
      <color rgb="FFE2E8F0"/>
      <name val="Calibri"/>
      <family val="2"/>
    </font>
    <font>
      <b/>
      <sz val="11"/>
      <color rgb="FF818CF8"/>
      <name val="Calibri"/>
      <family val="2"/>
    </font>
    <font>
      <sz val="11"/>
      <color rgb="FFCBD5E1"/>
      <name val="Calibri"/>
      <family val="2"/>
    </font>
    <font>
      <sz val="10"/>
      <color rgb="FF818CF8"/>
      <name val="Calibri"/>
      <family val="2"/>
    </font>
    <font>
      <sz val="1"/>
      <color rgb="FF000000"/>
      <name val="Segoe UI"/>
      <family val="2"/>
    </font>
    <font>
      <b/>
      <sz val="12"/>
      <color rgb="FF22C55E"/>
      <name val="Calibri"/>
      <family val="2"/>
    </font>
    <font>
      <b/>
      <sz val="11"/>
      <color rgb="FF22C55E"/>
      <name val="Calibri"/>
      <family val="2"/>
    </font>
    <font>
      <b/>
      <sz val="12"/>
      <color rgb="FFF97316"/>
      <name val="Calibri"/>
      <family val="2"/>
    </font>
    <font>
      <b/>
      <sz val="11"/>
      <color rgb="FFF97316"/>
      <name val="Calibri"/>
      <family val="2"/>
    </font>
    <font>
      <b/>
      <sz val="12"/>
      <color rgb="FFF59E0B"/>
      <name val="Calibri"/>
      <family val="2"/>
    </font>
    <font>
      <b/>
      <sz val="11"/>
      <color rgb="FFF59E0B"/>
      <name val="Calibri"/>
      <family val="2"/>
    </font>
    <font>
      <b/>
      <sz val="13"/>
      <color rgb="FFFFFFFF"/>
      <name val="Calibri"/>
      <family val="2"/>
    </font>
    <font>
      <b/>
      <sz val="13"/>
      <color rgb="FF818CF8"/>
      <name val="Calibri"/>
      <family val="2"/>
    </font>
    <font>
      <sz val="10"/>
      <color rgb="FF94A3B8"/>
      <name val="Calibri"/>
      <family val="2"/>
    </font>
    <font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rgb="FF22C55E"/>
      <name val="Calibri"/>
      <family val="2"/>
    </font>
    <font>
      <b/>
      <sz val="8"/>
      <color rgb="FF000000"/>
      <name val="Segoe UI"/>
      <family val="2"/>
    </font>
    <font>
      <b/>
      <sz val="8"/>
      <color rgb="FF0000A0"/>
      <name val="Segoe UI"/>
      <family val="2"/>
    </font>
  </fonts>
  <fills count="17">
    <fill>
      <patternFill patternType="none"/>
    </fill>
    <fill>
      <patternFill patternType="gray125"/>
    </fill>
    <fill>
      <patternFill patternType="solid">
        <fgColor rgb="FF1A2F5E"/>
      </patternFill>
    </fill>
    <fill>
      <patternFill patternType="solid">
        <fgColor rgb="FF091209"/>
      </patternFill>
    </fill>
    <fill>
      <patternFill patternType="solid">
        <fgColor rgb="FFE8192C"/>
      </patternFill>
    </fill>
    <fill>
      <patternFill patternType="solid">
        <fgColor rgb="FF111220"/>
      </patternFill>
    </fill>
    <fill>
      <patternFill patternType="solid">
        <fgColor rgb="FF0080C0"/>
        <bgColor indexed="64"/>
      </patternFill>
    </fill>
    <fill>
      <patternFill patternType="solid">
        <fgColor rgb="FF0A0B18"/>
      </patternFill>
    </fill>
    <fill>
      <patternFill patternType="solid">
        <fgColor rgb="FFFFFFFF"/>
        <bgColor indexed="64"/>
      </patternFill>
    </fill>
    <fill>
      <patternFill patternType="solid">
        <fgColor rgb="FF120E00"/>
      </patternFill>
    </fill>
    <fill>
      <patternFill patternType="solid">
        <fgColor rgb="FF0A0A18"/>
      </patternFill>
    </fill>
    <fill>
      <patternFill patternType="solid">
        <fgColor rgb="FF0A0A1E"/>
      </patternFill>
    </fill>
    <fill>
      <patternFill patternType="solid">
        <fgColor rgb="FF0D0E1A"/>
      </patternFill>
    </fill>
    <fill>
      <patternFill patternType="solid">
        <fgColor rgb="FF090A14"/>
      </patternFill>
    </fill>
    <fill>
      <patternFill patternType="solid">
        <fgColor rgb="FFFFFF8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0C0C0"/>
        <bgColor indexed="64"/>
      </patternFill>
    </fill>
  </fills>
  <borders count="37">
    <border>
      <left/>
      <right/>
      <top/>
      <bottom/>
      <diagonal/>
    </border>
    <border>
      <left style="thin">
        <color rgb="FF1E2030"/>
      </left>
      <right style="thin">
        <color rgb="FF1E2030"/>
      </right>
      <top style="thin">
        <color rgb="FF1E2030"/>
      </top>
      <bottom style="thin">
        <color rgb="FF1E203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E2030"/>
      </left>
      <right style="thin">
        <color rgb="FF1E2030"/>
      </right>
      <top style="thin">
        <color rgb="FF1E2030"/>
      </top>
      <bottom/>
      <diagonal/>
    </border>
    <border>
      <left/>
      <right/>
      <top style="thin">
        <color rgb="FF1E2030"/>
      </top>
      <bottom/>
      <diagonal/>
    </border>
    <border>
      <left/>
      <right style="thin">
        <color rgb="FF1E2030"/>
      </right>
      <top style="thin">
        <color rgb="FF1E2030"/>
      </top>
      <bottom/>
      <diagonal/>
    </border>
    <border>
      <left style="thin">
        <color rgb="FF1E203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rgb="FF1E2030"/>
      </right>
      <top style="thin">
        <color theme="0"/>
      </top>
      <bottom style="thin">
        <color rgb="FF1E2030"/>
      </bottom>
      <diagonal/>
    </border>
    <border>
      <left style="thin">
        <color rgb="FF1E2030"/>
      </left>
      <right style="thin">
        <color theme="0"/>
      </right>
      <top style="thin">
        <color theme="0"/>
      </top>
      <bottom style="thin">
        <color rgb="FF1E2030"/>
      </bottom>
      <diagonal/>
    </border>
    <border>
      <left/>
      <right style="thin">
        <color rgb="FF1E2030"/>
      </right>
      <top style="thin">
        <color theme="0"/>
      </top>
      <bottom style="thin">
        <color rgb="FF1E2030"/>
      </bottom>
      <diagonal/>
    </border>
    <border>
      <left style="thin">
        <color theme="0"/>
      </left>
      <right style="thin">
        <color rgb="FF1E2030"/>
      </right>
      <top style="thin">
        <color rgb="FF1E2030"/>
      </top>
      <bottom style="thin">
        <color theme="0"/>
      </bottom>
      <diagonal/>
    </border>
    <border>
      <left style="thin">
        <color rgb="FF1E2030"/>
      </left>
      <right style="thin">
        <color theme="0"/>
      </right>
      <top style="thin">
        <color rgb="FF1E2030"/>
      </top>
      <bottom style="thin">
        <color theme="0"/>
      </bottom>
      <diagonal/>
    </border>
    <border>
      <left/>
      <right style="thin">
        <color rgb="FF1E2030"/>
      </right>
      <top style="thin">
        <color rgb="FF1E2030"/>
      </top>
      <bottom style="thin">
        <color theme="0"/>
      </bottom>
      <diagonal/>
    </border>
    <border>
      <left style="thin">
        <color theme="0"/>
      </left>
      <right style="thin">
        <color theme="1"/>
      </right>
      <top style="thin">
        <color theme="0"/>
      </top>
      <bottom style="thin">
        <color rgb="FF1E2030"/>
      </bottom>
      <diagonal/>
    </border>
    <border>
      <left/>
      <right style="thin">
        <color theme="0"/>
      </right>
      <top style="thin">
        <color theme="0"/>
      </top>
      <bottom style="thin">
        <color rgb="FF1E2030"/>
      </bottom>
      <diagonal/>
    </border>
    <border>
      <left/>
      <right style="thin">
        <color rgb="FF1E2030"/>
      </right>
      <top/>
      <bottom style="thin">
        <color rgb="FF1E2030"/>
      </bottom>
      <diagonal/>
    </border>
    <border>
      <left style="thin">
        <color rgb="FF1E2030"/>
      </left>
      <right/>
      <top/>
      <bottom style="thin">
        <color rgb="FF1E2030"/>
      </bottom>
      <diagonal/>
    </border>
    <border>
      <left style="thin">
        <color theme="0"/>
      </left>
      <right style="thin">
        <color theme="1"/>
      </right>
      <top style="thin">
        <color rgb="FF1E2030"/>
      </top>
      <bottom style="thin">
        <color rgb="FF1E2030"/>
      </bottom>
      <diagonal/>
    </border>
    <border>
      <left/>
      <right style="thin">
        <color theme="0"/>
      </right>
      <top style="thin">
        <color rgb="FF1E2030"/>
      </top>
      <bottom style="thin">
        <color rgb="FF1E2030"/>
      </bottom>
      <diagonal/>
    </border>
    <border>
      <left/>
      <right style="thin">
        <color rgb="FF1E2030"/>
      </right>
      <top style="thin">
        <color rgb="FF1E2030"/>
      </top>
      <bottom style="thin">
        <color rgb="FF1E2030"/>
      </bottom>
      <diagonal/>
    </border>
    <border>
      <left style="thin">
        <color rgb="FF1E2030"/>
      </left>
      <right style="thin">
        <color theme="0"/>
      </right>
      <top style="thin">
        <color rgb="FF1E2030"/>
      </top>
      <bottom style="thin">
        <color rgb="FF1E2030"/>
      </bottom>
      <diagonal/>
    </border>
    <border>
      <left style="thin">
        <color rgb="FF1E2030"/>
      </left>
      <right/>
      <top style="thin">
        <color rgb="FF1E2030"/>
      </top>
      <bottom style="thin">
        <color rgb="FF1E203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9" fontId="1" fillId="0" borderId="0"/>
  </cellStyleXfs>
  <cellXfs count="12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3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9" fillId="6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0" fontId="14" fillId="7" borderId="1" xfId="0" applyFont="1" applyFill="1" applyBorder="1" applyAlignment="1">
      <alignment horizontal="left" vertical="center"/>
    </xf>
    <xf numFmtId="0" fontId="9" fillId="6" borderId="3" xfId="0" applyFont="1" applyFill="1" applyBorder="1" applyAlignment="1">
      <alignment horizontal="center" vertical="center"/>
    </xf>
    <xf numFmtId="164" fontId="7" fillId="0" borderId="4" xfId="0" applyNumberFormat="1" applyFont="1" applyBorder="1" applyAlignment="1">
      <alignment horizontal="center" vertical="center"/>
    </xf>
    <xf numFmtId="164" fontId="15" fillId="0" borderId="4" xfId="0" applyNumberFormat="1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8" borderId="0" xfId="0" applyFont="1" applyFill="1" applyAlignment="1">
      <alignment horizontal="left" vertical="top"/>
    </xf>
    <xf numFmtId="0" fontId="9" fillId="6" borderId="6" xfId="0" applyFont="1" applyFill="1" applyBorder="1" applyAlignment="1">
      <alignment horizontal="center" vertical="center"/>
    </xf>
    <xf numFmtId="164" fontId="7" fillId="0" borderId="7" xfId="0" applyNumberFormat="1" applyFont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21" fillId="7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2" fillId="4" borderId="0" xfId="0" applyFont="1" applyFill="1" applyAlignment="1">
      <alignment horizontal="center" vertical="center"/>
    </xf>
    <xf numFmtId="0" fontId="21" fillId="9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top"/>
    </xf>
    <xf numFmtId="0" fontId="9" fillId="6" borderId="3" xfId="0" applyFont="1" applyFill="1" applyBorder="1" applyAlignment="1">
      <alignment horizontal="center" vertical="top"/>
    </xf>
    <xf numFmtId="164" fontId="7" fillId="0" borderId="4" xfId="0" applyNumberFormat="1" applyFont="1" applyBorder="1" applyAlignment="1">
      <alignment horizontal="center" vertical="top"/>
    </xf>
    <xf numFmtId="0" fontId="9" fillId="6" borderId="6" xfId="0" applyFont="1" applyFill="1" applyBorder="1" applyAlignment="1">
      <alignment horizontal="center" vertical="top"/>
    </xf>
    <xf numFmtId="164" fontId="7" fillId="0" borderId="7" xfId="0" applyNumberFormat="1" applyFont="1" applyBorder="1" applyAlignment="1">
      <alignment horizontal="center" vertical="top"/>
    </xf>
    <xf numFmtId="0" fontId="8" fillId="6" borderId="4" xfId="0" applyFont="1" applyFill="1" applyBorder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165" fontId="7" fillId="0" borderId="4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166" fontId="7" fillId="0" borderId="7" xfId="0" applyNumberFormat="1" applyFont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3" fillId="11" borderId="0" xfId="0" applyFont="1" applyFill="1" applyAlignment="1">
      <alignment horizontal="center" vertical="center"/>
    </xf>
    <xf numFmtId="0" fontId="21" fillId="12" borderId="1" xfId="0" applyFont="1" applyFill="1" applyBorder="1" applyAlignment="1">
      <alignment horizontal="center" vertical="center"/>
    </xf>
    <xf numFmtId="0" fontId="24" fillId="12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 vertical="center"/>
    </xf>
    <xf numFmtId="0" fontId="26" fillId="13" borderId="1" xfId="0" applyFont="1" applyFill="1" applyBorder="1" applyAlignment="1">
      <alignment horizontal="center" vertical="center"/>
    </xf>
    <xf numFmtId="9" fontId="27" fillId="13" borderId="1" xfId="0" applyNumberFormat="1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 vertical="center"/>
    </xf>
    <xf numFmtId="0" fontId="0" fillId="12" borderId="1" xfId="0" applyFill="1" applyBorder="1"/>
    <xf numFmtId="0" fontId="2" fillId="13" borderId="1" xfId="0" applyFon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/>
    </xf>
    <xf numFmtId="9" fontId="2" fillId="13" borderId="1" xfId="1" applyFont="1" applyFill="1" applyBorder="1" applyAlignment="1">
      <alignment horizontal="center" vertical="center"/>
    </xf>
    <xf numFmtId="9" fontId="0" fillId="0" borderId="0" xfId="1" applyFont="1"/>
    <xf numFmtId="9" fontId="24" fillId="12" borderId="1" xfId="1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0" fontId="26" fillId="12" borderId="11" xfId="0" applyFont="1" applyFill="1" applyBorder="1" applyAlignment="1">
      <alignment horizontal="center" vertical="center"/>
    </xf>
    <xf numFmtId="0" fontId="0" fillId="0" borderId="12" xfId="0" applyBorder="1"/>
    <xf numFmtId="0" fontId="2" fillId="13" borderId="13" xfId="0" applyFont="1" applyFill="1" applyBorder="1" applyAlignment="1">
      <alignment horizontal="center" vertical="center"/>
    </xf>
    <xf numFmtId="0" fontId="2" fillId="13" borderId="14" xfId="0" applyFont="1" applyFill="1" applyBorder="1" applyAlignment="1">
      <alignment horizontal="center" vertical="center"/>
    </xf>
    <xf numFmtId="0" fontId="2" fillId="13" borderId="15" xfId="0" applyFont="1" applyFill="1" applyBorder="1" applyAlignment="1">
      <alignment horizontal="center" vertical="center"/>
    </xf>
    <xf numFmtId="0" fontId="2" fillId="13" borderId="16" xfId="0" applyFont="1" applyFill="1" applyBorder="1" applyAlignment="1">
      <alignment horizontal="center" vertical="center"/>
    </xf>
    <xf numFmtId="0" fontId="2" fillId="13" borderId="17" xfId="0" applyFont="1" applyFill="1" applyBorder="1" applyAlignment="1">
      <alignment horizontal="center" vertical="center"/>
    </xf>
    <xf numFmtId="0" fontId="2" fillId="13" borderId="18" xfId="0" applyFont="1" applyFill="1" applyBorder="1" applyAlignment="1">
      <alignment horizontal="center" vertical="center"/>
    </xf>
    <xf numFmtId="0" fontId="2" fillId="13" borderId="19" xfId="0" applyFont="1" applyFill="1" applyBorder="1" applyAlignment="1">
      <alignment horizontal="center" vertical="center"/>
    </xf>
    <xf numFmtId="0" fontId="2" fillId="13" borderId="20" xfId="0" applyFont="1" applyFill="1" applyBorder="1" applyAlignment="1">
      <alignment horizontal="center" vertical="center"/>
    </xf>
    <xf numFmtId="0" fontId="2" fillId="13" borderId="21" xfId="0" applyFont="1" applyFill="1" applyBorder="1" applyAlignment="1">
      <alignment horizontal="center" vertical="center"/>
    </xf>
    <xf numFmtId="0" fontId="2" fillId="13" borderId="22" xfId="0" applyFont="1" applyFill="1" applyBorder="1" applyAlignment="1">
      <alignment horizontal="center" vertical="center"/>
    </xf>
    <xf numFmtId="0" fontId="2" fillId="13" borderId="23" xfId="0" applyFont="1" applyFill="1" applyBorder="1" applyAlignment="1">
      <alignment horizontal="center" vertical="center"/>
    </xf>
    <xf numFmtId="0" fontId="2" fillId="13" borderId="24" xfId="0" applyFont="1" applyFill="1" applyBorder="1" applyAlignment="1">
      <alignment horizontal="center" vertical="center"/>
    </xf>
    <xf numFmtId="0" fontId="2" fillId="13" borderId="25" xfId="0" applyFont="1" applyFill="1" applyBorder="1" applyAlignment="1">
      <alignment horizontal="center" vertical="center"/>
    </xf>
    <xf numFmtId="0" fontId="2" fillId="13" borderId="26" xfId="0" applyFont="1" applyFill="1" applyBorder="1" applyAlignment="1">
      <alignment horizontal="center" vertical="center"/>
    </xf>
    <xf numFmtId="0" fontId="2" fillId="13" borderId="27" xfId="0" applyFont="1" applyFill="1" applyBorder="1" applyAlignment="1">
      <alignment horizontal="center" vertical="center"/>
    </xf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9" fillId="6" borderId="31" xfId="0" applyFont="1" applyFill="1" applyBorder="1" applyAlignment="1">
      <alignment horizontal="center" vertical="center"/>
    </xf>
    <xf numFmtId="0" fontId="9" fillId="6" borderId="32" xfId="0" applyFont="1" applyFill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4" fontId="7" fillId="0" borderId="2" xfId="0" applyNumberFormat="1" applyFont="1" applyBorder="1" applyAlignment="1">
      <alignment horizontal="center" vertical="center"/>
    </xf>
    <xf numFmtId="164" fontId="7" fillId="0" borderId="33" xfId="0" applyNumberFormat="1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164" fontId="7" fillId="0" borderId="35" xfId="0" applyNumberFormat="1" applyFont="1" applyBorder="1" applyAlignment="1">
      <alignment horizontal="center" vertical="center"/>
    </xf>
    <xf numFmtId="0" fontId="28" fillId="14" borderId="33" xfId="0" applyFont="1" applyFill="1" applyBorder="1" applyAlignment="1">
      <alignment horizontal="center" vertical="center"/>
    </xf>
    <xf numFmtId="0" fontId="28" fillId="14" borderId="0" xfId="0" applyFont="1" applyFill="1" applyAlignment="1">
      <alignment horizontal="center" vertical="center"/>
    </xf>
    <xf numFmtId="164" fontId="28" fillId="14" borderId="0" xfId="0" applyNumberFormat="1" applyFont="1" applyFill="1" applyAlignment="1">
      <alignment horizontal="center" vertical="center"/>
    </xf>
    <xf numFmtId="165" fontId="28" fillId="14" borderId="0" xfId="0" applyNumberFormat="1" applyFont="1" applyFill="1" applyAlignment="1">
      <alignment horizontal="center" vertical="center"/>
    </xf>
    <xf numFmtId="164" fontId="28" fillId="14" borderId="33" xfId="0" applyNumberFormat="1" applyFont="1" applyFill="1" applyBorder="1" applyAlignment="1">
      <alignment horizontal="center" vertical="center"/>
    </xf>
    <xf numFmtId="164" fontId="28" fillId="14" borderId="2" xfId="0" applyNumberFormat="1" applyFont="1" applyFill="1" applyBorder="1" applyAlignment="1">
      <alignment horizontal="center" vertical="center"/>
    </xf>
    <xf numFmtId="0" fontId="28" fillId="15" borderId="34" xfId="0" applyFont="1" applyFill="1" applyBorder="1" applyAlignment="1">
      <alignment horizontal="center" vertical="center"/>
    </xf>
    <xf numFmtId="0" fontId="7" fillId="15" borderId="0" xfId="0" applyFont="1" applyFill="1" applyAlignment="1">
      <alignment horizontal="center" vertical="center"/>
    </xf>
    <xf numFmtId="164" fontId="7" fillId="15" borderId="0" xfId="0" applyNumberFormat="1" applyFont="1" applyFill="1" applyAlignment="1">
      <alignment horizontal="center" vertical="center"/>
    </xf>
    <xf numFmtId="165" fontId="28" fillId="15" borderId="0" xfId="0" applyNumberFormat="1" applyFont="1" applyFill="1" applyAlignment="1">
      <alignment horizontal="center" vertical="center"/>
    </xf>
    <xf numFmtId="164" fontId="28" fillId="15" borderId="0" xfId="0" applyNumberFormat="1" applyFont="1" applyFill="1" applyAlignment="1">
      <alignment horizontal="center" vertical="center"/>
    </xf>
    <xf numFmtId="164" fontId="28" fillId="15" borderId="33" xfId="0" applyNumberFormat="1" applyFont="1" applyFill="1" applyBorder="1" applyAlignment="1">
      <alignment horizontal="center" vertical="center"/>
    </xf>
    <xf numFmtId="0" fontId="7" fillId="15" borderId="35" xfId="0" applyFont="1" applyFill="1" applyBorder="1" applyAlignment="1">
      <alignment horizontal="center" vertical="center"/>
    </xf>
    <xf numFmtId="164" fontId="7" fillId="15" borderId="35" xfId="0" applyNumberFormat="1" applyFont="1" applyFill="1" applyBorder="1" applyAlignment="1">
      <alignment horizontal="center" vertical="center"/>
    </xf>
    <xf numFmtId="164" fontId="28" fillId="15" borderId="35" xfId="0" applyNumberFormat="1" applyFont="1" applyFill="1" applyBorder="1" applyAlignment="1">
      <alignment horizontal="center" vertical="center"/>
    </xf>
    <xf numFmtId="164" fontId="28" fillId="15" borderId="36" xfId="0" applyNumberFormat="1" applyFont="1" applyFill="1" applyBorder="1" applyAlignment="1">
      <alignment horizontal="center" vertical="center"/>
    </xf>
    <xf numFmtId="0" fontId="28" fillId="15" borderId="0" xfId="0" applyFont="1" applyFill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7" fillId="8" borderId="0" xfId="0" applyFont="1" applyFill="1" applyAlignment="1">
      <alignment horizontal="left" vertical="top" wrapText="1"/>
    </xf>
    <xf numFmtId="0" fontId="29" fillId="0" borderId="0" xfId="0" applyFont="1" applyAlignment="1">
      <alignment horizontal="center" vertical="center"/>
    </xf>
    <xf numFmtId="0" fontId="29" fillId="16" borderId="31" xfId="0" applyFont="1" applyFill="1" applyBorder="1" applyAlignment="1">
      <alignment horizontal="center" vertical="center"/>
    </xf>
    <xf numFmtId="0" fontId="29" fillId="16" borderId="32" xfId="0" applyFont="1" applyFill="1" applyBorder="1" applyAlignment="1">
      <alignment horizontal="center" vertical="center"/>
    </xf>
    <xf numFmtId="0" fontId="29" fillId="16" borderId="4" xfId="0" applyFont="1" applyFill="1" applyBorder="1" applyAlignment="1">
      <alignment horizontal="center" vertical="center"/>
    </xf>
    <xf numFmtId="0" fontId="7" fillId="15" borderId="31" xfId="0" applyFont="1" applyFill="1" applyBorder="1" applyAlignment="1">
      <alignment horizontal="center" vertical="center"/>
    </xf>
    <xf numFmtId="164" fontId="7" fillId="15" borderId="32" xfId="0" applyNumberFormat="1" applyFont="1" applyFill="1" applyBorder="1" applyAlignment="1">
      <alignment horizontal="center" vertical="center"/>
    </xf>
    <xf numFmtId="165" fontId="7" fillId="15" borderId="32" xfId="0" applyNumberFormat="1" applyFont="1" applyFill="1" applyBorder="1" applyAlignment="1">
      <alignment horizontal="center" vertical="center"/>
    </xf>
    <xf numFmtId="164" fontId="7" fillId="15" borderId="4" xfId="0" applyNumberFormat="1" applyFont="1" applyFill="1" applyBorder="1" applyAlignment="1">
      <alignment horizontal="center" vertical="center"/>
    </xf>
    <xf numFmtId="0" fontId="7" fillId="15" borderId="33" xfId="0" applyFont="1" applyFill="1" applyBorder="1" applyAlignment="1">
      <alignment horizontal="center" vertical="center"/>
    </xf>
    <xf numFmtId="164" fontId="7" fillId="15" borderId="2" xfId="0" applyNumberFormat="1" applyFont="1" applyFill="1" applyBorder="1" applyAlignment="1">
      <alignment horizontal="center" vertical="center"/>
    </xf>
    <xf numFmtId="165" fontId="7" fillId="15" borderId="0" xfId="0" applyNumberFormat="1" applyFont="1" applyFill="1" applyAlignment="1">
      <alignment horizontal="center" vertical="center"/>
    </xf>
    <xf numFmtId="164" fontId="7" fillId="0" borderId="36" xfId="0" applyNumberFormat="1" applyFont="1" applyBorder="1" applyAlignment="1">
      <alignment horizontal="center" vertical="center"/>
    </xf>
    <xf numFmtId="165" fontId="7" fillId="0" borderId="35" xfId="0" applyNumberFormat="1" applyFont="1" applyBorder="1" applyAlignment="1">
      <alignment horizontal="center" vertical="center"/>
    </xf>
    <xf numFmtId="0" fontId="7" fillId="15" borderId="32" xfId="0" applyFont="1" applyFill="1" applyBorder="1" applyAlignment="1">
      <alignment horizontal="center" vertical="center"/>
    </xf>
  </cellXfs>
  <cellStyles count="2">
    <cellStyle name="Normal" xfId="0" builtinId="0"/>
    <cellStyle name="Porcentaje 2" xfId="1" xr:uid="{821C8065-C1F8-4679-BD58-E53CE229741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C4144-CE0C-4CC5-B44A-0CC256CDF16C}">
  <sheetPr codeName="Hoja4"/>
  <dimension ref="A1:BS125"/>
  <sheetViews>
    <sheetView tabSelected="1" workbookViewId="0">
      <selection activeCell="BR24" sqref="BR24"/>
    </sheetView>
  </sheetViews>
  <sheetFormatPr baseColWidth="10" defaultColWidth="8.88671875" defaultRowHeight="14.4" x14ac:dyDescent="0.3"/>
  <cols>
    <col min="1" max="1" width="12" customWidth="1"/>
    <col min="2" max="2" width="22" customWidth="1"/>
    <col min="3" max="10" width="7" customWidth="1"/>
    <col min="11" max="11" width="8" customWidth="1"/>
    <col min="12" max="12" width="3" customWidth="1"/>
    <col min="14" max="14" width="16" customWidth="1"/>
    <col min="15" max="15" width="8" customWidth="1"/>
    <col min="16" max="23" width="7" customWidth="1"/>
    <col min="24" max="24" width="8" customWidth="1"/>
    <col min="25" max="25" width="3" customWidth="1"/>
    <col min="27" max="27" width="10" customWidth="1"/>
    <col min="28" max="28" width="8" customWidth="1"/>
    <col min="29" max="29" width="3" customWidth="1"/>
    <col min="30" max="30" width="16" customWidth="1"/>
    <col min="31" max="31" width="8" customWidth="1"/>
    <col min="32" max="35" width="7" customWidth="1"/>
    <col min="61" max="61" width="3" customWidth="1"/>
    <col min="62" max="62" width="5" customWidth="1"/>
    <col min="63" max="63" width="22" customWidth="1"/>
    <col min="64" max="64" width="12" customWidth="1"/>
    <col min="65" max="65" width="26" customWidth="1"/>
    <col min="66" max="66" width="20" customWidth="1"/>
    <col min="67" max="67" width="15" customWidth="1"/>
    <col min="68" max="68" width="16.33203125" bestFit="1" customWidth="1"/>
    <col min="69" max="69" width="17.6640625" bestFit="1" customWidth="1"/>
    <col min="70" max="70" width="26" customWidth="1"/>
    <col min="71" max="71" width="40" customWidth="1"/>
    <col min="72" max="72" width="5" customWidth="1"/>
  </cols>
  <sheetData>
    <row r="1" spans="1:71" ht="36" customHeight="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</row>
    <row r="2" spans="1:71" ht="28.05" customHeight="1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BJ2" s="4" t="s">
        <v>2</v>
      </c>
      <c r="BK2" s="2"/>
      <c r="BL2" s="2"/>
      <c r="BM2" s="2"/>
      <c r="BN2" s="2"/>
      <c r="BO2" s="2"/>
      <c r="BP2" s="2"/>
      <c r="BQ2" s="2"/>
      <c r="BR2" s="2"/>
      <c r="BS2" s="2"/>
    </row>
    <row r="3" spans="1:71" ht="24" customHeight="1" x14ac:dyDescent="0.3">
      <c r="BJ3" s="5" t="s">
        <v>3</v>
      </c>
      <c r="BK3" s="5" t="s">
        <v>4</v>
      </c>
      <c r="BL3" s="5" t="s">
        <v>5</v>
      </c>
      <c r="BM3" s="5" t="s">
        <v>6</v>
      </c>
      <c r="BN3" s="5" t="s">
        <v>7</v>
      </c>
      <c r="BO3" s="5" t="s">
        <v>8</v>
      </c>
      <c r="BP3" s="5" t="s">
        <v>9</v>
      </c>
      <c r="BQ3" s="5" t="s">
        <v>10</v>
      </c>
      <c r="BR3" s="5" t="s">
        <v>11</v>
      </c>
      <c r="BS3" s="5" t="s">
        <v>12</v>
      </c>
    </row>
    <row r="4" spans="1:71" ht="25.95" customHeight="1" x14ac:dyDescent="0.3">
      <c r="A4" s="6" t="s">
        <v>13</v>
      </c>
      <c r="B4" s="7" t="s">
        <v>14</v>
      </c>
      <c r="C4" s="8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8" t="s">
        <v>20</v>
      </c>
      <c r="I4" s="8" t="s">
        <v>21</v>
      </c>
      <c r="J4" s="8" t="s">
        <v>22</v>
      </c>
      <c r="K4" s="8" t="s">
        <v>23</v>
      </c>
      <c r="L4" s="8" t="s">
        <v>24</v>
      </c>
      <c r="M4" s="9" t="s">
        <v>25</v>
      </c>
      <c r="N4" s="7" t="s">
        <v>14</v>
      </c>
      <c r="O4" s="8" t="s">
        <v>15</v>
      </c>
      <c r="P4" s="8" t="s">
        <v>16</v>
      </c>
      <c r="Q4" s="8" t="s">
        <v>17</v>
      </c>
      <c r="R4" s="8" t="s">
        <v>18</v>
      </c>
      <c r="S4" s="8" t="s">
        <v>19</v>
      </c>
      <c r="T4" s="8" t="s">
        <v>20</v>
      </c>
      <c r="U4" s="8" t="s">
        <v>21</v>
      </c>
      <c r="V4" s="8" t="s">
        <v>22</v>
      </c>
      <c r="W4" s="8" t="s">
        <v>23</v>
      </c>
      <c r="X4" s="8" t="s">
        <v>24</v>
      </c>
      <c r="Y4" s="9" t="s">
        <v>26</v>
      </c>
      <c r="Z4" s="7" t="s">
        <v>14</v>
      </c>
      <c r="AA4" s="8" t="s">
        <v>15</v>
      </c>
      <c r="AB4" s="8" t="s">
        <v>16</v>
      </c>
      <c r="AC4" s="8" t="s">
        <v>17</v>
      </c>
      <c r="AD4" s="8" t="s">
        <v>18</v>
      </c>
      <c r="AE4" s="8" t="s">
        <v>19</v>
      </c>
      <c r="AF4" s="8" t="s">
        <v>20</v>
      </c>
      <c r="AG4" s="8" t="s">
        <v>21</v>
      </c>
      <c r="AH4" s="8" t="s">
        <v>22</v>
      </c>
      <c r="AI4" s="8" t="s">
        <v>23</v>
      </c>
      <c r="AJ4" s="8" t="s">
        <v>24</v>
      </c>
      <c r="AK4" s="9" t="s">
        <v>27</v>
      </c>
      <c r="AL4" s="7" t="s">
        <v>14</v>
      </c>
      <c r="AM4" s="8" t="s">
        <v>15</v>
      </c>
      <c r="AN4" s="8" t="s">
        <v>16</v>
      </c>
      <c r="AO4" s="8" t="s">
        <v>17</v>
      </c>
      <c r="AP4" s="8" t="s">
        <v>18</v>
      </c>
      <c r="AQ4" s="8" t="s">
        <v>19</v>
      </c>
      <c r="AR4" s="8" t="s">
        <v>20</v>
      </c>
      <c r="AS4" s="8" t="s">
        <v>21</v>
      </c>
      <c r="AT4" s="8" t="s">
        <v>22</v>
      </c>
      <c r="AU4" s="8" t="s">
        <v>23</v>
      </c>
      <c r="AV4" s="8" t="s">
        <v>24</v>
      </c>
      <c r="AW4" s="9" t="s">
        <v>28</v>
      </c>
      <c r="AX4" s="7" t="s">
        <v>14</v>
      </c>
      <c r="AY4" s="8" t="s">
        <v>15</v>
      </c>
      <c r="AZ4" s="8" t="s">
        <v>16</v>
      </c>
      <c r="BA4" s="8" t="s">
        <v>17</v>
      </c>
      <c r="BB4" s="8" t="s">
        <v>18</v>
      </c>
      <c r="BC4" s="8" t="s">
        <v>19</v>
      </c>
      <c r="BD4" s="8" t="s">
        <v>20</v>
      </c>
      <c r="BE4" s="8" t="s">
        <v>21</v>
      </c>
      <c r="BF4" s="8" t="s">
        <v>22</v>
      </c>
      <c r="BG4" s="8" t="s">
        <v>23</v>
      </c>
      <c r="BH4" s="8" t="s">
        <v>24</v>
      </c>
      <c r="BJ4" s="10"/>
      <c r="BK4" s="11"/>
      <c r="BL4" s="12" t="s">
        <v>29</v>
      </c>
      <c r="BM4" s="13"/>
      <c r="BN4" s="13"/>
      <c r="BO4" s="13"/>
      <c r="BP4" s="13"/>
      <c r="BQ4" s="13"/>
      <c r="BR4" s="13"/>
      <c r="BS4" s="14"/>
    </row>
    <row r="5" spans="1:71" ht="25.95" customHeight="1" x14ac:dyDescent="0.3">
      <c r="A5" s="6"/>
      <c r="B5" s="15" t="s">
        <v>30</v>
      </c>
      <c r="C5" s="16">
        <v>0</v>
      </c>
      <c r="D5" s="16">
        <v>0</v>
      </c>
      <c r="E5" s="16">
        <v>0</v>
      </c>
      <c r="F5" s="16">
        <v>0</v>
      </c>
      <c r="G5" s="16">
        <v>1</v>
      </c>
      <c r="H5" s="16">
        <v>0</v>
      </c>
      <c r="I5" s="16">
        <v>0</v>
      </c>
      <c r="J5" s="16">
        <v>0</v>
      </c>
      <c r="K5" s="16">
        <v>0</v>
      </c>
      <c r="L5" s="16">
        <v>1</v>
      </c>
      <c r="M5" s="9"/>
      <c r="N5" s="15" t="s">
        <v>30</v>
      </c>
      <c r="O5" s="16">
        <v>0</v>
      </c>
      <c r="P5" s="16">
        <v>0</v>
      </c>
      <c r="Q5" s="16">
        <v>0</v>
      </c>
      <c r="R5" s="16">
        <v>0</v>
      </c>
      <c r="S5" s="16">
        <v>0</v>
      </c>
      <c r="T5" s="16">
        <v>0</v>
      </c>
      <c r="U5" s="16">
        <v>0</v>
      </c>
      <c r="V5" s="16">
        <v>0</v>
      </c>
      <c r="W5" s="16">
        <v>0</v>
      </c>
      <c r="X5" s="16">
        <v>0</v>
      </c>
      <c r="Y5" s="9"/>
      <c r="Z5" s="15" t="s">
        <v>31</v>
      </c>
      <c r="AA5" s="16">
        <v>1</v>
      </c>
      <c r="AB5" s="16">
        <v>2</v>
      </c>
      <c r="AC5" s="16">
        <v>0</v>
      </c>
      <c r="AD5" s="17">
        <v>0</v>
      </c>
      <c r="AE5" s="16">
        <v>0</v>
      </c>
      <c r="AF5" s="16">
        <v>0</v>
      </c>
      <c r="AG5" s="16">
        <v>2</v>
      </c>
      <c r="AH5" s="16">
        <v>0</v>
      </c>
      <c r="AI5" s="16">
        <v>0</v>
      </c>
      <c r="AJ5" s="16">
        <v>5</v>
      </c>
      <c r="AK5" s="9"/>
      <c r="AL5" s="15" t="s">
        <v>31</v>
      </c>
      <c r="AM5" s="16">
        <v>0</v>
      </c>
      <c r="AN5" s="16">
        <v>0</v>
      </c>
      <c r="AO5" s="16">
        <v>0</v>
      </c>
      <c r="AP5" s="17">
        <v>5</v>
      </c>
      <c r="AQ5" s="16">
        <v>3</v>
      </c>
      <c r="AR5" s="16">
        <v>2</v>
      </c>
      <c r="AS5" s="16">
        <v>3</v>
      </c>
      <c r="AT5" s="16">
        <v>2</v>
      </c>
      <c r="AU5" s="16">
        <v>1</v>
      </c>
      <c r="AV5" s="16">
        <v>15</v>
      </c>
      <c r="AW5" s="9"/>
      <c r="AX5" s="15" t="s">
        <v>31</v>
      </c>
      <c r="AY5" s="16">
        <v>0</v>
      </c>
      <c r="AZ5" s="16">
        <v>2</v>
      </c>
      <c r="BA5" s="16">
        <v>0</v>
      </c>
      <c r="BB5" s="17">
        <v>0</v>
      </c>
      <c r="BC5" s="16">
        <v>1</v>
      </c>
      <c r="BD5" s="16">
        <v>2</v>
      </c>
      <c r="BE5" s="16">
        <v>1</v>
      </c>
      <c r="BF5" s="16">
        <v>0</v>
      </c>
      <c r="BG5" s="16">
        <v>0</v>
      </c>
      <c r="BH5" s="16">
        <v>6</v>
      </c>
      <c r="BJ5" s="18"/>
      <c r="BK5" s="11"/>
      <c r="BL5" s="19" t="s">
        <v>29</v>
      </c>
      <c r="BM5" s="13"/>
      <c r="BN5" s="13"/>
      <c r="BO5" s="13"/>
      <c r="BP5" s="13"/>
      <c r="BQ5" s="13"/>
      <c r="BR5" s="13"/>
      <c r="BS5" s="14"/>
    </row>
    <row r="6" spans="1:71" ht="25.95" customHeight="1" x14ac:dyDescent="0.3">
      <c r="A6" s="20"/>
      <c r="B6" s="15" t="s">
        <v>32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20"/>
      <c r="N6" s="15" t="s">
        <v>32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20"/>
      <c r="Z6" s="15" t="s">
        <v>33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7">
        <v>0</v>
      </c>
      <c r="AG6" s="16">
        <v>0</v>
      </c>
      <c r="AH6" s="16">
        <v>0</v>
      </c>
      <c r="AI6" s="16">
        <v>0</v>
      </c>
      <c r="AJ6" s="16">
        <v>0</v>
      </c>
      <c r="AK6" s="20"/>
      <c r="AL6" s="15" t="s">
        <v>33</v>
      </c>
      <c r="AM6" s="16">
        <v>2</v>
      </c>
      <c r="AN6" s="16">
        <v>0</v>
      </c>
      <c r="AO6" s="16">
        <v>0</v>
      </c>
      <c r="AP6" s="16">
        <v>1</v>
      </c>
      <c r="AQ6" s="16">
        <v>2</v>
      </c>
      <c r="AR6" s="17">
        <v>0</v>
      </c>
      <c r="AS6" s="16">
        <v>2</v>
      </c>
      <c r="AT6" s="16">
        <v>1</v>
      </c>
      <c r="AU6" s="16">
        <v>0</v>
      </c>
      <c r="AV6" s="16">
        <v>8</v>
      </c>
      <c r="AW6" s="20"/>
      <c r="AX6" s="15" t="s">
        <v>33</v>
      </c>
      <c r="AY6" s="16">
        <v>0</v>
      </c>
      <c r="AZ6" s="16">
        <v>2</v>
      </c>
      <c r="BA6" s="16">
        <v>1</v>
      </c>
      <c r="BB6" s="16">
        <v>0</v>
      </c>
      <c r="BC6" s="16">
        <v>1</v>
      </c>
      <c r="BD6" s="17">
        <v>0</v>
      </c>
      <c r="BE6" s="16">
        <v>0</v>
      </c>
      <c r="BF6" s="16">
        <v>0</v>
      </c>
      <c r="BG6" s="16">
        <v>0</v>
      </c>
      <c r="BH6" s="16">
        <v>4</v>
      </c>
      <c r="BJ6" s="18"/>
      <c r="BK6" s="11"/>
      <c r="BL6" s="19" t="s">
        <v>34</v>
      </c>
      <c r="BM6" s="13"/>
      <c r="BN6" s="13"/>
      <c r="BO6" s="13"/>
      <c r="BP6" s="13"/>
      <c r="BQ6" s="13"/>
      <c r="BR6" s="13"/>
      <c r="BS6" s="14"/>
    </row>
    <row r="7" spans="1:71" ht="25.95" customHeight="1" x14ac:dyDescent="0.3">
      <c r="A7" s="20"/>
      <c r="B7" s="15" t="s">
        <v>35</v>
      </c>
      <c r="C7" s="16">
        <v>3</v>
      </c>
      <c r="D7" s="16">
        <v>3</v>
      </c>
      <c r="E7" s="16">
        <v>0</v>
      </c>
      <c r="F7" s="16">
        <v>2</v>
      </c>
      <c r="G7" s="16">
        <v>0</v>
      </c>
      <c r="H7" s="16">
        <v>1</v>
      </c>
      <c r="I7" s="16">
        <v>3</v>
      </c>
      <c r="J7" s="16">
        <v>1</v>
      </c>
      <c r="K7" s="16">
        <v>0</v>
      </c>
      <c r="L7" s="16">
        <v>17</v>
      </c>
      <c r="M7" s="20"/>
      <c r="N7" s="15" t="s">
        <v>35</v>
      </c>
      <c r="O7" s="16">
        <v>1</v>
      </c>
      <c r="P7" s="16">
        <v>3</v>
      </c>
      <c r="Q7" s="16">
        <v>0</v>
      </c>
      <c r="R7" s="16">
        <v>1</v>
      </c>
      <c r="S7" s="16">
        <v>0</v>
      </c>
      <c r="T7" s="16">
        <v>1</v>
      </c>
      <c r="U7" s="16">
        <v>1</v>
      </c>
      <c r="V7" s="16">
        <v>1</v>
      </c>
      <c r="W7" s="16">
        <v>1</v>
      </c>
      <c r="X7" s="16">
        <v>13</v>
      </c>
      <c r="Y7" s="20"/>
      <c r="Z7" s="15" t="s">
        <v>36</v>
      </c>
      <c r="AA7" s="16">
        <v>1</v>
      </c>
      <c r="AB7" s="16">
        <v>1</v>
      </c>
      <c r="AC7" s="16">
        <v>0</v>
      </c>
      <c r="AD7" s="16">
        <v>2</v>
      </c>
      <c r="AE7" s="16">
        <v>1</v>
      </c>
      <c r="AF7" s="16">
        <v>0</v>
      </c>
      <c r="AG7" s="16">
        <v>0</v>
      </c>
      <c r="AH7" s="16">
        <v>0</v>
      </c>
      <c r="AI7" s="16">
        <v>0</v>
      </c>
      <c r="AJ7" s="16">
        <v>5</v>
      </c>
      <c r="AK7" s="20"/>
      <c r="AL7" s="15" t="s">
        <v>36</v>
      </c>
      <c r="AM7" s="16">
        <v>5</v>
      </c>
      <c r="AN7" s="16">
        <v>0</v>
      </c>
      <c r="AO7" s="16">
        <v>0</v>
      </c>
      <c r="AP7" s="16">
        <v>3</v>
      </c>
      <c r="AQ7" s="16">
        <v>3</v>
      </c>
      <c r="AR7" s="16">
        <v>0</v>
      </c>
      <c r="AS7" s="16">
        <v>0</v>
      </c>
      <c r="AT7" s="16">
        <v>0</v>
      </c>
      <c r="AU7" s="16">
        <v>0</v>
      </c>
      <c r="AV7" s="16">
        <v>11</v>
      </c>
      <c r="AW7" s="20"/>
      <c r="AX7" s="15" t="s">
        <v>36</v>
      </c>
      <c r="AY7" s="16">
        <v>1</v>
      </c>
      <c r="AZ7" s="16">
        <v>4</v>
      </c>
      <c r="BA7" s="16">
        <v>0</v>
      </c>
      <c r="BB7" s="16">
        <v>3</v>
      </c>
      <c r="BC7" s="16">
        <v>2</v>
      </c>
      <c r="BD7" s="16">
        <v>0</v>
      </c>
      <c r="BE7" s="16">
        <v>4</v>
      </c>
      <c r="BF7" s="16">
        <v>0</v>
      </c>
      <c r="BG7" s="16">
        <v>0</v>
      </c>
      <c r="BH7" s="16">
        <v>14</v>
      </c>
      <c r="BJ7" s="21"/>
      <c r="BK7" s="11"/>
      <c r="BL7" s="22" t="s">
        <v>37</v>
      </c>
      <c r="BM7" s="13"/>
      <c r="BN7" s="13"/>
      <c r="BO7" s="13"/>
      <c r="BP7" s="13"/>
      <c r="BQ7" s="13"/>
      <c r="BR7" s="13"/>
      <c r="BS7" s="14"/>
    </row>
    <row r="8" spans="1:71" ht="25.95" customHeight="1" x14ac:dyDescent="0.3">
      <c r="A8" s="20"/>
      <c r="B8" s="15" t="s">
        <v>38</v>
      </c>
      <c r="C8" s="16">
        <v>6</v>
      </c>
      <c r="D8" s="16">
        <v>0</v>
      </c>
      <c r="E8" s="16">
        <v>0</v>
      </c>
      <c r="F8" s="16">
        <v>0</v>
      </c>
      <c r="G8" s="16">
        <v>0</v>
      </c>
      <c r="H8" s="16">
        <v>2</v>
      </c>
      <c r="I8" s="16">
        <v>0</v>
      </c>
      <c r="J8" s="23" t="s">
        <v>39</v>
      </c>
      <c r="K8" s="16">
        <v>0</v>
      </c>
      <c r="L8" s="16">
        <v>10</v>
      </c>
      <c r="M8" s="20"/>
      <c r="N8" s="15" t="s">
        <v>38</v>
      </c>
      <c r="O8" s="16">
        <v>3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1</v>
      </c>
      <c r="V8" s="23" t="s">
        <v>39</v>
      </c>
      <c r="W8" s="16">
        <v>1</v>
      </c>
      <c r="X8" s="16">
        <v>4</v>
      </c>
      <c r="Y8" s="20"/>
      <c r="Z8" s="15" t="s">
        <v>40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  <c r="AK8" s="20"/>
      <c r="AL8" s="15" t="s">
        <v>40</v>
      </c>
      <c r="AM8" s="16">
        <v>0</v>
      </c>
      <c r="AN8" s="16">
        <v>2</v>
      </c>
      <c r="AO8" s="16">
        <v>0</v>
      </c>
      <c r="AP8" s="16">
        <v>0</v>
      </c>
      <c r="AQ8" s="16">
        <v>0</v>
      </c>
      <c r="AR8" s="16">
        <v>0</v>
      </c>
      <c r="AS8" s="16">
        <v>0</v>
      </c>
      <c r="AT8" s="16">
        <v>0</v>
      </c>
      <c r="AU8" s="16">
        <v>0</v>
      </c>
      <c r="AV8" s="16">
        <v>2</v>
      </c>
      <c r="AW8" s="24"/>
      <c r="AX8" s="25" t="s">
        <v>40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0</v>
      </c>
      <c r="BE8" s="16">
        <v>0</v>
      </c>
      <c r="BF8" s="16">
        <v>0</v>
      </c>
      <c r="BG8" s="16">
        <v>0</v>
      </c>
      <c r="BH8" s="16">
        <v>0</v>
      </c>
      <c r="BJ8" s="21"/>
      <c r="BK8" s="11"/>
      <c r="BL8" s="22" t="s">
        <v>37</v>
      </c>
      <c r="BM8" s="13"/>
      <c r="BN8" s="13"/>
      <c r="BO8" s="13"/>
      <c r="BP8" s="13"/>
      <c r="BQ8" s="13"/>
      <c r="BR8" s="13"/>
      <c r="BS8" s="14"/>
    </row>
    <row r="9" spans="1:71" ht="25.95" customHeight="1" x14ac:dyDescent="0.3">
      <c r="A9" s="20"/>
      <c r="B9" s="15" t="s">
        <v>41</v>
      </c>
      <c r="C9" s="16">
        <v>2</v>
      </c>
      <c r="D9" s="16">
        <v>1</v>
      </c>
      <c r="E9" s="16">
        <v>0</v>
      </c>
      <c r="F9" s="16">
        <v>3</v>
      </c>
      <c r="G9" s="16">
        <v>0</v>
      </c>
      <c r="H9" s="16">
        <v>8</v>
      </c>
      <c r="I9" s="16">
        <v>0</v>
      </c>
      <c r="J9" s="16">
        <v>0</v>
      </c>
      <c r="K9" s="16">
        <v>0</v>
      </c>
      <c r="L9" s="16">
        <v>16</v>
      </c>
      <c r="M9" s="20"/>
      <c r="N9" s="15" t="s">
        <v>41</v>
      </c>
      <c r="O9" s="16">
        <v>3</v>
      </c>
      <c r="P9" s="16">
        <v>0</v>
      </c>
      <c r="Q9" s="16">
        <v>0</v>
      </c>
      <c r="R9" s="16">
        <v>1</v>
      </c>
      <c r="S9" s="16">
        <v>0</v>
      </c>
      <c r="T9" s="16">
        <v>4</v>
      </c>
      <c r="U9" s="16">
        <v>0</v>
      </c>
      <c r="V9" s="16">
        <v>2</v>
      </c>
      <c r="W9" s="16">
        <v>1</v>
      </c>
      <c r="X9" s="16">
        <v>13</v>
      </c>
      <c r="Y9" s="24"/>
      <c r="Z9" s="24"/>
      <c r="AA9" s="24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J9" s="18"/>
      <c r="BK9" s="11"/>
      <c r="BL9" s="19" t="s">
        <v>34</v>
      </c>
      <c r="BM9" s="13"/>
      <c r="BN9" s="13"/>
      <c r="BO9" s="13"/>
      <c r="BP9" s="13"/>
      <c r="BQ9" s="13"/>
      <c r="BR9" s="13"/>
      <c r="BS9" s="14"/>
    </row>
    <row r="10" spans="1:71" ht="25.95" customHeight="1" x14ac:dyDescent="0.3">
      <c r="A10" s="20"/>
      <c r="B10" s="25" t="s">
        <v>42</v>
      </c>
      <c r="C10" s="26">
        <v>3</v>
      </c>
      <c r="D10" s="26">
        <v>1</v>
      </c>
      <c r="E10" s="26">
        <v>0</v>
      </c>
      <c r="F10" s="26">
        <v>1</v>
      </c>
      <c r="G10" s="26">
        <v>0</v>
      </c>
      <c r="H10" s="26">
        <v>0</v>
      </c>
      <c r="I10" s="26">
        <v>0</v>
      </c>
      <c r="J10" s="16">
        <v>0</v>
      </c>
      <c r="K10" s="26">
        <v>0</v>
      </c>
      <c r="L10" s="26">
        <v>8</v>
      </c>
      <c r="M10" s="20"/>
      <c r="N10" s="25" t="s">
        <v>42</v>
      </c>
      <c r="O10" s="26">
        <v>1</v>
      </c>
      <c r="P10" s="26">
        <v>0</v>
      </c>
      <c r="Q10" s="26">
        <v>0</v>
      </c>
      <c r="R10" s="26">
        <v>0</v>
      </c>
      <c r="S10" s="26">
        <v>0</v>
      </c>
      <c r="T10" s="26">
        <v>0</v>
      </c>
      <c r="U10" s="26">
        <v>0</v>
      </c>
      <c r="V10" s="16">
        <v>0</v>
      </c>
      <c r="W10" s="26">
        <v>0</v>
      </c>
      <c r="X10" s="26">
        <v>2</v>
      </c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J10" s="27"/>
      <c r="BK10" s="11"/>
      <c r="BL10" s="28" t="s">
        <v>43</v>
      </c>
      <c r="BM10" s="13"/>
      <c r="BN10" s="13"/>
      <c r="BO10" s="13"/>
      <c r="BP10" s="13"/>
      <c r="BQ10" s="13"/>
      <c r="BR10" s="13"/>
      <c r="BS10" s="14"/>
    </row>
    <row r="11" spans="1:71" ht="25.95" customHeight="1" x14ac:dyDescent="0.3">
      <c r="A11" s="20" t="s">
        <v>44</v>
      </c>
      <c r="B11" s="29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J11" s="27"/>
      <c r="BK11" s="11"/>
      <c r="BL11" s="28" t="s">
        <v>43</v>
      </c>
      <c r="BM11" s="13"/>
      <c r="BN11" s="13"/>
      <c r="BO11" s="13"/>
      <c r="BP11" s="13"/>
      <c r="BQ11" s="13"/>
      <c r="BR11" s="13"/>
      <c r="BS11" s="14"/>
    </row>
    <row r="12" spans="1:71" ht="25.95" customHeight="1" x14ac:dyDescent="0.3">
      <c r="A12" s="6" t="s">
        <v>45</v>
      </c>
      <c r="B12" s="7" t="s">
        <v>14</v>
      </c>
      <c r="C12" s="8" t="s">
        <v>15</v>
      </c>
      <c r="D12" s="8" t="s">
        <v>16</v>
      </c>
      <c r="E12" s="8" t="s">
        <v>17</v>
      </c>
      <c r="F12" s="8" t="s">
        <v>18</v>
      </c>
      <c r="G12" s="8" t="s">
        <v>19</v>
      </c>
      <c r="H12" s="8" t="s">
        <v>20</v>
      </c>
      <c r="I12" s="8" t="s">
        <v>21</v>
      </c>
      <c r="J12" s="8" t="s">
        <v>22</v>
      </c>
      <c r="K12" s="8" t="s">
        <v>23</v>
      </c>
      <c r="L12" s="8" t="s">
        <v>24</v>
      </c>
      <c r="M12" s="9" t="s">
        <v>46</v>
      </c>
      <c r="N12" s="7" t="s">
        <v>14</v>
      </c>
      <c r="O12" s="8" t="s">
        <v>15</v>
      </c>
      <c r="P12" s="8" t="s">
        <v>16</v>
      </c>
      <c r="Q12" s="8" t="s">
        <v>17</v>
      </c>
      <c r="R12" s="8" t="s">
        <v>18</v>
      </c>
      <c r="S12" s="8" t="s">
        <v>19</v>
      </c>
      <c r="T12" s="8" t="s">
        <v>20</v>
      </c>
      <c r="U12" s="8" t="s">
        <v>21</v>
      </c>
      <c r="V12" s="8" t="s">
        <v>22</v>
      </c>
      <c r="W12" s="8" t="s">
        <v>23</v>
      </c>
      <c r="X12" s="8" t="s">
        <v>24</v>
      </c>
      <c r="Y12" s="9" t="s">
        <v>47</v>
      </c>
      <c r="Z12" s="7" t="s">
        <v>14</v>
      </c>
      <c r="AA12" s="8" t="s">
        <v>15</v>
      </c>
      <c r="AB12" s="8" t="s">
        <v>16</v>
      </c>
      <c r="AC12" s="8" t="s">
        <v>17</v>
      </c>
      <c r="AD12" s="8" t="s">
        <v>18</v>
      </c>
      <c r="AE12" s="8" t="s">
        <v>19</v>
      </c>
      <c r="AF12" s="8" t="s">
        <v>20</v>
      </c>
      <c r="AG12" s="8" t="s">
        <v>21</v>
      </c>
      <c r="AH12" s="8" t="s">
        <v>22</v>
      </c>
      <c r="AI12" s="8" t="s">
        <v>23</v>
      </c>
      <c r="AJ12" s="8" t="s">
        <v>24</v>
      </c>
      <c r="AK12" s="9" t="s">
        <v>48</v>
      </c>
      <c r="AL12" s="7" t="s">
        <v>14</v>
      </c>
      <c r="AM12" s="8" t="s">
        <v>15</v>
      </c>
      <c r="AN12" s="8" t="s">
        <v>16</v>
      </c>
      <c r="AO12" s="8" t="s">
        <v>17</v>
      </c>
      <c r="AP12" s="8" t="s">
        <v>18</v>
      </c>
      <c r="AQ12" s="8" t="s">
        <v>19</v>
      </c>
      <c r="AR12" s="8" t="s">
        <v>20</v>
      </c>
      <c r="AS12" s="8" t="s">
        <v>21</v>
      </c>
      <c r="AT12" s="8" t="s">
        <v>22</v>
      </c>
      <c r="AU12" s="8" t="s">
        <v>23</v>
      </c>
      <c r="AV12" s="8" t="s">
        <v>24</v>
      </c>
      <c r="AW12" s="20"/>
      <c r="AX12" s="7" t="s">
        <v>14</v>
      </c>
      <c r="AY12" s="8" t="s">
        <v>15</v>
      </c>
      <c r="AZ12" s="8" t="s">
        <v>16</v>
      </c>
      <c r="BA12" s="8" t="s">
        <v>17</v>
      </c>
      <c r="BB12" s="8" t="s">
        <v>18</v>
      </c>
      <c r="BC12" s="8" t="s">
        <v>19</v>
      </c>
      <c r="BD12" s="8" t="s">
        <v>20</v>
      </c>
      <c r="BE12" s="8" t="s">
        <v>21</v>
      </c>
      <c r="BF12" s="8" t="s">
        <v>22</v>
      </c>
      <c r="BG12" s="8" t="s">
        <v>23</v>
      </c>
      <c r="BH12" s="8" t="s">
        <v>24</v>
      </c>
      <c r="BJ12" s="10"/>
      <c r="BK12" s="11"/>
      <c r="BL12" s="12" t="s">
        <v>29</v>
      </c>
      <c r="BM12" s="13"/>
      <c r="BN12" s="13"/>
      <c r="BO12" s="13"/>
      <c r="BP12" s="13"/>
      <c r="BQ12" s="13"/>
      <c r="BR12" s="13"/>
      <c r="BS12" s="14"/>
    </row>
    <row r="13" spans="1:71" ht="25.95" customHeight="1" x14ac:dyDescent="0.3">
      <c r="A13" s="6"/>
      <c r="B13" s="15" t="s">
        <v>30</v>
      </c>
      <c r="C13" s="16">
        <v>10</v>
      </c>
      <c r="D13" s="16">
        <v>4</v>
      </c>
      <c r="E13" s="16">
        <v>8</v>
      </c>
      <c r="F13" s="16">
        <v>3</v>
      </c>
      <c r="G13" s="16">
        <v>3</v>
      </c>
      <c r="H13" s="16">
        <v>1</v>
      </c>
      <c r="I13" s="16">
        <v>6</v>
      </c>
      <c r="J13" s="16">
        <v>0</v>
      </c>
      <c r="K13" s="16">
        <v>2</v>
      </c>
      <c r="L13" s="16">
        <v>44</v>
      </c>
      <c r="M13" s="9"/>
      <c r="N13" s="15" t="s">
        <v>30</v>
      </c>
      <c r="O13" s="16">
        <v>6</v>
      </c>
      <c r="P13" s="16">
        <v>1</v>
      </c>
      <c r="Q13" s="16">
        <v>2</v>
      </c>
      <c r="R13" s="16">
        <v>4</v>
      </c>
      <c r="S13" s="16">
        <v>8</v>
      </c>
      <c r="T13" s="16">
        <v>3</v>
      </c>
      <c r="U13" s="16">
        <v>9</v>
      </c>
      <c r="V13" s="16">
        <v>0</v>
      </c>
      <c r="W13" s="16">
        <v>2</v>
      </c>
      <c r="X13" s="16">
        <v>43</v>
      </c>
      <c r="Y13" s="9"/>
      <c r="Z13" s="15" t="s">
        <v>30</v>
      </c>
      <c r="AA13" s="16">
        <v>0</v>
      </c>
      <c r="AB13" s="16">
        <v>0</v>
      </c>
      <c r="AC13" s="16">
        <v>1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1</v>
      </c>
      <c r="AK13" s="9"/>
      <c r="AL13" s="15" t="s">
        <v>30</v>
      </c>
      <c r="AM13" s="16">
        <v>0</v>
      </c>
      <c r="AN13" s="16">
        <v>0</v>
      </c>
      <c r="AO13" s="16">
        <v>0</v>
      </c>
      <c r="AP13" s="16">
        <v>0</v>
      </c>
      <c r="AQ13" s="16">
        <v>0</v>
      </c>
      <c r="AR13" s="16">
        <v>0</v>
      </c>
      <c r="AS13" s="16">
        <v>0</v>
      </c>
      <c r="AT13" s="16">
        <v>0</v>
      </c>
      <c r="AU13" s="16">
        <v>0</v>
      </c>
      <c r="AV13" s="16">
        <v>0</v>
      </c>
      <c r="AW13" s="20" t="s">
        <v>49</v>
      </c>
      <c r="AX13" s="15" t="s">
        <v>30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J13" s="21"/>
      <c r="BK13" s="11"/>
      <c r="BL13" s="22" t="s">
        <v>37</v>
      </c>
      <c r="BM13" s="13"/>
      <c r="BN13" s="13"/>
      <c r="BO13" s="13"/>
      <c r="BP13" s="13"/>
      <c r="BQ13" s="13"/>
      <c r="BR13" s="13"/>
      <c r="BS13" s="14"/>
    </row>
    <row r="14" spans="1:71" ht="25.95" customHeight="1" x14ac:dyDescent="0.3">
      <c r="A14" s="20"/>
      <c r="B14" s="15" t="s">
        <v>32</v>
      </c>
      <c r="C14" s="16">
        <v>3</v>
      </c>
      <c r="D14" s="16">
        <v>1</v>
      </c>
      <c r="E14" s="16">
        <v>2</v>
      </c>
      <c r="F14" s="16">
        <v>2</v>
      </c>
      <c r="G14" s="16">
        <v>1</v>
      </c>
      <c r="H14" s="16">
        <v>2</v>
      </c>
      <c r="I14" s="16">
        <v>2</v>
      </c>
      <c r="J14" s="16">
        <v>5</v>
      </c>
      <c r="K14" s="16">
        <v>2</v>
      </c>
      <c r="L14" s="16">
        <v>23</v>
      </c>
      <c r="M14" s="20"/>
      <c r="N14" s="15" t="s">
        <v>32</v>
      </c>
      <c r="O14" s="16">
        <v>4</v>
      </c>
      <c r="P14" s="16">
        <v>1</v>
      </c>
      <c r="Q14" s="16">
        <v>2</v>
      </c>
      <c r="R14" s="16">
        <v>2</v>
      </c>
      <c r="S14" s="16">
        <v>1</v>
      </c>
      <c r="T14" s="16">
        <v>0</v>
      </c>
      <c r="U14" s="16">
        <v>0</v>
      </c>
      <c r="V14" s="16">
        <v>0</v>
      </c>
      <c r="W14" s="16">
        <v>2</v>
      </c>
      <c r="X14" s="16">
        <v>14</v>
      </c>
      <c r="Y14" s="20"/>
      <c r="Z14" s="15" t="s">
        <v>32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  <c r="AK14" s="20"/>
      <c r="AL14" s="15" t="s">
        <v>32</v>
      </c>
      <c r="AM14" s="16">
        <v>0</v>
      </c>
      <c r="AN14" s="16">
        <v>0</v>
      </c>
      <c r="AO14" s="16">
        <v>0</v>
      </c>
      <c r="AP14" s="16">
        <v>0</v>
      </c>
      <c r="AQ14" s="16">
        <v>0</v>
      </c>
      <c r="AR14" s="16">
        <v>0</v>
      </c>
      <c r="AS14" s="16">
        <v>0</v>
      </c>
      <c r="AT14" s="16">
        <v>0</v>
      </c>
      <c r="AU14" s="16">
        <v>0</v>
      </c>
      <c r="AV14" s="16">
        <v>0</v>
      </c>
      <c r="AW14" s="20"/>
      <c r="AX14" s="15" t="s">
        <v>32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J14" s="21"/>
      <c r="BK14" s="11"/>
      <c r="BL14" s="22" t="s">
        <v>37</v>
      </c>
      <c r="BM14" s="13"/>
      <c r="BN14" s="13"/>
      <c r="BO14" s="13"/>
      <c r="BP14" s="13"/>
      <c r="BQ14" s="13"/>
      <c r="BR14" s="13"/>
      <c r="BS14" s="14"/>
    </row>
    <row r="15" spans="1:71" ht="25.95" customHeight="1" x14ac:dyDescent="0.3">
      <c r="A15" s="20"/>
      <c r="B15" s="15" t="s">
        <v>35</v>
      </c>
      <c r="C15" s="16">
        <v>0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1</v>
      </c>
      <c r="M15" s="20"/>
      <c r="N15" s="15" t="s">
        <v>35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20"/>
      <c r="Z15" s="15" t="s">
        <v>35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  <c r="AK15" s="20"/>
      <c r="AL15" s="15" t="s">
        <v>35</v>
      </c>
      <c r="AM15" s="16">
        <v>0</v>
      </c>
      <c r="AN15" s="16">
        <v>0</v>
      </c>
      <c r="AO15" s="16">
        <v>0</v>
      </c>
      <c r="AP15" s="16">
        <v>0</v>
      </c>
      <c r="AQ15" s="16">
        <v>0</v>
      </c>
      <c r="AR15" s="16">
        <v>0</v>
      </c>
      <c r="AS15" s="16">
        <v>0</v>
      </c>
      <c r="AT15" s="16">
        <v>0</v>
      </c>
      <c r="AU15" s="16">
        <v>0</v>
      </c>
      <c r="AV15" s="16">
        <v>0</v>
      </c>
      <c r="AW15" s="20"/>
      <c r="AX15" s="15" t="s">
        <v>35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0</v>
      </c>
      <c r="BG15" s="16">
        <v>0</v>
      </c>
      <c r="BH15" s="16">
        <v>0</v>
      </c>
      <c r="BJ15" s="18"/>
      <c r="BK15" s="11"/>
      <c r="BL15" s="19" t="s">
        <v>34</v>
      </c>
      <c r="BM15" s="13"/>
      <c r="BN15" s="13"/>
      <c r="BO15" s="13"/>
      <c r="BP15" s="13"/>
      <c r="BQ15" s="13"/>
      <c r="BR15" s="13"/>
      <c r="BS15" s="14"/>
    </row>
    <row r="16" spans="1:71" x14ac:dyDescent="0.3">
      <c r="A16" s="20"/>
      <c r="B16" s="15" t="s">
        <v>38</v>
      </c>
      <c r="C16" s="16">
        <v>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23" t="s">
        <v>39</v>
      </c>
      <c r="K16" s="16">
        <v>0</v>
      </c>
      <c r="L16" s="16">
        <v>0</v>
      </c>
      <c r="M16" s="20"/>
      <c r="N16" s="15" t="s">
        <v>38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23" t="s">
        <v>39</v>
      </c>
      <c r="W16" s="16">
        <v>0</v>
      </c>
      <c r="X16" s="16">
        <v>0</v>
      </c>
      <c r="Y16" s="20"/>
      <c r="Z16" s="15" t="s">
        <v>38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23" t="s">
        <v>39</v>
      </c>
      <c r="AI16" s="16">
        <v>0</v>
      </c>
      <c r="AJ16" s="16">
        <v>0</v>
      </c>
      <c r="AK16" s="20"/>
      <c r="AL16" s="15" t="s">
        <v>38</v>
      </c>
      <c r="AM16" s="16">
        <v>0</v>
      </c>
      <c r="AN16" s="16">
        <v>0</v>
      </c>
      <c r="AO16" s="16">
        <v>0</v>
      </c>
      <c r="AP16" s="16">
        <v>0</v>
      </c>
      <c r="AQ16" s="16">
        <v>0</v>
      </c>
      <c r="AR16" s="16">
        <v>0</v>
      </c>
      <c r="AS16" s="16">
        <v>0</v>
      </c>
      <c r="AT16" s="23" t="s">
        <v>39</v>
      </c>
      <c r="AU16" s="16">
        <v>0</v>
      </c>
      <c r="AV16" s="16">
        <v>0</v>
      </c>
      <c r="AW16" s="20"/>
      <c r="AX16" s="15" t="s">
        <v>38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0</v>
      </c>
      <c r="BE16" s="16">
        <v>0</v>
      </c>
      <c r="BF16" s="23" t="s">
        <v>39</v>
      </c>
      <c r="BG16" s="16">
        <v>0</v>
      </c>
      <c r="BH16" s="16">
        <v>0</v>
      </c>
    </row>
    <row r="17" spans="1:71" ht="36" customHeight="1" x14ac:dyDescent="0.3">
      <c r="A17" s="20"/>
      <c r="B17" s="25" t="s">
        <v>50</v>
      </c>
      <c r="C17" s="26">
        <v>0</v>
      </c>
      <c r="D17" s="26">
        <v>0</v>
      </c>
      <c r="E17" s="26">
        <v>0</v>
      </c>
      <c r="F17" s="26">
        <v>0</v>
      </c>
      <c r="G17" s="26">
        <v>0</v>
      </c>
      <c r="H17" s="26">
        <v>0</v>
      </c>
      <c r="I17" s="26">
        <v>0</v>
      </c>
      <c r="J17" s="26">
        <v>0</v>
      </c>
      <c r="K17" s="26">
        <v>0</v>
      </c>
      <c r="L17" s="26">
        <v>0</v>
      </c>
      <c r="M17" s="20"/>
      <c r="N17" s="25" t="s">
        <v>50</v>
      </c>
      <c r="O17" s="26">
        <v>0</v>
      </c>
      <c r="P17" s="26">
        <v>0</v>
      </c>
      <c r="Q17" s="26">
        <v>0</v>
      </c>
      <c r="R17" s="26">
        <v>0</v>
      </c>
      <c r="S17" s="26">
        <v>0</v>
      </c>
      <c r="T17" s="26">
        <v>0</v>
      </c>
      <c r="U17" s="26">
        <v>0</v>
      </c>
      <c r="V17" s="26">
        <v>0</v>
      </c>
      <c r="W17" s="26">
        <v>0</v>
      </c>
      <c r="X17" s="26">
        <v>0</v>
      </c>
      <c r="Y17" s="20"/>
      <c r="Z17" s="25" t="s">
        <v>50</v>
      </c>
      <c r="AA17" s="26">
        <v>0</v>
      </c>
      <c r="AB17" s="26">
        <v>0</v>
      </c>
      <c r="AC17" s="26">
        <v>0</v>
      </c>
      <c r="AD17" s="26">
        <v>0</v>
      </c>
      <c r="AE17" s="26">
        <v>0</v>
      </c>
      <c r="AF17" s="26">
        <v>0</v>
      </c>
      <c r="AG17" s="26">
        <v>0</v>
      </c>
      <c r="AH17" s="26">
        <v>0</v>
      </c>
      <c r="AI17" s="26">
        <v>0</v>
      </c>
      <c r="AJ17" s="26">
        <v>0</v>
      </c>
      <c r="AK17" s="20"/>
      <c r="AL17" s="25" t="s">
        <v>50</v>
      </c>
      <c r="AM17" s="26">
        <v>0</v>
      </c>
      <c r="AN17" s="26">
        <v>0</v>
      </c>
      <c r="AO17" s="26">
        <v>0</v>
      </c>
      <c r="AP17" s="26">
        <v>0</v>
      </c>
      <c r="AQ17" s="26">
        <v>0</v>
      </c>
      <c r="AR17" s="26">
        <v>0</v>
      </c>
      <c r="AS17" s="26">
        <v>0</v>
      </c>
      <c r="AT17" s="26">
        <v>0</v>
      </c>
      <c r="AU17" s="26">
        <v>0</v>
      </c>
      <c r="AV17" s="26">
        <v>0</v>
      </c>
      <c r="AW17" s="20"/>
      <c r="AX17" s="25" t="s">
        <v>50</v>
      </c>
      <c r="AY17" s="26">
        <v>0</v>
      </c>
      <c r="AZ17" s="26">
        <v>0</v>
      </c>
      <c r="BA17" s="26">
        <v>0</v>
      </c>
      <c r="BB17" s="26">
        <v>0</v>
      </c>
      <c r="BC17" s="26">
        <v>0</v>
      </c>
      <c r="BD17" s="26">
        <v>0</v>
      </c>
      <c r="BE17" s="26">
        <v>0</v>
      </c>
      <c r="BF17" s="26">
        <v>0</v>
      </c>
      <c r="BG17" s="26">
        <v>0</v>
      </c>
      <c r="BH17" s="26">
        <v>0</v>
      </c>
      <c r="BJ17" s="30" t="s">
        <v>51</v>
      </c>
      <c r="BK17" s="2"/>
      <c r="BL17" s="2"/>
      <c r="BM17" s="2"/>
      <c r="BN17" s="2"/>
      <c r="BO17" s="2"/>
      <c r="BP17" s="2"/>
      <c r="BQ17" s="2"/>
      <c r="BR17" s="2"/>
      <c r="BS17" s="2"/>
    </row>
    <row r="20" spans="1:71" ht="25.95" customHeight="1" x14ac:dyDescent="0.3">
      <c r="A20" s="31" t="s">
        <v>52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  <row r="21" spans="1:71" x14ac:dyDescent="0.3">
      <c r="A21" s="32"/>
      <c r="B21" s="33"/>
      <c r="C21" s="8" t="s">
        <v>15</v>
      </c>
      <c r="D21" s="8" t="s">
        <v>16</v>
      </c>
      <c r="E21" s="8" t="s">
        <v>18</v>
      </c>
      <c r="F21" s="8" t="s">
        <v>19</v>
      </c>
      <c r="G21" s="8" t="s">
        <v>20</v>
      </c>
      <c r="H21" s="8" t="s">
        <v>21</v>
      </c>
      <c r="I21" s="8" t="s">
        <v>24</v>
      </c>
      <c r="J21" s="32"/>
      <c r="K21" s="33"/>
      <c r="L21" s="8" t="s">
        <v>15</v>
      </c>
      <c r="M21" s="8" t="s">
        <v>16</v>
      </c>
      <c r="N21" s="8" t="s">
        <v>18</v>
      </c>
      <c r="O21" s="8" t="s">
        <v>19</v>
      </c>
      <c r="P21" s="8" t="s">
        <v>20</v>
      </c>
      <c r="Q21" s="8" t="s">
        <v>21</v>
      </c>
      <c r="R21" s="8" t="s">
        <v>24</v>
      </c>
      <c r="S21" s="32"/>
      <c r="T21" s="33"/>
      <c r="U21" s="8" t="s">
        <v>15</v>
      </c>
      <c r="V21" s="8" t="s">
        <v>16</v>
      </c>
      <c r="W21" s="8" t="s">
        <v>18</v>
      </c>
      <c r="X21" s="8" t="s">
        <v>19</v>
      </c>
      <c r="Y21" s="8" t="s">
        <v>20</v>
      </c>
      <c r="Z21" s="8" t="s">
        <v>21</v>
      </c>
      <c r="AA21" s="8" t="s">
        <v>24</v>
      </c>
      <c r="AB21" s="32"/>
      <c r="AC21" s="33"/>
      <c r="AD21" s="8" t="s">
        <v>15</v>
      </c>
      <c r="AE21" s="8" t="s">
        <v>16</v>
      </c>
      <c r="AF21" s="8" t="s">
        <v>18</v>
      </c>
      <c r="AG21" s="8" t="s">
        <v>19</v>
      </c>
      <c r="AH21" s="8" t="s">
        <v>20</v>
      </c>
      <c r="AI21" s="8" t="s">
        <v>21</v>
      </c>
      <c r="AJ21" s="8" t="s">
        <v>24</v>
      </c>
      <c r="AK21" s="32"/>
      <c r="AL21" s="33"/>
      <c r="AM21" s="8" t="s">
        <v>15</v>
      </c>
      <c r="AN21" s="8" t="s">
        <v>16</v>
      </c>
      <c r="AO21" s="8" t="s">
        <v>18</v>
      </c>
      <c r="AP21" s="8" t="s">
        <v>19</v>
      </c>
      <c r="AQ21" s="8" t="s">
        <v>20</v>
      </c>
      <c r="AR21" s="8" t="s">
        <v>21</v>
      </c>
      <c r="AS21" s="8" t="s">
        <v>24</v>
      </c>
      <c r="AT21" s="32"/>
      <c r="AU21" s="33"/>
      <c r="AV21" s="8" t="s">
        <v>15</v>
      </c>
      <c r="AW21" s="8" t="s">
        <v>16</v>
      </c>
      <c r="AX21" s="8" t="s">
        <v>18</v>
      </c>
      <c r="AY21" s="8" t="s">
        <v>19</v>
      </c>
      <c r="AZ21" s="8" t="s">
        <v>20</v>
      </c>
      <c r="BA21" s="8" t="s">
        <v>21</v>
      </c>
      <c r="BB21" s="8" t="s">
        <v>24</v>
      </c>
    </row>
    <row r="22" spans="1:71" x14ac:dyDescent="0.3">
      <c r="A22" s="32" t="s">
        <v>27</v>
      </c>
      <c r="B22" s="33" t="s">
        <v>53</v>
      </c>
      <c r="C22" s="34">
        <v>2</v>
      </c>
      <c r="D22" s="34">
        <v>2</v>
      </c>
      <c r="E22" s="34">
        <v>2</v>
      </c>
      <c r="F22" s="34">
        <v>1</v>
      </c>
      <c r="G22" s="34">
        <v>2</v>
      </c>
      <c r="H22" s="34">
        <v>4</v>
      </c>
      <c r="I22" s="34">
        <v>14</v>
      </c>
      <c r="J22" s="32" t="s">
        <v>13</v>
      </c>
      <c r="K22" s="33" t="s">
        <v>53</v>
      </c>
      <c r="L22" s="34">
        <v>0</v>
      </c>
      <c r="M22" s="34">
        <v>0</v>
      </c>
      <c r="N22" s="34">
        <v>2</v>
      </c>
      <c r="O22" s="34">
        <v>0</v>
      </c>
      <c r="P22" s="34">
        <v>0</v>
      </c>
      <c r="Q22" s="34">
        <v>0</v>
      </c>
      <c r="R22" s="34">
        <v>2</v>
      </c>
      <c r="S22" s="32" t="s">
        <v>54</v>
      </c>
      <c r="T22" s="33" t="s">
        <v>53</v>
      </c>
      <c r="U22" s="34">
        <v>8</v>
      </c>
      <c r="V22" s="34">
        <v>6</v>
      </c>
      <c r="W22" s="34">
        <v>13</v>
      </c>
      <c r="X22" s="34">
        <v>3</v>
      </c>
      <c r="Y22" s="34">
        <v>0</v>
      </c>
      <c r="Z22" s="34">
        <v>2</v>
      </c>
      <c r="AA22" s="34">
        <v>36</v>
      </c>
      <c r="AB22" s="32" t="s">
        <v>46</v>
      </c>
      <c r="AC22" s="33" t="s">
        <v>53</v>
      </c>
      <c r="AD22" s="34">
        <v>2</v>
      </c>
      <c r="AE22" s="34">
        <v>4</v>
      </c>
      <c r="AF22" s="34">
        <v>0</v>
      </c>
      <c r="AG22" s="34">
        <v>2</v>
      </c>
      <c r="AH22" s="34">
        <v>0</v>
      </c>
      <c r="AI22" s="34">
        <v>1</v>
      </c>
      <c r="AJ22" s="34">
        <v>10</v>
      </c>
      <c r="AK22" s="32" t="s">
        <v>45</v>
      </c>
      <c r="AL22" s="33" t="s">
        <v>53</v>
      </c>
      <c r="AM22" s="34">
        <v>2</v>
      </c>
      <c r="AN22" s="34">
        <v>2</v>
      </c>
      <c r="AO22" s="34">
        <v>6</v>
      </c>
      <c r="AP22" s="34">
        <v>1</v>
      </c>
      <c r="AQ22" s="34">
        <v>1</v>
      </c>
      <c r="AR22" s="34">
        <v>1</v>
      </c>
      <c r="AS22" s="34">
        <v>13</v>
      </c>
      <c r="AT22" s="32" t="s">
        <v>48</v>
      </c>
      <c r="AU22" s="33" t="s">
        <v>53</v>
      </c>
      <c r="AV22" s="34">
        <v>0</v>
      </c>
      <c r="AW22" s="34">
        <v>0</v>
      </c>
      <c r="AX22" s="34">
        <v>1</v>
      </c>
      <c r="AY22" s="34">
        <v>0</v>
      </c>
      <c r="AZ22" s="34">
        <v>0</v>
      </c>
      <c r="BA22" s="34">
        <v>0</v>
      </c>
      <c r="BB22" s="34">
        <v>2</v>
      </c>
    </row>
    <row r="23" spans="1:71" x14ac:dyDescent="0.3">
      <c r="A23" s="32" t="s">
        <v>27</v>
      </c>
      <c r="B23" s="33" t="s">
        <v>55</v>
      </c>
      <c r="C23" s="34">
        <v>1</v>
      </c>
      <c r="D23" s="34">
        <v>1</v>
      </c>
      <c r="E23" s="34">
        <v>5</v>
      </c>
      <c r="F23" s="34">
        <v>0</v>
      </c>
      <c r="G23" s="34">
        <v>4</v>
      </c>
      <c r="H23" s="34">
        <v>1</v>
      </c>
      <c r="I23" s="34">
        <v>12</v>
      </c>
      <c r="J23" s="32" t="s">
        <v>13</v>
      </c>
      <c r="K23" s="33" t="s">
        <v>55</v>
      </c>
      <c r="L23" s="34">
        <v>0</v>
      </c>
      <c r="M23" s="34">
        <v>0</v>
      </c>
      <c r="N23" s="34">
        <v>0</v>
      </c>
      <c r="O23" s="34">
        <v>0</v>
      </c>
      <c r="P23" s="34">
        <v>0</v>
      </c>
      <c r="Q23" s="34">
        <v>0</v>
      </c>
      <c r="R23" s="34">
        <v>0</v>
      </c>
      <c r="S23" s="32" t="s">
        <v>54</v>
      </c>
      <c r="T23" s="33" t="s">
        <v>55</v>
      </c>
      <c r="U23" s="34">
        <v>0</v>
      </c>
      <c r="V23" s="34">
        <v>0</v>
      </c>
      <c r="W23" s="34">
        <v>1</v>
      </c>
      <c r="X23" s="34">
        <v>4</v>
      </c>
      <c r="Y23" s="34">
        <v>0</v>
      </c>
      <c r="Z23" s="34">
        <v>7</v>
      </c>
      <c r="AA23" s="34">
        <v>13</v>
      </c>
      <c r="AB23" s="32" t="s">
        <v>46</v>
      </c>
      <c r="AC23" s="33" t="s">
        <v>55</v>
      </c>
      <c r="AD23" s="34">
        <v>3</v>
      </c>
      <c r="AE23" s="34">
        <v>4</v>
      </c>
      <c r="AF23" s="34">
        <v>1</v>
      </c>
      <c r="AG23" s="34">
        <v>0</v>
      </c>
      <c r="AH23" s="34">
        <v>4</v>
      </c>
      <c r="AI23" s="34">
        <v>3</v>
      </c>
      <c r="AJ23" s="34">
        <v>15</v>
      </c>
      <c r="AK23" s="32" t="s">
        <v>45</v>
      </c>
      <c r="AL23" s="33" t="s">
        <v>55</v>
      </c>
      <c r="AM23" s="34">
        <v>0</v>
      </c>
      <c r="AN23" s="34">
        <v>1</v>
      </c>
      <c r="AO23" s="34">
        <v>2</v>
      </c>
      <c r="AP23" s="34">
        <v>0</v>
      </c>
      <c r="AQ23" s="34">
        <v>1</v>
      </c>
      <c r="AR23" s="34">
        <v>0</v>
      </c>
      <c r="AS23" s="34">
        <v>4</v>
      </c>
      <c r="AT23" s="32" t="s">
        <v>48</v>
      </c>
      <c r="AU23" s="33" t="s">
        <v>55</v>
      </c>
      <c r="AV23" s="34">
        <v>0</v>
      </c>
      <c r="AW23" s="34">
        <v>1</v>
      </c>
      <c r="AX23" s="34">
        <v>0</v>
      </c>
      <c r="AY23" s="34">
        <v>0</v>
      </c>
      <c r="AZ23" s="34">
        <v>0</v>
      </c>
      <c r="BA23" s="34">
        <v>0</v>
      </c>
      <c r="BB23" s="34">
        <v>2</v>
      </c>
    </row>
    <row r="24" spans="1:71" x14ac:dyDescent="0.3">
      <c r="A24" s="32" t="s">
        <v>27</v>
      </c>
      <c r="B24" s="33" t="s">
        <v>56</v>
      </c>
      <c r="C24" s="34">
        <v>0</v>
      </c>
      <c r="D24" s="34">
        <v>0</v>
      </c>
      <c r="E24" s="34">
        <v>1</v>
      </c>
      <c r="F24" s="34">
        <v>3</v>
      </c>
      <c r="G24" s="34">
        <v>5</v>
      </c>
      <c r="H24" s="34">
        <v>3</v>
      </c>
      <c r="I24" s="34">
        <v>12</v>
      </c>
      <c r="J24" s="32" t="s">
        <v>13</v>
      </c>
      <c r="K24" s="33" t="s">
        <v>56</v>
      </c>
      <c r="L24" s="34">
        <v>0</v>
      </c>
      <c r="M24" s="34">
        <v>0</v>
      </c>
      <c r="N24" s="34">
        <v>0</v>
      </c>
      <c r="O24" s="34">
        <v>0</v>
      </c>
      <c r="P24" s="34">
        <v>0</v>
      </c>
      <c r="Q24" s="34">
        <v>0</v>
      </c>
      <c r="R24" s="34">
        <v>0</v>
      </c>
      <c r="S24" s="32" t="s">
        <v>54</v>
      </c>
      <c r="T24" s="33" t="s">
        <v>56</v>
      </c>
      <c r="U24" s="34">
        <v>0</v>
      </c>
      <c r="V24" s="34">
        <v>0</v>
      </c>
      <c r="W24" s="34">
        <v>0</v>
      </c>
      <c r="X24" s="34">
        <v>0</v>
      </c>
      <c r="Y24" s="34">
        <v>0</v>
      </c>
      <c r="Z24" s="34">
        <v>1</v>
      </c>
      <c r="AA24" s="34">
        <v>1</v>
      </c>
      <c r="AB24" s="32" t="s">
        <v>46</v>
      </c>
      <c r="AC24" s="33" t="s">
        <v>56</v>
      </c>
      <c r="AD24" s="34">
        <v>1</v>
      </c>
      <c r="AE24" s="34">
        <v>0</v>
      </c>
      <c r="AF24" s="34">
        <v>5</v>
      </c>
      <c r="AG24" s="34">
        <v>2</v>
      </c>
      <c r="AH24" s="34">
        <v>5</v>
      </c>
      <c r="AI24" s="34">
        <v>6</v>
      </c>
      <c r="AJ24" s="34">
        <v>19</v>
      </c>
      <c r="AK24" s="32" t="s">
        <v>45</v>
      </c>
      <c r="AL24" s="33" t="s">
        <v>56</v>
      </c>
      <c r="AM24" s="34">
        <v>0</v>
      </c>
      <c r="AN24" s="34">
        <v>0</v>
      </c>
      <c r="AO24" s="34">
        <v>2</v>
      </c>
      <c r="AP24" s="34">
        <v>1</v>
      </c>
      <c r="AQ24" s="34">
        <v>4</v>
      </c>
      <c r="AR24" s="34">
        <v>5</v>
      </c>
      <c r="AS24" s="34">
        <v>12</v>
      </c>
      <c r="AT24" s="32" t="s">
        <v>48</v>
      </c>
      <c r="AU24" s="33" t="s">
        <v>56</v>
      </c>
      <c r="AV24" s="34">
        <v>0</v>
      </c>
      <c r="AW24" s="34">
        <v>0</v>
      </c>
      <c r="AX24" s="34">
        <v>0</v>
      </c>
      <c r="AY24" s="34">
        <v>0</v>
      </c>
      <c r="AZ24" s="34">
        <v>0</v>
      </c>
      <c r="BA24" s="34">
        <v>0</v>
      </c>
      <c r="BB24" s="34">
        <v>0</v>
      </c>
    </row>
    <row r="25" spans="1:71" x14ac:dyDescent="0.3">
      <c r="A25" s="32" t="s">
        <v>27</v>
      </c>
      <c r="B25" s="33" t="s">
        <v>53</v>
      </c>
      <c r="C25" s="34">
        <v>0</v>
      </c>
      <c r="D25" s="34">
        <v>0</v>
      </c>
      <c r="E25" s="34">
        <v>0</v>
      </c>
      <c r="F25" s="34">
        <v>0</v>
      </c>
      <c r="G25" s="34">
        <v>0</v>
      </c>
      <c r="H25" s="34">
        <v>0</v>
      </c>
      <c r="I25" s="34">
        <v>0</v>
      </c>
      <c r="J25" s="32" t="s">
        <v>13</v>
      </c>
      <c r="K25" s="33" t="s">
        <v>53</v>
      </c>
      <c r="L25" s="34">
        <v>6</v>
      </c>
      <c r="M25" s="34">
        <v>2</v>
      </c>
      <c r="N25" s="34">
        <v>14</v>
      </c>
      <c r="O25" s="34">
        <v>0</v>
      </c>
      <c r="P25" s="34">
        <v>15</v>
      </c>
      <c r="Q25" s="34">
        <v>1</v>
      </c>
      <c r="R25" s="34">
        <v>44</v>
      </c>
      <c r="S25" s="32" t="s">
        <v>54</v>
      </c>
      <c r="T25" s="33" t="s">
        <v>53</v>
      </c>
      <c r="U25" s="34">
        <v>0</v>
      </c>
      <c r="V25" s="34">
        <v>0</v>
      </c>
      <c r="W25" s="34">
        <v>0</v>
      </c>
      <c r="X25" s="34">
        <v>0</v>
      </c>
      <c r="Y25" s="34">
        <v>0</v>
      </c>
      <c r="Z25" s="34">
        <v>0</v>
      </c>
      <c r="AA25" s="34">
        <v>0</v>
      </c>
      <c r="AB25" s="32" t="s">
        <v>46</v>
      </c>
      <c r="AC25" s="33" t="s">
        <v>53</v>
      </c>
      <c r="AD25" s="34">
        <v>0</v>
      </c>
      <c r="AE25" s="34">
        <v>0</v>
      </c>
      <c r="AF25" s="34">
        <v>1</v>
      </c>
      <c r="AG25" s="34">
        <v>1</v>
      </c>
      <c r="AH25" s="34">
        <v>1</v>
      </c>
      <c r="AI25" s="34">
        <v>0</v>
      </c>
      <c r="AJ25" s="34">
        <v>3</v>
      </c>
      <c r="AK25" s="32" t="s">
        <v>45</v>
      </c>
      <c r="AL25" s="33" t="s">
        <v>53</v>
      </c>
      <c r="AM25" s="34">
        <v>16</v>
      </c>
      <c r="AN25" s="34">
        <v>0</v>
      </c>
      <c r="AO25" s="34">
        <v>31</v>
      </c>
      <c r="AP25" s="34">
        <v>0</v>
      </c>
      <c r="AQ25" s="34">
        <v>6</v>
      </c>
      <c r="AR25" s="34">
        <v>1</v>
      </c>
      <c r="AS25" s="34">
        <v>58</v>
      </c>
      <c r="AT25" s="32" t="s">
        <v>48</v>
      </c>
      <c r="AU25" s="33" t="s">
        <v>53</v>
      </c>
      <c r="AV25" s="34">
        <v>0</v>
      </c>
      <c r="AW25" s="34">
        <v>0</v>
      </c>
      <c r="AX25" s="34">
        <v>0</v>
      </c>
      <c r="AY25" s="34">
        <v>0</v>
      </c>
      <c r="AZ25" s="34">
        <v>0</v>
      </c>
      <c r="BA25" s="34">
        <v>0</v>
      </c>
      <c r="BB25" s="34">
        <v>0</v>
      </c>
    </row>
    <row r="26" spans="1:71" x14ac:dyDescent="0.3">
      <c r="A26" s="32" t="s">
        <v>27</v>
      </c>
      <c r="B26" s="33" t="s">
        <v>55</v>
      </c>
      <c r="C26" s="34">
        <v>0</v>
      </c>
      <c r="D26" s="34">
        <v>0</v>
      </c>
      <c r="E26" s="34">
        <v>0</v>
      </c>
      <c r="F26" s="34">
        <v>0</v>
      </c>
      <c r="G26" s="34">
        <v>0</v>
      </c>
      <c r="H26" s="34">
        <v>0</v>
      </c>
      <c r="I26" s="34">
        <v>0</v>
      </c>
      <c r="J26" s="32" t="s">
        <v>13</v>
      </c>
      <c r="K26" s="33" t="s">
        <v>55</v>
      </c>
      <c r="L26" s="34">
        <v>0</v>
      </c>
      <c r="M26" s="34">
        <v>0</v>
      </c>
      <c r="N26" s="34">
        <v>0</v>
      </c>
      <c r="O26" s="34">
        <v>0</v>
      </c>
      <c r="P26" s="34">
        <v>0</v>
      </c>
      <c r="Q26" s="34">
        <v>0</v>
      </c>
      <c r="R26" s="34">
        <v>0</v>
      </c>
      <c r="S26" s="32" t="s">
        <v>54</v>
      </c>
      <c r="T26" s="33" t="s">
        <v>55</v>
      </c>
      <c r="U26" s="34">
        <v>0</v>
      </c>
      <c r="V26" s="34">
        <v>0</v>
      </c>
      <c r="W26" s="34">
        <v>0</v>
      </c>
      <c r="X26" s="34">
        <v>0</v>
      </c>
      <c r="Y26" s="34">
        <v>0</v>
      </c>
      <c r="Z26" s="34">
        <v>0</v>
      </c>
      <c r="AA26" s="34">
        <v>0</v>
      </c>
      <c r="AB26" s="32" t="s">
        <v>46</v>
      </c>
      <c r="AC26" s="33" t="s">
        <v>55</v>
      </c>
      <c r="AD26" s="34">
        <v>0</v>
      </c>
      <c r="AE26" s="34">
        <v>0</v>
      </c>
      <c r="AF26" s="34">
        <v>3</v>
      </c>
      <c r="AG26" s="34">
        <v>1</v>
      </c>
      <c r="AH26" s="34">
        <v>5</v>
      </c>
      <c r="AI26" s="34">
        <v>0</v>
      </c>
      <c r="AJ26" s="34">
        <v>12</v>
      </c>
      <c r="AK26" s="32" t="s">
        <v>45</v>
      </c>
      <c r="AL26" s="33" t="s">
        <v>55</v>
      </c>
      <c r="AM26" s="34">
        <v>4</v>
      </c>
      <c r="AN26" s="34">
        <v>0</v>
      </c>
      <c r="AO26" s="34">
        <v>11</v>
      </c>
      <c r="AP26" s="34">
        <v>0</v>
      </c>
      <c r="AQ26" s="34">
        <v>1</v>
      </c>
      <c r="AR26" s="34">
        <v>0</v>
      </c>
      <c r="AS26" s="34">
        <v>17</v>
      </c>
      <c r="AT26" s="32" t="s">
        <v>48</v>
      </c>
      <c r="AU26" s="33" t="s">
        <v>55</v>
      </c>
      <c r="AV26" s="34">
        <v>0</v>
      </c>
      <c r="AW26" s="34">
        <v>0</v>
      </c>
      <c r="AX26" s="34">
        <v>0</v>
      </c>
      <c r="AY26" s="34">
        <v>0</v>
      </c>
      <c r="AZ26" s="34">
        <v>0</v>
      </c>
      <c r="BA26" s="34">
        <v>0</v>
      </c>
      <c r="BB26" s="34">
        <v>0</v>
      </c>
    </row>
    <row r="27" spans="1:71" x14ac:dyDescent="0.3">
      <c r="A27" s="32" t="s">
        <v>27</v>
      </c>
      <c r="B27" s="35" t="s">
        <v>56</v>
      </c>
      <c r="C27" s="36">
        <v>0</v>
      </c>
      <c r="D27" s="36">
        <v>0</v>
      </c>
      <c r="E27" s="36">
        <v>0</v>
      </c>
      <c r="F27" s="36">
        <v>0</v>
      </c>
      <c r="G27" s="36">
        <v>0</v>
      </c>
      <c r="H27" s="36">
        <v>0</v>
      </c>
      <c r="I27" s="36">
        <v>0</v>
      </c>
      <c r="J27" s="32" t="s">
        <v>13</v>
      </c>
      <c r="K27" s="35" t="s">
        <v>56</v>
      </c>
      <c r="L27" s="36">
        <v>0</v>
      </c>
      <c r="M27" s="36">
        <v>0</v>
      </c>
      <c r="N27" s="36">
        <v>0</v>
      </c>
      <c r="O27" s="36">
        <v>0</v>
      </c>
      <c r="P27" s="36">
        <v>0</v>
      </c>
      <c r="Q27" s="36">
        <v>0</v>
      </c>
      <c r="R27" s="36">
        <v>0</v>
      </c>
      <c r="S27" s="32" t="s">
        <v>54</v>
      </c>
      <c r="T27" s="35" t="s">
        <v>56</v>
      </c>
      <c r="U27" s="36">
        <v>0</v>
      </c>
      <c r="V27" s="36">
        <v>0</v>
      </c>
      <c r="W27" s="36">
        <v>0</v>
      </c>
      <c r="X27" s="36">
        <v>0</v>
      </c>
      <c r="Y27" s="36">
        <v>0</v>
      </c>
      <c r="Z27" s="36">
        <v>0</v>
      </c>
      <c r="AA27" s="36">
        <v>0</v>
      </c>
      <c r="AB27" s="32" t="s">
        <v>46</v>
      </c>
      <c r="AC27" s="35" t="s">
        <v>56</v>
      </c>
      <c r="AD27" s="36">
        <v>2</v>
      </c>
      <c r="AE27" s="36">
        <v>0</v>
      </c>
      <c r="AF27" s="36">
        <v>7</v>
      </c>
      <c r="AG27" s="36">
        <v>0</v>
      </c>
      <c r="AH27" s="36">
        <v>5</v>
      </c>
      <c r="AI27" s="36">
        <v>0</v>
      </c>
      <c r="AJ27" s="36">
        <v>18</v>
      </c>
      <c r="AK27" s="32" t="s">
        <v>45</v>
      </c>
      <c r="AL27" s="35" t="s">
        <v>56</v>
      </c>
      <c r="AM27" s="36">
        <v>1</v>
      </c>
      <c r="AN27" s="36">
        <v>0</v>
      </c>
      <c r="AO27" s="36">
        <v>0</v>
      </c>
      <c r="AP27" s="36">
        <v>0</v>
      </c>
      <c r="AQ27" s="36">
        <v>0</v>
      </c>
      <c r="AR27" s="36">
        <v>1</v>
      </c>
      <c r="AS27" s="36">
        <v>2</v>
      </c>
      <c r="AT27" s="32" t="s">
        <v>48</v>
      </c>
      <c r="AU27" s="35" t="s">
        <v>56</v>
      </c>
      <c r="AV27" s="36">
        <v>0</v>
      </c>
      <c r="AW27" s="36">
        <v>0</v>
      </c>
      <c r="AX27" s="36">
        <v>0</v>
      </c>
      <c r="AY27" s="36">
        <v>0</v>
      </c>
      <c r="AZ27" s="36">
        <v>0</v>
      </c>
      <c r="BA27" s="36">
        <v>0</v>
      </c>
      <c r="BB27" s="36">
        <v>0</v>
      </c>
    </row>
    <row r="28" spans="1:71" x14ac:dyDescent="0.3">
      <c r="A28" s="32"/>
      <c r="B28" s="33"/>
      <c r="C28" s="37" t="s">
        <v>15</v>
      </c>
      <c r="D28" s="37" t="s">
        <v>16</v>
      </c>
      <c r="E28" s="37" t="s">
        <v>18</v>
      </c>
      <c r="F28" s="37" t="s">
        <v>19</v>
      </c>
      <c r="G28" s="37" t="s">
        <v>20</v>
      </c>
      <c r="H28" s="37" t="s">
        <v>21</v>
      </c>
      <c r="I28" s="37" t="s">
        <v>24</v>
      </c>
      <c r="J28" s="32"/>
      <c r="K28" s="33"/>
      <c r="L28" s="37" t="s">
        <v>15</v>
      </c>
      <c r="M28" s="37" t="s">
        <v>16</v>
      </c>
      <c r="N28" s="37" t="s">
        <v>18</v>
      </c>
      <c r="O28" s="37" t="s">
        <v>19</v>
      </c>
      <c r="P28" s="37" t="s">
        <v>20</v>
      </c>
      <c r="Q28" s="37" t="s">
        <v>21</v>
      </c>
      <c r="R28" s="37" t="s">
        <v>24</v>
      </c>
      <c r="S28" s="32"/>
      <c r="T28" s="33"/>
      <c r="U28" s="37" t="s">
        <v>15</v>
      </c>
      <c r="V28" s="37" t="s">
        <v>16</v>
      </c>
      <c r="W28" s="37" t="s">
        <v>18</v>
      </c>
      <c r="X28" s="37" t="s">
        <v>19</v>
      </c>
      <c r="Y28" s="37" t="s">
        <v>20</v>
      </c>
      <c r="Z28" s="37" t="s">
        <v>21</v>
      </c>
      <c r="AA28" s="37" t="s">
        <v>24</v>
      </c>
      <c r="AB28" s="32"/>
      <c r="AC28" s="33"/>
      <c r="AD28" s="37" t="s">
        <v>15</v>
      </c>
      <c r="AE28" s="37" t="s">
        <v>16</v>
      </c>
      <c r="AF28" s="37" t="s">
        <v>18</v>
      </c>
      <c r="AG28" s="37" t="s">
        <v>19</v>
      </c>
      <c r="AH28" s="37" t="s">
        <v>20</v>
      </c>
      <c r="AI28" s="37" t="s">
        <v>21</v>
      </c>
      <c r="AJ28" s="37" t="s">
        <v>24</v>
      </c>
      <c r="AK28" s="32"/>
      <c r="AL28" s="33"/>
      <c r="AM28" s="37" t="s">
        <v>15</v>
      </c>
      <c r="AN28" s="37" t="s">
        <v>16</v>
      </c>
      <c r="AO28" s="37" t="s">
        <v>18</v>
      </c>
      <c r="AP28" s="37" t="s">
        <v>19</v>
      </c>
      <c r="AQ28" s="37" t="s">
        <v>20</v>
      </c>
      <c r="AR28" s="37" t="s">
        <v>21</v>
      </c>
      <c r="AS28" s="37" t="s">
        <v>24</v>
      </c>
      <c r="AT28" s="32"/>
      <c r="AU28" s="33"/>
      <c r="AV28" s="37" t="s">
        <v>15</v>
      </c>
      <c r="AW28" s="37" t="s">
        <v>16</v>
      </c>
      <c r="AX28" s="37" t="s">
        <v>18</v>
      </c>
      <c r="AY28" s="37" t="s">
        <v>19</v>
      </c>
      <c r="AZ28" s="37" t="s">
        <v>20</v>
      </c>
      <c r="BA28" s="37" t="s">
        <v>21</v>
      </c>
      <c r="BB28" s="37" t="s">
        <v>24</v>
      </c>
    </row>
    <row r="29" spans="1:71" x14ac:dyDescent="0.3">
      <c r="A29" s="32" t="s">
        <v>57</v>
      </c>
      <c r="B29" s="33" t="s">
        <v>53</v>
      </c>
      <c r="C29" s="34">
        <v>10</v>
      </c>
      <c r="D29" s="34">
        <v>8</v>
      </c>
      <c r="E29" s="34">
        <v>12</v>
      </c>
      <c r="F29" s="34">
        <v>5</v>
      </c>
      <c r="G29" s="34">
        <v>1</v>
      </c>
      <c r="H29" s="34">
        <v>1</v>
      </c>
      <c r="I29" s="34">
        <v>38</v>
      </c>
      <c r="J29" s="32" t="s">
        <v>47</v>
      </c>
      <c r="K29" s="33" t="s">
        <v>53</v>
      </c>
      <c r="L29" s="34">
        <v>0</v>
      </c>
      <c r="M29" s="34">
        <v>0</v>
      </c>
      <c r="N29" s="34">
        <v>0</v>
      </c>
      <c r="O29" s="34">
        <v>0</v>
      </c>
      <c r="P29" s="34">
        <v>0</v>
      </c>
      <c r="Q29" s="34">
        <v>0</v>
      </c>
      <c r="R29" s="34">
        <v>0</v>
      </c>
      <c r="S29" s="32" t="s">
        <v>58</v>
      </c>
      <c r="T29" s="33" t="s">
        <v>53</v>
      </c>
      <c r="U29" s="34">
        <v>0</v>
      </c>
      <c r="V29" s="34">
        <v>0</v>
      </c>
      <c r="W29" s="34">
        <v>0</v>
      </c>
      <c r="X29" s="34">
        <v>0</v>
      </c>
      <c r="Y29" s="34">
        <v>0</v>
      </c>
      <c r="Z29" s="34">
        <v>0</v>
      </c>
      <c r="AA29" s="34">
        <v>0</v>
      </c>
      <c r="AB29" s="32" t="s">
        <v>26</v>
      </c>
      <c r="AC29" s="33" t="s">
        <v>53</v>
      </c>
      <c r="AD29" s="34">
        <v>1</v>
      </c>
      <c r="AE29" s="34">
        <v>6</v>
      </c>
      <c r="AF29" s="34">
        <v>0</v>
      </c>
      <c r="AG29" s="34">
        <v>0</v>
      </c>
      <c r="AH29" s="34">
        <v>0</v>
      </c>
      <c r="AI29" s="34">
        <v>0</v>
      </c>
      <c r="AJ29" s="34">
        <v>7</v>
      </c>
      <c r="AK29" s="32" t="s">
        <v>28</v>
      </c>
      <c r="AL29" s="33" t="s">
        <v>53</v>
      </c>
      <c r="AM29" s="34">
        <v>0</v>
      </c>
      <c r="AN29" s="34">
        <v>0</v>
      </c>
      <c r="AO29" s="34">
        <v>0</v>
      </c>
      <c r="AP29" s="34">
        <v>2</v>
      </c>
      <c r="AQ29" s="34">
        <v>0</v>
      </c>
      <c r="AR29" s="34">
        <v>0</v>
      </c>
      <c r="AS29" s="34">
        <v>2</v>
      </c>
      <c r="AT29" s="32" t="s">
        <v>25</v>
      </c>
      <c r="AU29" s="33" t="s">
        <v>53</v>
      </c>
      <c r="AV29" s="34">
        <v>0</v>
      </c>
      <c r="AW29" s="34">
        <v>0</v>
      </c>
      <c r="AX29" s="34">
        <v>0</v>
      </c>
      <c r="AY29" s="34">
        <v>0</v>
      </c>
      <c r="AZ29" s="34">
        <v>0</v>
      </c>
      <c r="BA29" s="34">
        <v>0</v>
      </c>
      <c r="BB29" s="34">
        <v>0</v>
      </c>
    </row>
    <row r="30" spans="1:71" x14ac:dyDescent="0.3">
      <c r="A30" s="32" t="s">
        <v>57</v>
      </c>
      <c r="B30" s="33" t="s">
        <v>55</v>
      </c>
      <c r="C30" s="34">
        <v>0</v>
      </c>
      <c r="D30" s="34">
        <v>0</v>
      </c>
      <c r="E30" s="34">
        <v>0</v>
      </c>
      <c r="F30" s="34">
        <v>0</v>
      </c>
      <c r="G30" s="34">
        <v>0</v>
      </c>
      <c r="H30" s="34">
        <v>0</v>
      </c>
      <c r="I30" s="34">
        <v>0</v>
      </c>
      <c r="J30" s="32" t="s">
        <v>47</v>
      </c>
      <c r="K30" s="33" t="s">
        <v>55</v>
      </c>
      <c r="L30" s="34">
        <v>0</v>
      </c>
      <c r="M30" s="34">
        <v>0</v>
      </c>
      <c r="N30" s="34">
        <v>0</v>
      </c>
      <c r="O30" s="34">
        <v>0</v>
      </c>
      <c r="P30" s="34">
        <v>0</v>
      </c>
      <c r="Q30" s="34">
        <v>0</v>
      </c>
      <c r="R30" s="34">
        <v>0</v>
      </c>
      <c r="S30" s="32" t="s">
        <v>58</v>
      </c>
      <c r="T30" s="33" t="s">
        <v>55</v>
      </c>
      <c r="U30" s="34">
        <v>0</v>
      </c>
      <c r="V30" s="34">
        <v>0</v>
      </c>
      <c r="W30" s="34">
        <v>0</v>
      </c>
      <c r="X30" s="34">
        <v>0</v>
      </c>
      <c r="Y30" s="34">
        <v>0</v>
      </c>
      <c r="Z30" s="34">
        <v>0</v>
      </c>
      <c r="AA30" s="34">
        <v>0</v>
      </c>
      <c r="AB30" s="32" t="s">
        <v>26</v>
      </c>
      <c r="AC30" s="33" t="s">
        <v>55</v>
      </c>
      <c r="AD30" s="34">
        <v>0</v>
      </c>
      <c r="AE30" s="34">
        <v>0</v>
      </c>
      <c r="AF30" s="34">
        <v>0</v>
      </c>
      <c r="AG30" s="34">
        <v>0</v>
      </c>
      <c r="AH30" s="34">
        <v>0</v>
      </c>
      <c r="AI30" s="34">
        <v>0</v>
      </c>
      <c r="AJ30" s="34">
        <v>0</v>
      </c>
      <c r="AK30" s="32" t="s">
        <v>28</v>
      </c>
      <c r="AL30" s="33" t="s">
        <v>55</v>
      </c>
      <c r="AM30" s="34">
        <v>0</v>
      </c>
      <c r="AN30" s="34">
        <v>0</v>
      </c>
      <c r="AO30" s="34">
        <v>0</v>
      </c>
      <c r="AP30" s="34">
        <v>1</v>
      </c>
      <c r="AQ30" s="34">
        <v>0</v>
      </c>
      <c r="AR30" s="34">
        <v>2</v>
      </c>
      <c r="AS30" s="34">
        <v>3</v>
      </c>
      <c r="AT30" s="32" t="s">
        <v>25</v>
      </c>
      <c r="AU30" s="33" t="s">
        <v>55</v>
      </c>
      <c r="AV30" s="34">
        <v>0</v>
      </c>
      <c r="AW30" s="34">
        <v>0</v>
      </c>
      <c r="AX30" s="34">
        <v>0</v>
      </c>
      <c r="AY30" s="34">
        <v>0</v>
      </c>
      <c r="AZ30" s="34">
        <v>0</v>
      </c>
      <c r="BA30" s="34">
        <v>0</v>
      </c>
      <c r="BB30" s="34">
        <v>0</v>
      </c>
    </row>
    <row r="31" spans="1:71" x14ac:dyDescent="0.3">
      <c r="A31" s="32" t="s">
        <v>57</v>
      </c>
      <c r="B31" s="33" t="s">
        <v>56</v>
      </c>
      <c r="C31" s="34">
        <v>3</v>
      </c>
      <c r="D31" s="34">
        <v>4</v>
      </c>
      <c r="E31" s="34">
        <v>13</v>
      </c>
      <c r="F31" s="34">
        <v>4</v>
      </c>
      <c r="G31" s="34">
        <v>5</v>
      </c>
      <c r="H31" s="34">
        <v>6</v>
      </c>
      <c r="I31" s="34">
        <v>36</v>
      </c>
      <c r="J31" s="32" t="s">
        <v>47</v>
      </c>
      <c r="K31" s="33" t="s">
        <v>56</v>
      </c>
      <c r="L31" s="34">
        <v>0</v>
      </c>
      <c r="M31" s="34">
        <v>0</v>
      </c>
      <c r="N31" s="34">
        <v>0</v>
      </c>
      <c r="O31" s="34">
        <v>0</v>
      </c>
      <c r="P31" s="34">
        <v>0</v>
      </c>
      <c r="Q31" s="34">
        <v>0</v>
      </c>
      <c r="R31" s="34">
        <v>0</v>
      </c>
      <c r="S31" s="32" t="s">
        <v>58</v>
      </c>
      <c r="T31" s="33" t="s">
        <v>56</v>
      </c>
      <c r="U31" s="34">
        <v>0</v>
      </c>
      <c r="V31" s="34">
        <v>0</v>
      </c>
      <c r="W31" s="34">
        <v>0</v>
      </c>
      <c r="X31" s="34">
        <v>0</v>
      </c>
      <c r="Y31" s="34">
        <v>0</v>
      </c>
      <c r="Z31" s="34">
        <v>0</v>
      </c>
      <c r="AA31" s="34">
        <v>0</v>
      </c>
      <c r="AB31" s="32" t="s">
        <v>26</v>
      </c>
      <c r="AC31" s="33" t="s">
        <v>56</v>
      </c>
      <c r="AD31" s="34">
        <v>5</v>
      </c>
      <c r="AE31" s="34">
        <v>0</v>
      </c>
      <c r="AF31" s="34">
        <v>10</v>
      </c>
      <c r="AG31" s="34">
        <v>1</v>
      </c>
      <c r="AH31" s="34">
        <v>0</v>
      </c>
      <c r="AI31" s="34">
        <v>0</v>
      </c>
      <c r="AJ31" s="34">
        <v>18</v>
      </c>
      <c r="AK31" s="32" t="s">
        <v>28</v>
      </c>
      <c r="AL31" s="33" t="s">
        <v>56</v>
      </c>
      <c r="AM31" s="34">
        <v>4</v>
      </c>
      <c r="AN31" s="34">
        <v>2</v>
      </c>
      <c r="AO31" s="34">
        <v>12</v>
      </c>
      <c r="AP31" s="34">
        <v>5</v>
      </c>
      <c r="AQ31" s="34">
        <v>11</v>
      </c>
      <c r="AR31" s="34">
        <v>13</v>
      </c>
      <c r="AS31" s="34">
        <v>49</v>
      </c>
      <c r="AT31" s="32" t="s">
        <v>25</v>
      </c>
      <c r="AU31" s="33" t="s">
        <v>56</v>
      </c>
      <c r="AV31" s="34">
        <v>0</v>
      </c>
      <c r="AW31" s="34">
        <v>0</v>
      </c>
      <c r="AX31" s="34">
        <v>0</v>
      </c>
      <c r="AY31" s="34">
        <v>0</v>
      </c>
      <c r="AZ31" s="34">
        <v>0</v>
      </c>
      <c r="BA31" s="34">
        <v>0</v>
      </c>
      <c r="BB31" s="34">
        <v>0</v>
      </c>
    </row>
    <row r="32" spans="1:71" x14ac:dyDescent="0.3">
      <c r="A32" s="32" t="s">
        <v>57</v>
      </c>
      <c r="B32" s="33" t="s">
        <v>53</v>
      </c>
      <c r="C32" s="34">
        <v>0</v>
      </c>
      <c r="D32" s="34">
        <v>0</v>
      </c>
      <c r="E32" s="34">
        <v>0</v>
      </c>
      <c r="F32" s="34">
        <v>0</v>
      </c>
      <c r="G32" s="34">
        <v>0</v>
      </c>
      <c r="H32" s="34">
        <v>0</v>
      </c>
      <c r="I32" s="34">
        <v>0</v>
      </c>
      <c r="J32" s="32" t="s">
        <v>47</v>
      </c>
      <c r="K32" s="33" t="s">
        <v>53</v>
      </c>
      <c r="L32" s="34">
        <v>0</v>
      </c>
      <c r="M32" s="34">
        <v>0</v>
      </c>
      <c r="N32" s="34">
        <v>0</v>
      </c>
      <c r="O32" s="34">
        <v>0</v>
      </c>
      <c r="P32" s="34">
        <v>0</v>
      </c>
      <c r="Q32" s="34">
        <v>0</v>
      </c>
      <c r="R32" s="34">
        <v>0</v>
      </c>
      <c r="S32" s="32" t="s">
        <v>58</v>
      </c>
      <c r="T32" s="33" t="s">
        <v>53</v>
      </c>
      <c r="U32" s="34">
        <v>0</v>
      </c>
      <c r="V32" s="34">
        <v>0</v>
      </c>
      <c r="W32" s="34">
        <v>0</v>
      </c>
      <c r="X32" s="34">
        <v>0</v>
      </c>
      <c r="Y32" s="34">
        <v>0</v>
      </c>
      <c r="Z32" s="34">
        <v>0</v>
      </c>
      <c r="AA32" s="34">
        <v>0</v>
      </c>
      <c r="AB32" s="32" t="s">
        <v>26</v>
      </c>
      <c r="AC32" s="33" t="s">
        <v>53</v>
      </c>
      <c r="AD32" s="34">
        <v>0</v>
      </c>
      <c r="AE32" s="34">
        <v>0</v>
      </c>
      <c r="AF32" s="34">
        <v>0</v>
      </c>
      <c r="AG32" s="34">
        <v>0</v>
      </c>
      <c r="AH32" s="34">
        <v>0</v>
      </c>
      <c r="AI32" s="34">
        <v>0</v>
      </c>
      <c r="AJ32" s="34">
        <v>0</v>
      </c>
      <c r="AK32" s="32" t="s">
        <v>28</v>
      </c>
      <c r="AL32" s="33" t="s">
        <v>53</v>
      </c>
      <c r="AM32" s="34">
        <v>0</v>
      </c>
      <c r="AN32" s="34">
        <v>0</v>
      </c>
      <c r="AO32" s="34">
        <v>0</v>
      </c>
      <c r="AP32" s="34">
        <v>0</v>
      </c>
      <c r="AQ32" s="34">
        <v>0</v>
      </c>
      <c r="AR32" s="34">
        <v>0</v>
      </c>
      <c r="AS32" s="34">
        <v>0</v>
      </c>
      <c r="AT32" s="32" t="s">
        <v>25</v>
      </c>
      <c r="AU32" s="33" t="s">
        <v>53</v>
      </c>
      <c r="AV32" s="34">
        <v>1</v>
      </c>
      <c r="AW32" s="34">
        <v>0</v>
      </c>
      <c r="AX32" s="34">
        <v>15</v>
      </c>
      <c r="AY32" s="34">
        <v>0</v>
      </c>
      <c r="AZ32" s="34">
        <v>10</v>
      </c>
      <c r="BA32" s="34">
        <v>0</v>
      </c>
      <c r="BB32" s="34">
        <v>36</v>
      </c>
    </row>
    <row r="33" spans="1:56" x14ac:dyDescent="0.3">
      <c r="A33" s="32" t="s">
        <v>57</v>
      </c>
      <c r="B33" s="33" t="s">
        <v>55</v>
      </c>
      <c r="C33" s="34">
        <v>0</v>
      </c>
      <c r="D33" s="34">
        <v>0</v>
      </c>
      <c r="E33" s="34">
        <v>0</v>
      </c>
      <c r="F33" s="34">
        <v>0</v>
      </c>
      <c r="G33" s="34">
        <v>0</v>
      </c>
      <c r="H33" s="34">
        <v>0</v>
      </c>
      <c r="I33" s="34">
        <v>0</v>
      </c>
      <c r="J33" s="32" t="s">
        <v>47</v>
      </c>
      <c r="K33" s="33" t="s">
        <v>55</v>
      </c>
      <c r="L33" s="34">
        <v>0</v>
      </c>
      <c r="M33" s="34">
        <v>0</v>
      </c>
      <c r="N33" s="34">
        <v>4</v>
      </c>
      <c r="O33" s="34">
        <v>0</v>
      </c>
      <c r="P33" s="34">
        <v>0</v>
      </c>
      <c r="Q33" s="34">
        <v>0</v>
      </c>
      <c r="R33" s="34">
        <v>6</v>
      </c>
      <c r="S33" s="32" t="s">
        <v>58</v>
      </c>
      <c r="T33" s="33" t="s">
        <v>55</v>
      </c>
      <c r="U33" s="34">
        <v>0</v>
      </c>
      <c r="V33" s="34">
        <v>0</v>
      </c>
      <c r="W33" s="34">
        <v>0</v>
      </c>
      <c r="X33" s="34">
        <v>0</v>
      </c>
      <c r="Y33" s="34">
        <v>0</v>
      </c>
      <c r="Z33" s="34">
        <v>0</v>
      </c>
      <c r="AA33" s="34">
        <v>0</v>
      </c>
      <c r="AB33" s="32" t="s">
        <v>26</v>
      </c>
      <c r="AC33" s="33" t="s">
        <v>55</v>
      </c>
      <c r="AD33" s="34">
        <v>0</v>
      </c>
      <c r="AE33" s="34">
        <v>0</v>
      </c>
      <c r="AF33" s="34">
        <v>0</v>
      </c>
      <c r="AG33" s="34">
        <v>0</v>
      </c>
      <c r="AH33" s="34">
        <v>0</v>
      </c>
      <c r="AI33" s="34">
        <v>0</v>
      </c>
      <c r="AJ33" s="34">
        <v>0</v>
      </c>
      <c r="AK33" s="32" t="s">
        <v>28</v>
      </c>
      <c r="AL33" s="33" t="s">
        <v>55</v>
      </c>
      <c r="AM33" s="34">
        <v>0</v>
      </c>
      <c r="AN33" s="34">
        <v>0</v>
      </c>
      <c r="AO33" s="34">
        <v>0</v>
      </c>
      <c r="AP33" s="34">
        <v>0</v>
      </c>
      <c r="AQ33" s="34">
        <v>0</v>
      </c>
      <c r="AR33" s="34">
        <v>0</v>
      </c>
      <c r="AS33" s="34">
        <v>0</v>
      </c>
      <c r="AT33" s="32" t="s">
        <v>25</v>
      </c>
      <c r="AU33" s="33" t="s">
        <v>55</v>
      </c>
      <c r="AV33" s="34">
        <v>0</v>
      </c>
      <c r="AW33" s="34">
        <v>0</v>
      </c>
      <c r="AX33" s="34">
        <v>0</v>
      </c>
      <c r="AY33" s="34">
        <v>0</v>
      </c>
      <c r="AZ33" s="34">
        <v>0</v>
      </c>
      <c r="BA33" s="34">
        <v>0</v>
      </c>
      <c r="BB33" s="34">
        <v>0</v>
      </c>
    </row>
    <row r="34" spans="1:56" x14ac:dyDescent="0.3">
      <c r="A34" s="32" t="s">
        <v>57</v>
      </c>
      <c r="B34" s="35" t="s">
        <v>56</v>
      </c>
      <c r="C34" s="36">
        <v>0</v>
      </c>
      <c r="D34" s="36">
        <v>0</v>
      </c>
      <c r="E34" s="36">
        <v>0</v>
      </c>
      <c r="F34" s="36">
        <v>0</v>
      </c>
      <c r="G34" s="36">
        <v>0</v>
      </c>
      <c r="H34" s="36">
        <v>0</v>
      </c>
      <c r="I34" s="36">
        <v>0</v>
      </c>
      <c r="J34" s="32" t="s">
        <v>47</v>
      </c>
      <c r="K34" s="35" t="s">
        <v>56</v>
      </c>
      <c r="L34" s="36">
        <v>0</v>
      </c>
      <c r="M34" s="36">
        <v>0</v>
      </c>
      <c r="N34" s="36">
        <v>0</v>
      </c>
      <c r="O34" s="36">
        <v>0</v>
      </c>
      <c r="P34" s="36">
        <v>0</v>
      </c>
      <c r="Q34" s="36">
        <v>0</v>
      </c>
      <c r="R34" s="36">
        <v>0</v>
      </c>
      <c r="S34" s="32" t="s">
        <v>58</v>
      </c>
      <c r="T34" s="35" t="s">
        <v>56</v>
      </c>
      <c r="U34" s="36">
        <v>0</v>
      </c>
      <c r="V34" s="36">
        <v>0</v>
      </c>
      <c r="W34" s="36">
        <v>0</v>
      </c>
      <c r="X34" s="36">
        <v>0</v>
      </c>
      <c r="Y34" s="36">
        <v>0</v>
      </c>
      <c r="Z34" s="36">
        <v>0</v>
      </c>
      <c r="AA34" s="36">
        <v>0</v>
      </c>
      <c r="AB34" s="32" t="s">
        <v>26</v>
      </c>
      <c r="AC34" s="35" t="s">
        <v>56</v>
      </c>
      <c r="AD34" s="36">
        <v>0</v>
      </c>
      <c r="AE34" s="36">
        <v>0</v>
      </c>
      <c r="AF34" s="36">
        <v>0</v>
      </c>
      <c r="AG34" s="36">
        <v>0</v>
      </c>
      <c r="AH34" s="36">
        <v>0</v>
      </c>
      <c r="AI34" s="36">
        <v>0</v>
      </c>
      <c r="AJ34" s="36">
        <v>0</v>
      </c>
      <c r="AK34" s="32" t="s">
        <v>28</v>
      </c>
      <c r="AL34" s="35" t="s">
        <v>56</v>
      </c>
      <c r="AM34" s="36">
        <v>0</v>
      </c>
      <c r="AN34" s="36">
        <v>0</v>
      </c>
      <c r="AO34" s="36">
        <v>0</v>
      </c>
      <c r="AP34" s="36">
        <v>0</v>
      </c>
      <c r="AQ34" s="36">
        <v>0</v>
      </c>
      <c r="AR34" s="36">
        <v>0</v>
      </c>
      <c r="AS34" s="36">
        <v>0</v>
      </c>
      <c r="AT34" s="32" t="s">
        <v>25</v>
      </c>
      <c r="AU34" s="35" t="s">
        <v>56</v>
      </c>
      <c r="AV34" s="36">
        <v>0</v>
      </c>
      <c r="AW34" s="36">
        <v>0</v>
      </c>
      <c r="AX34" s="36">
        <v>0</v>
      </c>
      <c r="AY34" s="36">
        <v>0</v>
      </c>
      <c r="AZ34" s="36">
        <v>0</v>
      </c>
      <c r="BA34" s="36">
        <v>0</v>
      </c>
      <c r="BB34" s="36">
        <v>0</v>
      </c>
    </row>
    <row r="35" spans="1:56" ht="25.95" customHeight="1" x14ac:dyDescent="0.3">
      <c r="A35" s="38" t="s">
        <v>59</v>
      </c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56" x14ac:dyDescent="0.3">
      <c r="A36" s="15" t="s">
        <v>60</v>
      </c>
      <c r="B36" s="8" t="s">
        <v>61</v>
      </c>
      <c r="C36" s="8" t="s">
        <v>62</v>
      </c>
      <c r="D36" s="8" t="s">
        <v>3</v>
      </c>
      <c r="E36" s="8" t="s">
        <v>63</v>
      </c>
      <c r="F36" s="8" t="s">
        <v>64</v>
      </c>
      <c r="G36" s="8" t="s">
        <v>65</v>
      </c>
      <c r="H36" s="15" t="s">
        <v>41</v>
      </c>
      <c r="I36" s="8" t="s">
        <v>61</v>
      </c>
      <c r="J36" s="8" t="s">
        <v>62</v>
      </c>
      <c r="K36" s="8" t="s">
        <v>3</v>
      </c>
      <c r="L36" s="8" t="s">
        <v>66</v>
      </c>
      <c r="M36" s="8" t="s">
        <v>64</v>
      </c>
      <c r="N36" s="8" t="s">
        <v>65</v>
      </c>
      <c r="O36" s="15" t="s">
        <v>30</v>
      </c>
      <c r="P36" s="8" t="s">
        <v>61</v>
      </c>
      <c r="Q36" s="8" t="s">
        <v>62</v>
      </c>
      <c r="R36" s="8" t="s">
        <v>3</v>
      </c>
      <c r="S36" s="8" t="s">
        <v>66</v>
      </c>
      <c r="T36" s="8" t="s">
        <v>64</v>
      </c>
      <c r="U36" s="8" t="s">
        <v>65</v>
      </c>
      <c r="V36" s="15" t="s">
        <v>35</v>
      </c>
      <c r="W36" s="8" t="s">
        <v>61</v>
      </c>
      <c r="X36" s="8" t="s">
        <v>62</v>
      </c>
      <c r="Y36" s="8" t="s">
        <v>3</v>
      </c>
      <c r="Z36" s="8" t="s">
        <v>66</v>
      </c>
      <c r="AA36" s="8" t="s">
        <v>64</v>
      </c>
      <c r="AB36" s="8" t="s">
        <v>65</v>
      </c>
      <c r="AC36" s="15" t="s">
        <v>31</v>
      </c>
      <c r="AD36" s="8" t="s">
        <v>61</v>
      </c>
      <c r="AE36" s="8" t="s">
        <v>62</v>
      </c>
      <c r="AF36" s="8" t="s">
        <v>3</v>
      </c>
      <c r="AG36" s="8" t="s">
        <v>66</v>
      </c>
      <c r="AH36" s="8" t="s">
        <v>64</v>
      </c>
      <c r="AI36" s="8" t="s">
        <v>65</v>
      </c>
      <c r="AJ36" s="15" t="s">
        <v>33</v>
      </c>
      <c r="AK36" s="8" t="s">
        <v>61</v>
      </c>
      <c r="AL36" s="8" t="s">
        <v>62</v>
      </c>
      <c r="AM36" s="8" t="s">
        <v>3</v>
      </c>
      <c r="AN36" s="8" t="s">
        <v>66</v>
      </c>
      <c r="AO36" s="8" t="s">
        <v>64</v>
      </c>
      <c r="AP36" s="8" t="s">
        <v>65</v>
      </c>
      <c r="AQ36" s="15" t="s">
        <v>50</v>
      </c>
      <c r="AR36" s="8" t="s">
        <v>61</v>
      </c>
      <c r="AS36" s="8" t="s">
        <v>62</v>
      </c>
      <c r="AT36" s="8" t="s">
        <v>3</v>
      </c>
      <c r="AU36" s="8" t="s">
        <v>66</v>
      </c>
      <c r="AV36" s="8" t="s">
        <v>64</v>
      </c>
      <c r="AW36" s="8" t="s">
        <v>65</v>
      </c>
      <c r="AX36" s="15" t="s">
        <v>67</v>
      </c>
      <c r="AY36" s="8" t="s">
        <v>61</v>
      </c>
      <c r="AZ36" s="8" t="s">
        <v>62</v>
      </c>
      <c r="BA36" s="8" t="s">
        <v>3</v>
      </c>
      <c r="BB36" s="8" t="s">
        <v>66</v>
      </c>
      <c r="BC36" s="8" t="s">
        <v>68</v>
      </c>
      <c r="BD36" s="8" t="s">
        <v>65</v>
      </c>
    </row>
    <row r="37" spans="1:56" x14ac:dyDescent="0.3">
      <c r="A37" s="15" t="s">
        <v>69</v>
      </c>
      <c r="B37" s="39">
        <v>-9.1000000000000004E-3</v>
      </c>
      <c r="C37" s="16">
        <v>356</v>
      </c>
      <c r="D37" s="16">
        <v>9</v>
      </c>
      <c r="E37" s="16">
        <v>27</v>
      </c>
      <c r="F37" s="16">
        <v>10</v>
      </c>
      <c r="G37" s="16">
        <v>24</v>
      </c>
      <c r="H37" s="15" t="s">
        <v>69</v>
      </c>
      <c r="I37" s="40">
        <v>0.27</v>
      </c>
      <c r="J37" s="16">
        <v>56</v>
      </c>
      <c r="K37" s="16">
        <v>29</v>
      </c>
      <c r="L37" s="40">
        <v>0.52</v>
      </c>
      <c r="M37" s="16">
        <v>3</v>
      </c>
      <c r="N37" s="16">
        <v>11</v>
      </c>
      <c r="O37" s="15" t="s">
        <v>69</v>
      </c>
      <c r="P37" s="40">
        <v>0.31</v>
      </c>
      <c r="Q37" s="16">
        <v>205</v>
      </c>
      <c r="R37" s="16">
        <v>89</v>
      </c>
      <c r="S37" s="40">
        <v>0.43</v>
      </c>
      <c r="T37" s="16">
        <v>10</v>
      </c>
      <c r="U37" s="16">
        <v>16</v>
      </c>
      <c r="V37" s="15" t="s">
        <v>69</v>
      </c>
      <c r="W37" s="40">
        <v>0.3</v>
      </c>
      <c r="X37" s="16">
        <v>71</v>
      </c>
      <c r="Y37" s="16">
        <v>31</v>
      </c>
      <c r="Z37" s="40">
        <v>0.44</v>
      </c>
      <c r="AA37" s="16">
        <v>6</v>
      </c>
      <c r="AB37" s="16">
        <v>4</v>
      </c>
      <c r="AC37" s="15" t="s">
        <v>69</v>
      </c>
      <c r="AD37" s="40">
        <v>0.46</v>
      </c>
      <c r="AE37" s="16">
        <v>50</v>
      </c>
      <c r="AF37" s="16">
        <v>27</v>
      </c>
      <c r="AG37" s="40">
        <v>0.54</v>
      </c>
      <c r="AH37" s="16">
        <v>0</v>
      </c>
      <c r="AI37" s="16">
        <v>4</v>
      </c>
      <c r="AJ37" s="15" t="s">
        <v>69</v>
      </c>
      <c r="AK37" s="40">
        <v>0.47</v>
      </c>
      <c r="AL37" s="16">
        <v>34</v>
      </c>
      <c r="AM37" s="16">
        <v>19</v>
      </c>
      <c r="AN37" s="40">
        <v>0.56000000000000005</v>
      </c>
      <c r="AO37" s="16">
        <v>2</v>
      </c>
      <c r="AP37" s="16">
        <v>1</v>
      </c>
      <c r="AQ37" s="15" t="s">
        <v>69</v>
      </c>
      <c r="AR37" s="40">
        <v>0.1</v>
      </c>
      <c r="AS37" s="16">
        <v>20</v>
      </c>
      <c r="AT37" s="16">
        <v>8</v>
      </c>
      <c r="AU37" s="40">
        <v>0.4</v>
      </c>
      <c r="AV37" s="16">
        <v>0</v>
      </c>
      <c r="AW37" s="16">
        <v>6</v>
      </c>
      <c r="AX37" s="15" t="s">
        <v>69</v>
      </c>
      <c r="AY37" s="40">
        <v>0.1</v>
      </c>
      <c r="AZ37" s="16">
        <v>341</v>
      </c>
      <c r="BA37" s="16">
        <v>64</v>
      </c>
      <c r="BB37" s="40">
        <v>0.19</v>
      </c>
      <c r="BC37" s="40">
        <v>0.26</v>
      </c>
      <c r="BD37" s="16">
        <v>114</v>
      </c>
    </row>
    <row r="38" spans="1:56" x14ac:dyDescent="0.3">
      <c r="A38" s="15" t="s">
        <v>27</v>
      </c>
      <c r="B38" s="39">
        <v>-0.1118</v>
      </c>
      <c r="C38" s="16">
        <v>38</v>
      </c>
      <c r="D38" s="16">
        <v>0</v>
      </c>
      <c r="E38" s="16">
        <v>3</v>
      </c>
      <c r="F38" s="16">
        <v>0</v>
      </c>
      <c r="G38" s="16">
        <v>5</v>
      </c>
      <c r="H38" s="15" t="s">
        <v>27</v>
      </c>
      <c r="I38" s="40">
        <v>0</v>
      </c>
      <c r="J38" s="16">
        <v>0</v>
      </c>
      <c r="K38" s="16">
        <v>0</v>
      </c>
      <c r="L38" s="40">
        <v>0</v>
      </c>
      <c r="M38" s="16">
        <v>0</v>
      </c>
      <c r="N38" s="16">
        <v>0</v>
      </c>
      <c r="O38" s="15" t="s">
        <v>27</v>
      </c>
      <c r="P38" s="40">
        <v>0</v>
      </c>
      <c r="Q38" s="16">
        <v>0</v>
      </c>
      <c r="R38" s="16">
        <v>0</v>
      </c>
      <c r="S38" s="40">
        <v>0</v>
      </c>
      <c r="T38" s="16">
        <v>0</v>
      </c>
      <c r="U38" s="16">
        <v>0</v>
      </c>
      <c r="V38" s="15" t="s">
        <v>27</v>
      </c>
      <c r="W38" s="40">
        <v>-1</v>
      </c>
      <c r="X38" s="16">
        <v>1</v>
      </c>
      <c r="Y38" s="16">
        <v>0</v>
      </c>
      <c r="Z38" s="40">
        <v>0</v>
      </c>
      <c r="AA38" s="16">
        <v>1</v>
      </c>
      <c r="AB38" s="16">
        <v>0</v>
      </c>
      <c r="AC38" s="15" t="s">
        <v>27</v>
      </c>
      <c r="AD38" s="40">
        <v>0.48</v>
      </c>
      <c r="AE38" s="16">
        <v>27</v>
      </c>
      <c r="AF38" s="16">
        <v>15</v>
      </c>
      <c r="AG38" s="40">
        <v>0.56000000000000005</v>
      </c>
      <c r="AH38" s="16">
        <v>0</v>
      </c>
      <c r="AI38" s="16">
        <v>2</v>
      </c>
      <c r="AJ38" s="15" t="s">
        <v>27</v>
      </c>
      <c r="AK38" s="40">
        <v>0.62</v>
      </c>
      <c r="AL38" s="16">
        <v>13</v>
      </c>
      <c r="AM38" s="16">
        <v>8</v>
      </c>
      <c r="AN38" s="40">
        <v>0.62</v>
      </c>
      <c r="AO38" s="16">
        <v>0</v>
      </c>
      <c r="AP38" s="16">
        <v>0</v>
      </c>
      <c r="AQ38" s="15" t="s">
        <v>27</v>
      </c>
      <c r="AR38" s="40">
        <v>0</v>
      </c>
      <c r="AS38" s="16">
        <v>0</v>
      </c>
      <c r="AT38" s="16">
        <v>0</v>
      </c>
      <c r="AU38" s="40">
        <v>0</v>
      </c>
      <c r="AV38" s="16">
        <v>0</v>
      </c>
      <c r="AW38" s="16">
        <v>0</v>
      </c>
      <c r="AX38" s="15" t="s">
        <v>27</v>
      </c>
      <c r="AY38" s="40">
        <v>0.43</v>
      </c>
      <c r="AZ38" s="16">
        <v>53</v>
      </c>
      <c r="BA38" s="16">
        <v>18</v>
      </c>
      <c r="BB38" s="40">
        <v>0.34</v>
      </c>
      <c r="BC38" s="40">
        <v>0.32</v>
      </c>
      <c r="BD38" s="16">
        <v>12</v>
      </c>
    </row>
    <row r="39" spans="1:56" x14ac:dyDescent="0.3">
      <c r="A39" s="15" t="s">
        <v>57</v>
      </c>
      <c r="B39" s="39">
        <v>8.4500000000000006E-2</v>
      </c>
      <c r="C39" s="16">
        <v>74</v>
      </c>
      <c r="D39" s="16">
        <v>6</v>
      </c>
      <c r="E39" s="16">
        <v>5</v>
      </c>
      <c r="F39" s="16">
        <v>4</v>
      </c>
      <c r="G39" s="16">
        <v>3</v>
      </c>
      <c r="H39" s="15" t="s">
        <v>57</v>
      </c>
      <c r="I39" s="40">
        <v>0</v>
      </c>
      <c r="J39" s="16">
        <v>0</v>
      </c>
      <c r="K39" s="16">
        <v>0</v>
      </c>
      <c r="L39" s="40">
        <v>0</v>
      </c>
      <c r="M39" s="16">
        <v>0</v>
      </c>
      <c r="N39" s="16">
        <v>0</v>
      </c>
      <c r="O39" s="15" t="s">
        <v>57</v>
      </c>
      <c r="P39" s="40">
        <v>0</v>
      </c>
      <c r="Q39" s="16">
        <v>0</v>
      </c>
      <c r="R39" s="16">
        <v>0</v>
      </c>
      <c r="S39" s="40">
        <v>0</v>
      </c>
      <c r="T39" s="16">
        <v>0</v>
      </c>
      <c r="U39" s="16">
        <v>0</v>
      </c>
      <c r="V39" s="15" t="s">
        <v>57</v>
      </c>
      <c r="W39" s="40">
        <v>0</v>
      </c>
      <c r="X39" s="16">
        <v>0</v>
      </c>
      <c r="Y39" s="16">
        <v>0</v>
      </c>
      <c r="Z39" s="40">
        <v>0</v>
      </c>
      <c r="AA39" s="16">
        <v>0</v>
      </c>
      <c r="AB39" s="16">
        <v>0</v>
      </c>
      <c r="AC39" s="15" t="s">
        <v>57</v>
      </c>
      <c r="AD39" s="40">
        <v>0</v>
      </c>
      <c r="AE39" s="16">
        <v>0</v>
      </c>
      <c r="AF39" s="16">
        <v>0</v>
      </c>
      <c r="AG39" s="40">
        <v>0</v>
      </c>
      <c r="AH39" s="16">
        <v>0</v>
      </c>
      <c r="AI39" s="16">
        <v>0</v>
      </c>
      <c r="AJ39" s="15" t="s">
        <v>57</v>
      </c>
      <c r="AK39" s="40">
        <v>0</v>
      </c>
      <c r="AL39" s="16">
        <v>0</v>
      </c>
      <c r="AM39" s="16">
        <v>0</v>
      </c>
      <c r="AN39" s="40">
        <v>0</v>
      </c>
      <c r="AO39" s="16">
        <v>0</v>
      </c>
      <c r="AP39" s="16">
        <v>0</v>
      </c>
      <c r="AQ39" s="15" t="s">
        <v>57</v>
      </c>
      <c r="AR39" s="40">
        <v>0</v>
      </c>
      <c r="AS39" s="16">
        <v>0</v>
      </c>
      <c r="AT39" s="16">
        <v>0</v>
      </c>
      <c r="AU39" s="40">
        <v>0</v>
      </c>
      <c r="AV39" s="16">
        <v>0</v>
      </c>
      <c r="AW39" s="16">
        <v>0</v>
      </c>
      <c r="AX39" s="15" t="s">
        <v>57</v>
      </c>
      <c r="AY39" s="40">
        <v>0.11</v>
      </c>
      <c r="AZ39" s="16">
        <v>28</v>
      </c>
      <c r="BA39" s="16">
        <v>3</v>
      </c>
      <c r="BB39" s="40">
        <v>0.11</v>
      </c>
      <c r="BC39" s="40">
        <v>0.39</v>
      </c>
      <c r="BD39" s="16">
        <v>10</v>
      </c>
    </row>
    <row r="40" spans="1:56" x14ac:dyDescent="0.3">
      <c r="A40" s="15" t="s">
        <v>13</v>
      </c>
      <c r="B40" s="39">
        <v>-0.5</v>
      </c>
      <c r="C40" s="16">
        <v>2</v>
      </c>
      <c r="D40" s="16">
        <v>0</v>
      </c>
      <c r="E40" s="16">
        <v>0</v>
      </c>
      <c r="F40" s="16">
        <v>0</v>
      </c>
      <c r="G40" s="16">
        <v>1</v>
      </c>
      <c r="H40" s="15" t="s">
        <v>13</v>
      </c>
      <c r="I40" s="40">
        <v>0.25</v>
      </c>
      <c r="J40" s="16">
        <v>32</v>
      </c>
      <c r="K40" s="16">
        <v>16</v>
      </c>
      <c r="L40" s="40">
        <v>0.5</v>
      </c>
      <c r="M40" s="16">
        <v>3</v>
      </c>
      <c r="N40" s="16">
        <v>5</v>
      </c>
      <c r="O40" s="15" t="s">
        <v>13</v>
      </c>
      <c r="P40" s="40">
        <v>1</v>
      </c>
      <c r="Q40" s="16">
        <v>1</v>
      </c>
      <c r="R40" s="16">
        <v>1</v>
      </c>
      <c r="S40" s="40">
        <v>1</v>
      </c>
      <c r="T40" s="16">
        <v>0</v>
      </c>
      <c r="U40" s="16">
        <v>0</v>
      </c>
      <c r="V40" s="15" t="s">
        <v>13</v>
      </c>
      <c r="W40" s="40">
        <v>0.33</v>
      </c>
      <c r="X40" s="16">
        <v>40</v>
      </c>
      <c r="Y40" s="16">
        <v>17</v>
      </c>
      <c r="Z40" s="40">
        <v>0.42</v>
      </c>
      <c r="AA40" s="16">
        <v>0</v>
      </c>
      <c r="AB40" s="16">
        <v>4</v>
      </c>
      <c r="AC40" s="15" t="s">
        <v>13</v>
      </c>
      <c r="AD40" s="40">
        <v>0</v>
      </c>
      <c r="AE40" s="16">
        <v>0</v>
      </c>
      <c r="AF40" s="16">
        <v>0</v>
      </c>
      <c r="AG40" s="40">
        <v>0</v>
      </c>
      <c r="AH40" s="16">
        <v>0</v>
      </c>
      <c r="AI40" s="16">
        <v>0</v>
      </c>
      <c r="AJ40" s="15" t="s">
        <v>13</v>
      </c>
      <c r="AK40" s="40">
        <v>0</v>
      </c>
      <c r="AL40" s="16">
        <v>0</v>
      </c>
      <c r="AM40" s="16">
        <v>0</v>
      </c>
      <c r="AN40" s="40">
        <v>0</v>
      </c>
      <c r="AO40" s="16">
        <v>0</v>
      </c>
      <c r="AP40" s="16">
        <v>0</v>
      </c>
      <c r="AQ40" s="15" t="s">
        <v>13</v>
      </c>
      <c r="AR40" s="40">
        <v>0</v>
      </c>
      <c r="AS40" s="16">
        <v>0</v>
      </c>
      <c r="AT40" s="16">
        <v>0</v>
      </c>
      <c r="AU40" s="40">
        <v>0</v>
      </c>
      <c r="AV40" s="16">
        <v>0</v>
      </c>
      <c r="AW40" s="16">
        <v>0</v>
      </c>
      <c r="AX40" s="15" t="s">
        <v>13</v>
      </c>
      <c r="AY40" s="40">
        <v>-0.16</v>
      </c>
      <c r="AZ40" s="16">
        <v>45</v>
      </c>
      <c r="BA40" s="16">
        <v>6</v>
      </c>
      <c r="BB40" s="40">
        <v>0.13</v>
      </c>
      <c r="BC40" s="40">
        <v>0.16</v>
      </c>
      <c r="BD40" s="16">
        <v>19</v>
      </c>
    </row>
    <row r="41" spans="1:56" x14ac:dyDescent="0.3">
      <c r="A41" s="15" t="s">
        <v>47</v>
      </c>
      <c r="B41" s="23" t="s">
        <v>39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5" t="s">
        <v>47</v>
      </c>
      <c r="I41" s="40">
        <v>0</v>
      </c>
      <c r="J41" s="16">
        <v>0</v>
      </c>
      <c r="K41" s="16">
        <v>0</v>
      </c>
      <c r="L41" s="40">
        <v>0</v>
      </c>
      <c r="M41" s="16">
        <v>0</v>
      </c>
      <c r="N41" s="16">
        <v>0</v>
      </c>
      <c r="O41" s="15" t="s">
        <v>47</v>
      </c>
      <c r="P41" s="40">
        <v>-0.28999999999999998</v>
      </c>
      <c r="Q41" s="16">
        <v>7</v>
      </c>
      <c r="R41" s="16">
        <v>1</v>
      </c>
      <c r="S41" s="40">
        <v>0.14000000000000001</v>
      </c>
      <c r="T41" s="16">
        <v>2</v>
      </c>
      <c r="U41" s="16">
        <v>1</v>
      </c>
      <c r="V41" s="15" t="s">
        <v>47</v>
      </c>
      <c r="W41" s="40">
        <v>0</v>
      </c>
      <c r="X41" s="16">
        <v>0</v>
      </c>
      <c r="Y41" s="16">
        <v>0</v>
      </c>
      <c r="Z41" s="40">
        <v>0</v>
      </c>
      <c r="AA41" s="16">
        <v>0</v>
      </c>
      <c r="AB41" s="16">
        <v>0</v>
      </c>
      <c r="AC41" s="15" t="s">
        <v>47</v>
      </c>
      <c r="AD41" s="40">
        <v>0</v>
      </c>
      <c r="AE41" s="16">
        <v>0</v>
      </c>
      <c r="AF41" s="16">
        <v>0</v>
      </c>
      <c r="AG41" s="40">
        <v>0</v>
      </c>
      <c r="AH41" s="16">
        <v>0</v>
      </c>
      <c r="AI41" s="16">
        <v>0</v>
      </c>
      <c r="AJ41" s="15" t="s">
        <v>47</v>
      </c>
      <c r="AK41" s="40">
        <v>0</v>
      </c>
      <c r="AL41" s="16">
        <v>0</v>
      </c>
      <c r="AM41" s="16">
        <v>0</v>
      </c>
      <c r="AN41" s="40">
        <v>0</v>
      </c>
      <c r="AO41" s="16">
        <v>0</v>
      </c>
      <c r="AP41" s="16">
        <v>0</v>
      </c>
      <c r="AQ41" s="15" t="s">
        <v>47</v>
      </c>
      <c r="AR41" s="40">
        <v>0</v>
      </c>
      <c r="AS41" s="16">
        <v>0</v>
      </c>
      <c r="AT41" s="16">
        <v>0</v>
      </c>
      <c r="AU41" s="40">
        <v>0</v>
      </c>
      <c r="AV41" s="16">
        <v>0</v>
      </c>
      <c r="AW41" s="16">
        <v>0</v>
      </c>
      <c r="AX41" s="15" t="s">
        <v>47</v>
      </c>
      <c r="AY41" s="40">
        <v>1</v>
      </c>
      <c r="AZ41" s="16">
        <v>1</v>
      </c>
      <c r="BA41" s="16">
        <v>0</v>
      </c>
      <c r="BB41" s="40">
        <v>0</v>
      </c>
      <c r="BC41" s="40">
        <v>1</v>
      </c>
      <c r="BD41" s="16">
        <v>0</v>
      </c>
    </row>
    <row r="42" spans="1:56" x14ac:dyDescent="0.3">
      <c r="A42" s="15" t="s">
        <v>54</v>
      </c>
      <c r="B42" s="39">
        <v>0.04</v>
      </c>
      <c r="C42" s="16">
        <v>50</v>
      </c>
      <c r="D42" s="16">
        <v>2</v>
      </c>
      <c r="E42" s="16">
        <v>6</v>
      </c>
      <c r="F42" s="16">
        <v>1</v>
      </c>
      <c r="G42" s="16">
        <v>2</v>
      </c>
      <c r="H42" s="15" t="s">
        <v>54</v>
      </c>
      <c r="I42" s="40">
        <v>0</v>
      </c>
      <c r="J42" s="16">
        <v>0</v>
      </c>
      <c r="K42" s="16">
        <v>0</v>
      </c>
      <c r="L42" s="40">
        <v>0</v>
      </c>
      <c r="M42" s="16">
        <v>0</v>
      </c>
      <c r="N42" s="16">
        <v>0</v>
      </c>
      <c r="O42" s="15" t="s">
        <v>54</v>
      </c>
      <c r="P42" s="40">
        <v>0</v>
      </c>
      <c r="Q42" s="16">
        <v>0</v>
      </c>
      <c r="R42" s="16">
        <v>0</v>
      </c>
      <c r="S42" s="40">
        <v>0</v>
      </c>
      <c r="T42" s="16">
        <v>0</v>
      </c>
      <c r="U42" s="16">
        <v>0</v>
      </c>
      <c r="V42" s="15" t="s">
        <v>54</v>
      </c>
      <c r="W42" s="40">
        <v>0</v>
      </c>
      <c r="X42" s="16">
        <v>0</v>
      </c>
      <c r="Y42" s="16">
        <v>0</v>
      </c>
      <c r="Z42" s="40">
        <v>0</v>
      </c>
      <c r="AA42" s="16">
        <v>0</v>
      </c>
      <c r="AB42" s="16">
        <v>0</v>
      </c>
      <c r="AC42" s="15" t="s">
        <v>54</v>
      </c>
      <c r="AD42" s="40">
        <v>0</v>
      </c>
      <c r="AE42" s="16">
        <v>0</v>
      </c>
      <c r="AF42" s="16">
        <v>0</v>
      </c>
      <c r="AG42" s="40">
        <v>0</v>
      </c>
      <c r="AH42" s="16">
        <v>0</v>
      </c>
      <c r="AI42" s="16">
        <v>0</v>
      </c>
      <c r="AJ42" s="15" t="s">
        <v>54</v>
      </c>
      <c r="AK42" s="40">
        <v>0</v>
      </c>
      <c r="AL42" s="16">
        <v>0</v>
      </c>
      <c r="AM42" s="16">
        <v>0</v>
      </c>
      <c r="AN42" s="40">
        <v>0</v>
      </c>
      <c r="AO42" s="16">
        <v>0</v>
      </c>
      <c r="AP42" s="16">
        <v>0</v>
      </c>
      <c r="AQ42" s="15" t="s">
        <v>54</v>
      </c>
      <c r="AR42" s="40">
        <v>0</v>
      </c>
      <c r="AS42" s="16">
        <v>0</v>
      </c>
      <c r="AT42" s="16">
        <v>0</v>
      </c>
      <c r="AU42" s="40">
        <v>0</v>
      </c>
      <c r="AV42" s="16">
        <v>0</v>
      </c>
      <c r="AW42" s="16">
        <v>0</v>
      </c>
      <c r="AX42" s="15" t="s">
        <v>54</v>
      </c>
      <c r="AY42" s="40">
        <v>0.19</v>
      </c>
      <c r="AZ42" s="16">
        <v>26</v>
      </c>
      <c r="BA42" s="16">
        <v>2</v>
      </c>
      <c r="BB42" s="40">
        <v>0.08</v>
      </c>
      <c r="BC42" s="40">
        <v>0.35</v>
      </c>
      <c r="BD42" s="16">
        <v>4</v>
      </c>
    </row>
    <row r="43" spans="1:56" x14ac:dyDescent="0.3">
      <c r="A43" s="15" t="s">
        <v>46</v>
      </c>
      <c r="B43" s="39">
        <v>-7.9500000000000001E-2</v>
      </c>
      <c r="C43" s="16">
        <v>44</v>
      </c>
      <c r="D43" s="16">
        <v>0</v>
      </c>
      <c r="E43" s="16">
        <v>0</v>
      </c>
      <c r="F43" s="16">
        <v>1</v>
      </c>
      <c r="G43" s="16">
        <v>4</v>
      </c>
      <c r="H43" s="15" t="s">
        <v>46</v>
      </c>
      <c r="I43" s="40">
        <v>0</v>
      </c>
      <c r="J43" s="16">
        <v>0</v>
      </c>
      <c r="K43" s="16">
        <v>0</v>
      </c>
      <c r="L43" s="40">
        <v>0</v>
      </c>
      <c r="M43" s="16">
        <v>0</v>
      </c>
      <c r="N43" s="16">
        <v>0</v>
      </c>
      <c r="O43" s="15" t="s">
        <v>46</v>
      </c>
      <c r="P43" s="40">
        <v>0.31</v>
      </c>
      <c r="Q43" s="16">
        <v>98</v>
      </c>
      <c r="R43" s="16">
        <v>43</v>
      </c>
      <c r="S43" s="40">
        <v>0.44</v>
      </c>
      <c r="T43" s="16">
        <v>4</v>
      </c>
      <c r="U43" s="16">
        <v>9</v>
      </c>
      <c r="V43" s="15" t="s">
        <v>46</v>
      </c>
      <c r="W43" s="40">
        <v>0</v>
      </c>
      <c r="X43" s="16">
        <v>0</v>
      </c>
      <c r="Y43" s="16">
        <v>0</v>
      </c>
      <c r="Z43" s="40">
        <v>0</v>
      </c>
      <c r="AA43" s="16">
        <v>0</v>
      </c>
      <c r="AB43" s="16">
        <v>0</v>
      </c>
      <c r="AC43" s="15" t="s">
        <v>46</v>
      </c>
      <c r="AD43" s="40">
        <v>0</v>
      </c>
      <c r="AE43" s="16">
        <v>0</v>
      </c>
      <c r="AF43" s="16">
        <v>0</v>
      </c>
      <c r="AG43" s="40">
        <v>0</v>
      </c>
      <c r="AH43" s="16">
        <v>0</v>
      </c>
      <c r="AI43" s="16">
        <v>0</v>
      </c>
      <c r="AJ43" s="15" t="s">
        <v>46</v>
      </c>
      <c r="AK43" s="40">
        <v>0</v>
      </c>
      <c r="AL43" s="16">
        <v>0</v>
      </c>
      <c r="AM43" s="16">
        <v>0</v>
      </c>
      <c r="AN43" s="40">
        <v>0</v>
      </c>
      <c r="AO43" s="16">
        <v>0</v>
      </c>
      <c r="AP43" s="16">
        <v>0</v>
      </c>
      <c r="AQ43" s="15" t="s">
        <v>46</v>
      </c>
      <c r="AR43" s="40">
        <v>0.16</v>
      </c>
      <c r="AS43" s="16">
        <v>19</v>
      </c>
      <c r="AT43" s="16">
        <v>8</v>
      </c>
      <c r="AU43" s="40">
        <v>0.42</v>
      </c>
      <c r="AV43" s="16">
        <v>0</v>
      </c>
      <c r="AW43" s="16">
        <v>5</v>
      </c>
      <c r="AX43" s="15" t="s">
        <v>46</v>
      </c>
      <c r="AY43" s="40">
        <v>-0.08</v>
      </c>
      <c r="AZ43" s="16">
        <v>39</v>
      </c>
      <c r="BA43" s="16">
        <v>5</v>
      </c>
      <c r="BB43" s="40">
        <v>0.13</v>
      </c>
      <c r="BC43" s="40">
        <v>0.26</v>
      </c>
      <c r="BD43" s="16">
        <v>17</v>
      </c>
    </row>
    <row r="44" spans="1:56" x14ac:dyDescent="0.3">
      <c r="A44" s="15" t="s">
        <v>45</v>
      </c>
      <c r="B44" s="39">
        <v>8.6E-3</v>
      </c>
      <c r="C44" s="16">
        <v>29</v>
      </c>
      <c r="D44" s="16">
        <v>0</v>
      </c>
      <c r="E44" s="16">
        <v>3</v>
      </c>
      <c r="F44" s="16">
        <v>1</v>
      </c>
      <c r="G44" s="16">
        <v>1</v>
      </c>
      <c r="H44" s="15" t="s">
        <v>45</v>
      </c>
      <c r="I44" s="40">
        <v>0</v>
      </c>
      <c r="J44" s="16">
        <v>0</v>
      </c>
      <c r="K44" s="16">
        <v>0</v>
      </c>
      <c r="L44" s="40">
        <v>0</v>
      </c>
      <c r="M44" s="16">
        <v>0</v>
      </c>
      <c r="N44" s="16">
        <v>0</v>
      </c>
      <c r="O44" s="15" t="s">
        <v>45</v>
      </c>
      <c r="P44" s="40">
        <v>0.34</v>
      </c>
      <c r="Q44" s="16">
        <v>99</v>
      </c>
      <c r="R44" s="16">
        <v>44</v>
      </c>
      <c r="S44" s="40">
        <v>0.44</v>
      </c>
      <c r="T44" s="16">
        <v>4</v>
      </c>
      <c r="U44" s="16">
        <v>6</v>
      </c>
      <c r="V44" s="15" t="s">
        <v>45</v>
      </c>
      <c r="W44" s="40">
        <v>0.33</v>
      </c>
      <c r="X44" s="16">
        <v>3</v>
      </c>
      <c r="Y44" s="16">
        <v>1</v>
      </c>
      <c r="Z44" s="40">
        <v>0.33</v>
      </c>
      <c r="AA44" s="16">
        <v>0</v>
      </c>
      <c r="AB44" s="16">
        <v>0</v>
      </c>
      <c r="AC44" s="15" t="s">
        <v>45</v>
      </c>
      <c r="AD44" s="40">
        <v>0</v>
      </c>
      <c r="AE44" s="16">
        <v>0</v>
      </c>
      <c r="AF44" s="16">
        <v>0</v>
      </c>
      <c r="AG44" s="40">
        <v>0</v>
      </c>
      <c r="AH44" s="16">
        <v>0</v>
      </c>
      <c r="AI44" s="16">
        <v>0</v>
      </c>
      <c r="AJ44" s="15" t="s">
        <v>45</v>
      </c>
      <c r="AK44" s="40">
        <v>0</v>
      </c>
      <c r="AL44" s="16">
        <v>0</v>
      </c>
      <c r="AM44" s="16">
        <v>0</v>
      </c>
      <c r="AN44" s="40">
        <v>0</v>
      </c>
      <c r="AO44" s="16">
        <v>0</v>
      </c>
      <c r="AP44" s="16">
        <v>0</v>
      </c>
      <c r="AQ44" s="15" t="s">
        <v>45</v>
      </c>
      <c r="AR44" s="40">
        <v>-1</v>
      </c>
      <c r="AS44" s="16">
        <v>1</v>
      </c>
      <c r="AT44" s="16">
        <v>0</v>
      </c>
      <c r="AU44" s="40">
        <v>0</v>
      </c>
      <c r="AV44" s="16">
        <v>0</v>
      </c>
      <c r="AW44" s="16">
        <v>1</v>
      </c>
      <c r="AX44" s="15" t="s">
        <v>45</v>
      </c>
      <c r="AY44" s="40">
        <v>0</v>
      </c>
      <c r="AZ44" s="16">
        <v>45</v>
      </c>
      <c r="BA44" s="16">
        <v>6</v>
      </c>
      <c r="BB44" s="40">
        <v>0.13</v>
      </c>
      <c r="BC44" s="40">
        <v>0.27</v>
      </c>
      <c r="BD44" s="16">
        <v>18</v>
      </c>
    </row>
    <row r="45" spans="1:56" x14ac:dyDescent="0.3">
      <c r="A45" s="15" t="s">
        <v>26</v>
      </c>
      <c r="B45" s="39">
        <v>9.5999999999999992E-3</v>
      </c>
      <c r="C45" s="16">
        <v>26</v>
      </c>
      <c r="D45" s="16">
        <v>1</v>
      </c>
      <c r="E45" s="16">
        <v>1</v>
      </c>
      <c r="F45" s="16">
        <v>0</v>
      </c>
      <c r="G45" s="16">
        <v>1</v>
      </c>
      <c r="H45" s="15" t="s">
        <v>26</v>
      </c>
      <c r="I45" s="40">
        <v>0</v>
      </c>
      <c r="J45" s="16">
        <v>0</v>
      </c>
      <c r="K45" s="16">
        <v>0</v>
      </c>
      <c r="L45" s="40">
        <v>0</v>
      </c>
      <c r="M45" s="16">
        <v>0</v>
      </c>
      <c r="N45" s="16">
        <v>0</v>
      </c>
      <c r="O45" s="15" t="s">
        <v>26</v>
      </c>
      <c r="P45" s="40">
        <v>0</v>
      </c>
      <c r="Q45" s="16">
        <v>0</v>
      </c>
      <c r="R45" s="16">
        <v>0</v>
      </c>
      <c r="S45" s="40">
        <v>0</v>
      </c>
      <c r="T45" s="16">
        <v>0</v>
      </c>
      <c r="U45" s="16">
        <v>0</v>
      </c>
      <c r="V45" s="15" t="s">
        <v>26</v>
      </c>
      <c r="W45" s="40">
        <v>0</v>
      </c>
      <c r="X45" s="16">
        <v>0</v>
      </c>
      <c r="Y45" s="16">
        <v>0</v>
      </c>
      <c r="Z45" s="40">
        <v>0</v>
      </c>
      <c r="AA45" s="16">
        <v>0</v>
      </c>
      <c r="AB45" s="16">
        <v>0</v>
      </c>
      <c r="AC45" s="15" t="s">
        <v>26</v>
      </c>
      <c r="AD45" s="40">
        <v>0.44</v>
      </c>
      <c r="AE45" s="16">
        <v>9</v>
      </c>
      <c r="AF45" s="16">
        <v>5</v>
      </c>
      <c r="AG45" s="40">
        <v>0.56000000000000005</v>
      </c>
      <c r="AH45" s="16">
        <v>0</v>
      </c>
      <c r="AI45" s="16">
        <v>1</v>
      </c>
      <c r="AJ45" s="15" t="s">
        <v>26</v>
      </c>
      <c r="AK45" s="40">
        <v>0</v>
      </c>
      <c r="AL45" s="16">
        <v>0</v>
      </c>
      <c r="AM45" s="16">
        <v>0</v>
      </c>
      <c r="AN45" s="40">
        <v>0</v>
      </c>
      <c r="AO45" s="16">
        <v>0</v>
      </c>
      <c r="AP45" s="16">
        <v>0</v>
      </c>
      <c r="AQ45" s="15" t="s">
        <v>26</v>
      </c>
      <c r="AR45" s="40">
        <v>0</v>
      </c>
      <c r="AS45" s="16">
        <v>0</v>
      </c>
      <c r="AT45" s="16">
        <v>0</v>
      </c>
      <c r="AU45" s="40">
        <v>0</v>
      </c>
      <c r="AV45" s="16">
        <v>0</v>
      </c>
      <c r="AW45" s="16">
        <v>0</v>
      </c>
      <c r="AX45" s="15" t="s">
        <v>26</v>
      </c>
      <c r="AY45" s="40">
        <v>0.2</v>
      </c>
      <c r="AZ45" s="16">
        <v>10</v>
      </c>
      <c r="BA45" s="16">
        <v>1</v>
      </c>
      <c r="BB45" s="40">
        <v>0.1</v>
      </c>
      <c r="BC45" s="40">
        <v>0.4</v>
      </c>
      <c r="BD45" s="16">
        <v>3</v>
      </c>
    </row>
    <row r="46" spans="1:56" x14ac:dyDescent="0.3">
      <c r="A46" s="15" t="s">
        <v>48</v>
      </c>
      <c r="B46" s="39">
        <v>-0.25</v>
      </c>
      <c r="C46" s="16">
        <v>4</v>
      </c>
      <c r="D46" s="16">
        <v>0</v>
      </c>
      <c r="E46" s="16">
        <v>0</v>
      </c>
      <c r="F46" s="16">
        <v>0</v>
      </c>
      <c r="G46" s="16">
        <v>1</v>
      </c>
      <c r="H46" s="15" t="s">
        <v>48</v>
      </c>
      <c r="I46" s="40">
        <v>0</v>
      </c>
      <c r="J46" s="16">
        <v>0</v>
      </c>
      <c r="K46" s="16">
        <v>0</v>
      </c>
      <c r="L46" s="40">
        <v>0</v>
      </c>
      <c r="M46" s="16">
        <v>0</v>
      </c>
      <c r="N46" s="16">
        <v>0</v>
      </c>
      <c r="O46" s="15" t="s">
        <v>48</v>
      </c>
      <c r="P46" s="40">
        <v>0</v>
      </c>
      <c r="Q46" s="16">
        <v>0</v>
      </c>
      <c r="R46" s="16">
        <v>0</v>
      </c>
      <c r="S46" s="40">
        <v>0</v>
      </c>
      <c r="T46" s="16">
        <v>0</v>
      </c>
      <c r="U46" s="16">
        <v>0</v>
      </c>
      <c r="V46" s="15" t="s">
        <v>48</v>
      </c>
      <c r="W46" s="40">
        <v>0</v>
      </c>
      <c r="X46" s="16">
        <v>0</v>
      </c>
      <c r="Y46" s="16">
        <v>0</v>
      </c>
      <c r="Z46" s="40">
        <v>0</v>
      </c>
      <c r="AA46" s="16">
        <v>0</v>
      </c>
      <c r="AB46" s="16">
        <v>0</v>
      </c>
      <c r="AC46" s="15" t="s">
        <v>48</v>
      </c>
      <c r="AD46" s="40">
        <v>0</v>
      </c>
      <c r="AE46" s="16">
        <v>0</v>
      </c>
      <c r="AF46" s="16">
        <v>0</v>
      </c>
      <c r="AG46" s="40">
        <v>0</v>
      </c>
      <c r="AH46" s="16">
        <v>0</v>
      </c>
      <c r="AI46" s="16">
        <v>0</v>
      </c>
      <c r="AJ46" s="15" t="s">
        <v>48</v>
      </c>
      <c r="AK46" s="40">
        <v>0</v>
      </c>
      <c r="AL46" s="16">
        <v>0</v>
      </c>
      <c r="AM46" s="16">
        <v>0</v>
      </c>
      <c r="AN46" s="40">
        <v>0</v>
      </c>
      <c r="AO46" s="16">
        <v>0</v>
      </c>
      <c r="AP46" s="16">
        <v>0</v>
      </c>
      <c r="AQ46" s="15" t="s">
        <v>48</v>
      </c>
      <c r="AR46" s="40">
        <v>0</v>
      </c>
      <c r="AS46" s="16">
        <v>0</v>
      </c>
      <c r="AT46" s="16">
        <v>0</v>
      </c>
      <c r="AU46" s="40">
        <v>0</v>
      </c>
      <c r="AV46" s="16">
        <v>0</v>
      </c>
      <c r="AW46" s="16">
        <v>0</v>
      </c>
      <c r="AX46" s="15" t="s">
        <v>48</v>
      </c>
      <c r="AY46" s="40">
        <v>0</v>
      </c>
      <c r="AZ46" s="16">
        <v>0</v>
      </c>
      <c r="BA46" s="16">
        <v>0</v>
      </c>
      <c r="BB46" s="40">
        <v>0</v>
      </c>
      <c r="BC46" s="40">
        <v>0</v>
      </c>
      <c r="BD46" s="16">
        <v>0</v>
      </c>
    </row>
    <row r="47" spans="1:56" x14ac:dyDescent="0.3">
      <c r="A47" s="15" t="s">
        <v>28</v>
      </c>
      <c r="B47" s="39">
        <v>-2.3099999999999999E-2</v>
      </c>
      <c r="C47" s="16">
        <v>54</v>
      </c>
      <c r="D47" s="16">
        <v>0</v>
      </c>
      <c r="E47" s="16">
        <v>5</v>
      </c>
      <c r="F47" s="16">
        <v>3</v>
      </c>
      <c r="G47" s="16">
        <v>4</v>
      </c>
      <c r="H47" s="15" t="s">
        <v>28</v>
      </c>
      <c r="I47" s="40">
        <v>0</v>
      </c>
      <c r="J47" s="16">
        <v>0</v>
      </c>
      <c r="K47" s="16">
        <v>0</v>
      </c>
      <c r="L47" s="40">
        <v>0</v>
      </c>
      <c r="M47" s="16">
        <v>0</v>
      </c>
      <c r="N47" s="16">
        <v>0</v>
      </c>
      <c r="O47" s="15" t="s">
        <v>28</v>
      </c>
      <c r="P47" s="40">
        <v>0</v>
      </c>
      <c r="Q47" s="16">
        <v>0</v>
      </c>
      <c r="R47" s="16">
        <v>0</v>
      </c>
      <c r="S47" s="40">
        <v>0</v>
      </c>
      <c r="T47" s="16">
        <v>0</v>
      </c>
      <c r="U47" s="16">
        <v>0</v>
      </c>
      <c r="V47" s="15" t="s">
        <v>28</v>
      </c>
      <c r="W47" s="40">
        <v>0</v>
      </c>
      <c r="X47" s="16">
        <v>0</v>
      </c>
      <c r="Y47" s="16">
        <v>0</v>
      </c>
      <c r="Z47" s="40">
        <v>0</v>
      </c>
      <c r="AA47" s="16">
        <v>0</v>
      </c>
      <c r="AB47" s="16">
        <v>0</v>
      </c>
      <c r="AC47" s="15" t="s">
        <v>28</v>
      </c>
      <c r="AD47" s="40">
        <v>0.5</v>
      </c>
      <c r="AE47" s="16">
        <v>12</v>
      </c>
      <c r="AF47" s="16">
        <v>6</v>
      </c>
      <c r="AG47" s="40">
        <v>0.5</v>
      </c>
      <c r="AH47" s="16">
        <v>0</v>
      </c>
      <c r="AI47" s="16">
        <v>0</v>
      </c>
      <c r="AJ47" s="15" t="s">
        <v>28</v>
      </c>
      <c r="AK47" s="40">
        <v>0.5</v>
      </c>
      <c r="AL47" s="16">
        <v>8</v>
      </c>
      <c r="AM47" s="16">
        <v>4</v>
      </c>
      <c r="AN47" s="40">
        <v>0.5</v>
      </c>
      <c r="AO47" s="16">
        <v>0</v>
      </c>
      <c r="AP47" s="16">
        <v>0</v>
      </c>
      <c r="AQ47" s="15" t="s">
        <v>28</v>
      </c>
      <c r="AR47" s="40">
        <v>0</v>
      </c>
      <c r="AS47" s="16">
        <v>0</v>
      </c>
      <c r="AT47" s="16">
        <v>0</v>
      </c>
      <c r="AU47" s="40">
        <v>0</v>
      </c>
      <c r="AV47" s="16">
        <v>0</v>
      </c>
      <c r="AW47" s="16">
        <v>0</v>
      </c>
      <c r="AX47" s="15" t="s">
        <v>28</v>
      </c>
      <c r="AY47" s="40">
        <v>0</v>
      </c>
      <c r="AZ47" s="16">
        <v>47</v>
      </c>
      <c r="BA47" s="16">
        <v>12</v>
      </c>
      <c r="BB47" s="40">
        <v>0.26</v>
      </c>
      <c r="BC47" s="40">
        <v>0.17</v>
      </c>
      <c r="BD47" s="16">
        <v>20</v>
      </c>
    </row>
    <row r="48" spans="1:56" x14ac:dyDescent="0.3">
      <c r="A48" s="25" t="s">
        <v>25</v>
      </c>
      <c r="B48" s="23" t="s">
        <v>39</v>
      </c>
      <c r="C48" s="26">
        <v>0</v>
      </c>
      <c r="D48" s="26">
        <v>0</v>
      </c>
      <c r="E48" s="26">
        <v>0</v>
      </c>
      <c r="F48" s="26">
        <v>0</v>
      </c>
      <c r="G48" s="26">
        <v>0</v>
      </c>
      <c r="H48" s="25" t="s">
        <v>25</v>
      </c>
      <c r="I48" s="40">
        <v>0.28999999999999998</v>
      </c>
      <c r="J48" s="16">
        <v>24</v>
      </c>
      <c r="K48" s="16">
        <v>13</v>
      </c>
      <c r="L48" s="40">
        <v>0.54</v>
      </c>
      <c r="M48" s="16">
        <v>0</v>
      </c>
      <c r="N48" s="16">
        <v>6</v>
      </c>
      <c r="O48" s="25" t="s">
        <v>25</v>
      </c>
      <c r="P48" s="40">
        <v>0</v>
      </c>
      <c r="Q48" s="16">
        <v>0</v>
      </c>
      <c r="R48" s="16">
        <v>0</v>
      </c>
      <c r="S48" s="40">
        <v>0</v>
      </c>
      <c r="T48" s="16">
        <v>0</v>
      </c>
      <c r="U48" s="16">
        <v>0</v>
      </c>
      <c r="V48" s="25" t="s">
        <v>25</v>
      </c>
      <c r="W48" s="40">
        <v>0.3</v>
      </c>
      <c r="X48" s="16">
        <v>27</v>
      </c>
      <c r="Y48" s="16">
        <v>13</v>
      </c>
      <c r="Z48" s="40">
        <v>0.48</v>
      </c>
      <c r="AA48" s="16">
        <v>5</v>
      </c>
      <c r="AB48" s="16">
        <v>0</v>
      </c>
      <c r="AC48" s="25" t="s">
        <v>25</v>
      </c>
      <c r="AD48" s="41">
        <v>0</v>
      </c>
      <c r="AE48" s="26">
        <v>0</v>
      </c>
      <c r="AF48" s="26">
        <v>0</v>
      </c>
      <c r="AG48" s="41">
        <v>0</v>
      </c>
      <c r="AH48" s="26">
        <v>0</v>
      </c>
      <c r="AI48" s="26">
        <v>0</v>
      </c>
      <c r="AJ48" s="25" t="s">
        <v>25</v>
      </c>
      <c r="AK48" s="41">
        <v>0</v>
      </c>
      <c r="AL48" s="26">
        <v>0</v>
      </c>
      <c r="AM48" s="26">
        <v>0</v>
      </c>
      <c r="AN48" s="41">
        <v>0</v>
      </c>
      <c r="AO48" s="26">
        <v>0</v>
      </c>
      <c r="AP48" s="26">
        <v>0</v>
      </c>
      <c r="AQ48" s="25" t="s">
        <v>25</v>
      </c>
      <c r="AR48" s="40">
        <v>0</v>
      </c>
      <c r="AS48" s="16">
        <v>0</v>
      </c>
      <c r="AT48" s="16">
        <v>0</v>
      </c>
      <c r="AU48" s="40">
        <v>0</v>
      </c>
      <c r="AV48" s="16">
        <v>0</v>
      </c>
      <c r="AW48" s="16">
        <v>0</v>
      </c>
      <c r="AX48" s="25" t="s">
        <v>25</v>
      </c>
      <c r="AY48" s="41">
        <v>0</v>
      </c>
      <c r="AZ48" s="26">
        <v>13</v>
      </c>
      <c r="BA48" s="26">
        <v>1</v>
      </c>
      <c r="BB48" s="41">
        <v>0.08</v>
      </c>
      <c r="BC48" s="41">
        <v>0.31</v>
      </c>
      <c r="BD48" s="26">
        <v>5</v>
      </c>
    </row>
    <row r="49" spans="1:56" x14ac:dyDescent="0.3">
      <c r="A49" s="25" t="s">
        <v>70</v>
      </c>
      <c r="B49" s="39">
        <v>7.1400000000000005E-2</v>
      </c>
      <c r="C49" s="26">
        <v>7</v>
      </c>
      <c r="D49" s="26">
        <v>0</v>
      </c>
      <c r="E49" s="26">
        <v>2</v>
      </c>
      <c r="F49" s="26">
        <v>0</v>
      </c>
      <c r="G49" s="26">
        <v>0</v>
      </c>
      <c r="H49" s="25" t="s">
        <v>70</v>
      </c>
      <c r="I49" s="40">
        <v>0</v>
      </c>
      <c r="J49" s="16">
        <v>0</v>
      </c>
      <c r="K49" s="16">
        <v>0</v>
      </c>
      <c r="L49" s="40">
        <v>0</v>
      </c>
      <c r="M49" s="16">
        <v>0</v>
      </c>
      <c r="N49" s="16">
        <v>0</v>
      </c>
      <c r="O49" s="25" t="s">
        <v>70</v>
      </c>
      <c r="P49" s="40">
        <v>0</v>
      </c>
      <c r="Q49" s="16">
        <v>0</v>
      </c>
      <c r="R49" s="16">
        <v>0</v>
      </c>
      <c r="S49" s="40">
        <v>0</v>
      </c>
      <c r="T49" s="16">
        <v>0</v>
      </c>
      <c r="U49" s="16">
        <v>0</v>
      </c>
      <c r="V49" s="25" t="s">
        <v>70</v>
      </c>
      <c r="W49" s="40">
        <v>0</v>
      </c>
      <c r="X49" s="16">
        <v>0</v>
      </c>
      <c r="Y49" s="16">
        <v>0</v>
      </c>
      <c r="Z49" s="40">
        <v>0</v>
      </c>
      <c r="AA49" s="16">
        <v>0</v>
      </c>
      <c r="AB49" s="16">
        <v>0</v>
      </c>
      <c r="AC49" s="25" t="s">
        <v>70</v>
      </c>
      <c r="AD49" s="41">
        <v>0</v>
      </c>
      <c r="AE49" s="26">
        <v>0</v>
      </c>
      <c r="AF49" s="26">
        <v>0</v>
      </c>
      <c r="AG49" s="41">
        <v>0</v>
      </c>
      <c r="AH49" s="26">
        <v>0</v>
      </c>
      <c r="AI49" s="26">
        <v>0</v>
      </c>
      <c r="AJ49" s="25" t="s">
        <v>70</v>
      </c>
      <c r="AK49" s="41">
        <v>0</v>
      </c>
      <c r="AL49" s="26">
        <v>0</v>
      </c>
      <c r="AM49" s="26">
        <v>0</v>
      </c>
      <c r="AN49" s="41">
        <v>0</v>
      </c>
      <c r="AO49" s="26">
        <v>0</v>
      </c>
      <c r="AP49" s="26">
        <v>0</v>
      </c>
      <c r="AQ49" s="25" t="s">
        <v>70</v>
      </c>
      <c r="AR49" s="40">
        <v>0</v>
      </c>
      <c r="AS49" s="16">
        <v>0</v>
      </c>
      <c r="AT49" s="16">
        <v>0</v>
      </c>
      <c r="AU49" s="40">
        <v>0</v>
      </c>
      <c r="AV49" s="16">
        <v>0</v>
      </c>
      <c r="AW49" s="16">
        <v>0</v>
      </c>
      <c r="AX49" s="25" t="s">
        <v>70</v>
      </c>
      <c r="AY49" s="41">
        <v>0</v>
      </c>
      <c r="AZ49" s="26">
        <v>0</v>
      </c>
      <c r="BA49" s="26">
        <v>0</v>
      </c>
      <c r="BB49" s="41">
        <v>0</v>
      </c>
      <c r="BC49" s="41">
        <v>0</v>
      </c>
      <c r="BD49" s="26">
        <v>0</v>
      </c>
    </row>
    <row r="50" spans="1:56" x14ac:dyDescent="0.3">
      <c r="A50" s="20"/>
      <c r="B50" s="20"/>
      <c r="C50" s="20"/>
      <c r="D50" s="20"/>
      <c r="E50" s="20"/>
      <c r="F50" s="20"/>
      <c r="G50" s="20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</row>
    <row r="51" spans="1:56" x14ac:dyDescent="0.3">
      <c r="A51" s="15" t="s">
        <v>71</v>
      </c>
      <c r="B51" s="8" t="s">
        <v>61</v>
      </c>
      <c r="C51" s="8" t="s">
        <v>62</v>
      </c>
      <c r="D51" s="8" t="s">
        <v>3</v>
      </c>
      <c r="E51" s="8" t="s">
        <v>63</v>
      </c>
      <c r="F51" s="8" t="s">
        <v>64</v>
      </c>
      <c r="G51" s="8" t="s">
        <v>65</v>
      </c>
      <c r="H51" s="15" t="s">
        <v>42</v>
      </c>
      <c r="I51" s="8" t="s">
        <v>61</v>
      </c>
      <c r="J51" s="8" t="s">
        <v>62</v>
      </c>
      <c r="K51" s="8" t="s">
        <v>3</v>
      </c>
      <c r="L51" s="8" t="s">
        <v>66</v>
      </c>
      <c r="M51" s="8" t="s">
        <v>64</v>
      </c>
      <c r="N51" s="8" t="s">
        <v>65</v>
      </c>
      <c r="O51" s="15" t="s">
        <v>32</v>
      </c>
      <c r="P51" s="8" t="s">
        <v>61</v>
      </c>
      <c r="Q51" s="8" t="s">
        <v>62</v>
      </c>
      <c r="R51" s="8" t="s">
        <v>3</v>
      </c>
      <c r="S51" s="8" t="s">
        <v>66</v>
      </c>
      <c r="T51" s="8" t="s">
        <v>64</v>
      </c>
      <c r="U51" s="8" t="s">
        <v>65</v>
      </c>
      <c r="V51" s="15" t="s">
        <v>38</v>
      </c>
      <c r="W51" s="8" t="s">
        <v>61</v>
      </c>
      <c r="X51" s="8" t="s">
        <v>62</v>
      </c>
      <c r="Y51" s="8" t="s">
        <v>3</v>
      </c>
      <c r="Z51" s="8" t="s">
        <v>66</v>
      </c>
      <c r="AA51" s="8" t="s">
        <v>64</v>
      </c>
      <c r="AB51" s="8" t="s">
        <v>65</v>
      </c>
      <c r="AC51" s="15" t="s">
        <v>36</v>
      </c>
      <c r="AD51" s="8" t="s">
        <v>61</v>
      </c>
      <c r="AE51" s="8" t="s">
        <v>62</v>
      </c>
      <c r="AF51" s="8" t="s">
        <v>3</v>
      </c>
      <c r="AG51" s="8" t="s">
        <v>66</v>
      </c>
      <c r="AH51" s="8" t="s">
        <v>64</v>
      </c>
      <c r="AI51" s="8" t="s">
        <v>65</v>
      </c>
      <c r="AJ51" s="7" t="s">
        <v>40</v>
      </c>
      <c r="AK51" s="8" t="s">
        <v>61</v>
      </c>
      <c r="AL51" s="8" t="s">
        <v>62</v>
      </c>
      <c r="AM51" s="8" t="s">
        <v>3</v>
      </c>
      <c r="AN51" s="8" t="s">
        <v>66</v>
      </c>
      <c r="AO51" s="8" t="s">
        <v>64</v>
      </c>
      <c r="AP51" s="8" t="s">
        <v>65</v>
      </c>
      <c r="AQ51" s="15" t="s">
        <v>72</v>
      </c>
      <c r="AR51" s="8" t="s">
        <v>61</v>
      </c>
      <c r="AS51" s="8" t="s">
        <v>62</v>
      </c>
      <c r="AT51" s="8" t="s">
        <v>3</v>
      </c>
      <c r="AU51" s="8" t="s">
        <v>66</v>
      </c>
      <c r="AV51" s="8" t="s">
        <v>64</v>
      </c>
      <c r="AW51" s="8" t="s">
        <v>65</v>
      </c>
      <c r="AX51" s="15" t="s">
        <v>73</v>
      </c>
      <c r="AY51" s="8" t="s">
        <v>61</v>
      </c>
      <c r="AZ51" s="8" t="s">
        <v>62</v>
      </c>
      <c r="BA51" s="8" t="s">
        <v>3</v>
      </c>
      <c r="BB51" s="8" t="s">
        <v>66</v>
      </c>
      <c r="BC51" s="8" t="s">
        <v>64</v>
      </c>
      <c r="BD51" s="8" t="s">
        <v>65</v>
      </c>
    </row>
    <row r="52" spans="1:56" x14ac:dyDescent="0.3">
      <c r="A52" s="7" t="s">
        <v>69</v>
      </c>
      <c r="B52" s="39">
        <v>-0.1583</v>
      </c>
      <c r="C52" s="16">
        <v>199</v>
      </c>
      <c r="D52" s="16">
        <v>15</v>
      </c>
      <c r="E52" s="16">
        <v>24</v>
      </c>
      <c r="F52" s="16">
        <v>5</v>
      </c>
      <c r="G52" s="16">
        <v>55</v>
      </c>
      <c r="H52" s="15" t="s">
        <v>69</v>
      </c>
      <c r="I52" s="40">
        <v>0.32</v>
      </c>
      <c r="J52" s="16">
        <v>22</v>
      </c>
      <c r="K52" s="16">
        <v>10</v>
      </c>
      <c r="L52" s="40">
        <v>0.45</v>
      </c>
      <c r="M52" s="16">
        <v>3</v>
      </c>
      <c r="N52" s="16">
        <v>0</v>
      </c>
      <c r="O52" s="15" t="s">
        <v>69</v>
      </c>
      <c r="P52" s="40">
        <v>0</v>
      </c>
      <c r="Q52" s="16">
        <v>0</v>
      </c>
      <c r="R52" s="16">
        <v>0</v>
      </c>
      <c r="S52" s="40">
        <v>0</v>
      </c>
      <c r="T52" s="16">
        <v>0</v>
      </c>
      <c r="U52" s="16">
        <v>0</v>
      </c>
      <c r="V52" s="15" t="s">
        <v>69</v>
      </c>
      <c r="W52" s="40">
        <v>0</v>
      </c>
      <c r="X52" s="16">
        <v>0</v>
      </c>
      <c r="Y52" s="16">
        <v>0</v>
      </c>
      <c r="Z52" s="40">
        <v>0</v>
      </c>
      <c r="AA52" s="16">
        <v>0</v>
      </c>
      <c r="AB52" s="16">
        <v>0</v>
      </c>
      <c r="AC52" s="15" t="s">
        <v>69</v>
      </c>
      <c r="AD52" s="40">
        <v>0.42</v>
      </c>
      <c r="AE52" s="16">
        <v>69</v>
      </c>
      <c r="AF52" s="16">
        <v>38</v>
      </c>
      <c r="AG52" s="40">
        <v>0.55000000000000004</v>
      </c>
      <c r="AH52" s="16">
        <v>3</v>
      </c>
      <c r="AI52" s="16">
        <v>6</v>
      </c>
      <c r="AJ52" s="15" t="s">
        <v>69</v>
      </c>
      <c r="AK52" s="40">
        <v>0.5</v>
      </c>
      <c r="AL52" s="16">
        <v>4</v>
      </c>
      <c r="AM52" s="16">
        <v>2</v>
      </c>
      <c r="AN52" s="40">
        <v>0.5</v>
      </c>
      <c r="AO52" s="16">
        <v>0</v>
      </c>
      <c r="AP52" s="16">
        <v>0</v>
      </c>
      <c r="AQ52" s="15" t="s">
        <v>69</v>
      </c>
      <c r="AR52" s="40">
        <v>0.2</v>
      </c>
      <c r="AS52" s="16">
        <v>335</v>
      </c>
      <c r="AT52" s="16">
        <v>125</v>
      </c>
      <c r="AU52" s="40">
        <v>0.37</v>
      </c>
      <c r="AV52" s="16">
        <v>23</v>
      </c>
      <c r="AW52" s="16">
        <v>36</v>
      </c>
      <c r="AX52" s="15" t="s">
        <v>69</v>
      </c>
      <c r="AY52" s="40">
        <v>0.34</v>
      </c>
      <c r="AZ52" s="16">
        <v>413</v>
      </c>
      <c r="BA52" s="16">
        <v>198</v>
      </c>
      <c r="BB52" s="40">
        <v>0.48</v>
      </c>
      <c r="BC52" s="16">
        <v>24</v>
      </c>
      <c r="BD52" s="16">
        <v>34</v>
      </c>
    </row>
    <row r="53" spans="1:56" x14ac:dyDescent="0.3">
      <c r="A53" s="7" t="s">
        <v>27</v>
      </c>
      <c r="B53" s="23" t="s">
        <v>39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5" t="s">
        <v>27</v>
      </c>
      <c r="I53" s="40">
        <v>0</v>
      </c>
      <c r="J53" s="16">
        <v>0</v>
      </c>
      <c r="K53" s="16">
        <v>0</v>
      </c>
      <c r="L53" s="40">
        <v>0</v>
      </c>
      <c r="M53" s="16">
        <v>0</v>
      </c>
      <c r="N53" s="16">
        <v>0</v>
      </c>
      <c r="O53" s="15" t="s">
        <v>27</v>
      </c>
      <c r="P53" s="40">
        <v>0</v>
      </c>
      <c r="Q53" s="16">
        <v>0</v>
      </c>
      <c r="R53" s="16">
        <v>0</v>
      </c>
      <c r="S53" s="40">
        <v>0</v>
      </c>
      <c r="T53" s="16">
        <v>0</v>
      </c>
      <c r="U53" s="16">
        <v>0</v>
      </c>
      <c r="V53" s="15" t="s">
        <v>27</v>
      </c>
      <c r="W53" s="40">
        <v>0</v>
      </c>
      <c r="X53" s="16">
        <v>0</v>
      </c>
      <c r="Y53" s="16">
        <v>0</v>
      </c>
      <c r="Z53" s="40">
        <v>0</v>
      </c>
      <c r="AA53" s="16">
        <v>0</v>
      </c>
      <c r="AB53" s="16">
        <v>0</v>
      </c>
      <c r="AC53" s="15" t="s">
        <v>27</v>
      </c>
      <c r="AD53" s="40">
        <v>0.47</v>
      </c>
      <c r="AE53" s="16">
        <v>19</v>
      </c>
      <c r="AF53" s="16">
        <v>11</v>
      </c>
      <c r="AG53" s="40">
        <v>0.57999999999999996</v>
      </c>
      <c r="AH53" s="16">
        <v>1</v>
      </c>
      <c r="AI53" s="16">
        <v>1</v>
      </c>
      <c r="AJ53" s="15" t="s">
        <v>27</v>
      </c>
      <c r="AK53" s="40">
        <v>0.67</v>
      </c>
      <c r="AL53" s="16">
        <v>3</v>
      </c>
      <c r="AM53" s="16">
        <v>2</v>
      </c>
      <c r="AN53" s="40">
        <v>0.67</v>
      </c>
      <c r="AO53" s="16">
        <v>0</v>
      </c>
      <c r="AP53" s="16">
        <v>0</v>
      </c>
      <c r="AQ53" s="15" t="s">
        <v>27</v>
      </c>
      <c r="AR53" s="40">
        <v>0.4</v>
      </c>
      <c r="AS53" s="16">
        <v>15</v>
      </c>
      <c r="AT53" s="16">
        <v>7</v>
      </c>
      <c r="AU53" s="40">
        <v>0.47</v>
      </c>
      <c r="AV53" s="16">
        <v>0</v>
      </c>
      <c r="AW53" s="16">
        <v>1</v>
      </c>
      <c r="AX53" s="15" t="s">
        <v>27</v>
      </c>
      <c r="AY53" s="40">
        <v>0.5</v>
      </c>
      <c r="AZ53" s="16">
        <v>52</v>
      </c>
      <c r="BA53" s="16">
        <v>31</v>
      </c>
      <c r="BB53" s="40">
        <v>0.6</v>
      </c>
      <c r="BC53" s="16">
        <v>2</v>
      </c>
      <c r="BD53" s="16">
        <v>3</v>
      </c>
    </row>
    <row r="54" spans="1:56" x14ac:dyDescent="0.3">
      <c r="A54" s="7" t="s">
        <v>57</v>
      </c>
      <c r="B54" s="23" t="s">
        <v>39</v>
      </c>
      <c r="C54" s="16">
        <v>0</v>
      </c>
      <c r="D54" s="16">
        <v>0</v>
      </c>
      <c r="E54" s="16">
        <v>0</v>
      </c>
      <c r="F54" s="16">
        <v>0</v>
      </c>
      <c r="G54" s="16">
        <v>0</v>
      </c>
      <c r="H54" s="15" t="s">
        <v>57</v>
      </c>
      <c r="I54" s="40">
        <v>0</v>
      </c>
      <c r="J54" s="16">
        <v>1</v>
      </c>
      <c r="K54" s="16">
        <v>0</v>
      </c>
      <c r="L54" s="40">
        <v>0</v>
      </c>
      <c r="M54" s="16">
        <v>0</v>
      </c>
      <c r="N54" s="16">
        <v>0</v>
      </c>
      <c r="O54" s="15" t="s">
        <v>57</v>
      </c>
      <c r="P54" s="40">
        <v>0</v>
      </c>
      <c r="Q54" s="16">
        <v>0</v>
      </c>
      <c r="R54" s="16">
        <v>0</v>
      </c>
      <c r="S54" s="40">
        <v>0</v>
      </c>
      <c r="T54" s="16">
        <v>0</v>
      </c>
      <c r="U54" s="16">
        <v>0</v>
      </c>
      <c r="V54" s="15" t="s">
        <v>57</v>
      </c>
      <c r="W54" s="40">
        <v>0</v>
      </c>
      <c r="X54" s="16">
        <v>0</v>
      </c>
      <c r="Y54" s="16">
        <v>0</v>
      </c>
      <c r="Z54" s="40">
        <v>0</v>
      </c>
      <c r="AA54" s="16">
        <v>0</v>
      </c>
      <c r="AB54" s="16">
        <v>0</v>
      </c>
      <c r="AC54" s="15" t="s">
        <v>57</v>
      </c>
      <c r="AD54" s="40">
        <v>0</v>
      </c>
      <c r="AE54" s="16">
        <v>0</v>
      </c>
      <c r="AF54" s="16">
        <v>0</v>
      </c>
      <c r="AG54" s="40">
        <v>0</v>
      </c>
      <c r="AH54" s="16">
        <v>0</v>
      </c>
      <c r="AI54" s="16">
        <v>0</v>
      </c>
      <c r="AJ54" s="15" t="s">
        <v>57</v>
      </c>
      <c r="AK54" s="40">
        <v>0</v>
      </c>
      <c r="AL54" s="16">
        <v>0</v>
      </c>
      <c r="AM54" s="16">
        <v>0</v>
      </c>
      <c r="AN54" s="40">
        <v>0</v>
      </c>
      <c r="AO54" s="16">
        <v>0</v>
      </c>
      <c r="AP54" s="16">
        <v>0</v>
      </c>
      <c r="AQ54" s="15" t="s">
        <v>57</v>
      </c>
      <c r="AR54" s="40">
        <v>0.36</v>
      </c>
      <c r="AS54" s="16">
        <v>11</v>
      </c>
      <c r="AT54" s="16">
        <v>6</v>
      </c>
      <c r="AU54" s="40">
        <v>0.55000000000000004</v>
      </c>
      <c r="AV54" s="16">
        <v>2</v>
      </c>
      <c r="AW54" s="16">
        <v>0</v>
      </c>
      <c r="AX54" s="15" t="s">
        <v>57</v>
      </c>
      <c r="AY54" s="40">
        <v>0</v>
      </c>
      <c r="AZ54" s="16">
        <v>3</v>
      </c>
      <c r="BA54" s="16">
        <v>0</v>
      </c>
      <c r="BB54" s="40">
        <v>0</v>
      </c>
      <c r="BC54" s="16">
        <v>0</v>
      </c>
      <c r="BD54" s="16">
        <v>0</v>
      </c>
    </row>
    <row r="55" spans="1:56" x14ac:dyDescent="0.3">
      <c r="A55" s="7" t="s">
        <v>13</v>
      </c>
      <c r="B55" s="39">
        <v>-0.2944</v>
      </c>
      <c r="C55" s="16">
        <v>45</v>
      </c>
      <c r="D55" s="16">
        <v>4</v>
      </c>
      <c r="E55" s="16">
        <v>5</v>
      </c>
      <c r="F55" s="16">
        <v>1</v>
      </c>
      <c r="G55" s="16">
        <v>19</v>
      </c>
      <c r="H55" s="15" t="s">
        <v>13</v>
      </c>
      <c r="I55" s="40">
        <v>0.38</v>
      </c>
      <c r="J55" s="16">
        <v>16</v>
      </c>
      <c r="K55" s="16">
        <v>8</v>
      </c>
      <c r="L55" s="40">
        <v>0.5</v>
      </c>
      <c r="M55" s="16">
        <v>2</v>
      </c>
      <c r="N55" s="16">
        <v>0</v>
      </c>
      <c r="O55" s="15" t="s">
        <v>13</v>
      </c>
      <c r="P55" s="40">
        <v>0</v>
      </c>
      <c r="Q55" s="16">
        <v>0</v>
      </c>
      <c r="R55" s="16">
        <v>0</v>
      </c>
      <c r="S55" s="40">
        <v>0</v>
      </c>
      <c r="T55" s="16">
        <v>0</v>
      </c>
      <c r="U55" s="16">
        <v>0</v>
      </c>
      <c r="V55" s="15" t="s">
        <v>13</v>
      </c>
      <c r="W55" s="40">
        <v>0</v>
      </c>
      <c r="X55" s="16">
        <v>0</v>
      </c>
      <c r="Y55" s="16">
        <v>0</v>
      </c>
      <c r="Z55" s="40">
        <v>0</v>
      </c>
      <c r="AA55" s="16">
        <v>0</v>
      </c>
      <c r="AB55" s="16">
        <v>0</v>
      </c>
      <c r="AC55" s="15" t="s">
        <v>13</v>
      </c>
      <c r="AD55" s="40">
        <v>0</v>
      </c>
      <c r="AE55" s="16">
        <v>0</v>
      </c>
      <c r="AF55" s="16">
        <v>0</v>
      </c>
      <c r="AG55" s="40">
        <v>0</v>
      </c>
      <c r="AH55" s="16">
        <v>0</v>
      </c>
      <c r="AI55" s="16">
        <v>0</v>
      </c>
      <c r="AJ55" s="15" t="s">
        <v>13</v>
      </c>
      <c r="AK55" s="40">
        <v>0</v>
      </c>
      <c r="AL55" s="16">
        <v>0</v>
      </c>
      <c r="AM55" s="16">
        <v>0</v>
      </c>
      <c r="AN55" s="40">
        <v>0</v>
      </c>
      <c r="AO55" s="16">
        <v>0</v>
      </c>
      <c r="AP55" s="16">
        <v>0</v>
      </c>
      <c r="AQ55" s="15" t="s">
        <v>13</v>
      </c>
      <c r="AR55" s="40">
        <v>0.27</v>
      </c>
      <c r="AS55" s="16">
        <v>49</v>
      </c>
      <c r="AT55" s="16">
        <v>23</v>
      </c>
      <c r="AU55" s="40">
        <v>0.47</v>
      </c>
      <c r="AV55" s="16">
        <v>4</v>
      </c>
      <c r="AW55" s="16">
        <v>6</v>
      </c>
      <c r="AX55" s="15" t="s">
        <v>13</v>
      </c>
      <c r="AY55" s="40">
        <v>0.23</v>
      </c>
      <c r="AZ55" s="16">
        <v>73</v>
      </c>
      <c r="BA55" s="16">
        <v>30</v>
      </c>
      <c r="BB55" s="40">
        <v>0.41</v>
      </c>
      <c r="BC55" s="16">
        <v>6</v>
      </c>
      <c r="BD55" s="16">
        <v>7</v>
      </c>
    </row>
    <row r="56" spans="1:56" x14ac:dyDescent="0.3">
      <c r="A56" s="7" t="s">
        <v>47</v>
      </c>
      <c r="B56" s="39">
        <v>-0.29170000000000001</v>
      </c>
      <c r="C56" s="16">
        <v>6</v>
      </c>
      <c r="D56" s="16">
        <v>0</v>
      </c>
      <c r="E56" s="16">
        <v>1</v>
      </c>
      <c r="F56" s="16">
        <v>0</v>
      </c>
      <c r="G56" s="16">
        <v>2</v>
      </c>
      <c r="H56" s="15" t="s">
        <v>47</v>
      </c>
      <c r="I56" s="40">
        <v>0</v>
      </c>
      <c r="J56" s="16">
        <v>0</v>
      </c>
      <c r="K56" s="16">
        <v>0</v>
      </c>
      <c r="L56" s="40">
        <v>0</v>
      </c>
      <c r="M56" s="16">
        <v>0</v>
      </c>
      <c r="N56" s="16">
        <v>0</v>
      </c>
      <c r="O56" s="15" t="s">
        <v>47</v>
      </c>
      <c r="P56" s="40">
        <v>0</v>
      </c>
      <c r="Q56" s="16">
        <v>0</v>
      </c>
      <c r="R56" s="16">
        <v>0</v>
      </c>
      <c r="S56" s="40">
        <v>0</v>
      </c>
      <c r="T56" s="16">
        <v>0</v>
      </c>
      <c r="U56" s="16">
        <v>0</v>
      </c>
      <c r="V56" s="15" t="s">
        <v>47</v>
      </c>
      <c r="W56" s="40">
        <v>0</v>
      </c>
      <c r="X56" s="16">
        <v>0</v>
      </c>
      <c r="Y56" s="16">
        <v>0</v>
      </c>
      <c r="Z56" s="40">
        <v>0</v>
      </c>
      <c r="AA56" s="16">
        <v>0</v>
      </c>
      <c r="AB56" s="16">
        <v>0</v>
      </c>
      <c r="AC56" s="15" t="s">
        <v>47</v>
      </c>
      <c r="AD56" s="40">
        <v>0</v>
      </c>
      <c r="AE56" s="16">
        <v>0</v>
      </c>
      <c r="AF56" s="16">
        <v>0</v>
      </c>
      <c r="AG56" s="40">
        <v>0</v>
      </c>
      <c r="AH56" s="16">
        <v>0</v>
      </c>
      <c r="AI56" s="16">
        <v>0</v>
      </c>
      <c r="AJ56" s="15" t="s">
        <v>47</v>
      </c>
      <c r="AK56" s="40">
        <v>0</v>
      </c>
      <c r="AL56" s="16">
        <v>0</v>
      </c>
      <c r="AM56" s="16">
        <v>0</v>
      </c>
      <c r="AN56" s="40">
        <v>0</v>
      </c>
      <c r="AO56" s="16">
        <v>0</v>
      </c>
      <c r="AP56" s="16">
        <v>0</v>
      </c>
      <c r="AQ56" s="15" t="s">
        <v>47</v>
      </c>
      <c r="AR56" s="40">
        <v>-0.5</v>
      </c>
      <c r="AS56" s="16">
        <v>4</v>
      </c>
      <c r="AT56" s="16">
        <v>1</v>
      </c>
      <c r="AU56" s="40">
        <v>0.25</v>
      </c>
      <c r="AV56" s="16">
        <v>2</v>
      </c>
      <c r="AW56" s="16">
        <v>1</v>
      </c>
      <c r="AX56" s="15" t="s">
        <v>47</v>
      </c>
      <c r="AY56" s="40">
        <v>0</v>
      </c>
      <c r="AZ56" s="16">
        <v>3</v>
      </c>
      <c r="BA56" s="16">
        <v>0</v>
      </c>
      <c r="BB56" s="40">
        <v>0</v>
      </c>
      <c r="BC56" s="16">
        <v>0</v>
      </c>
      <c r="BD56" s="16">
        <v>0</v>
      </c>
    </row>
    <row r="57" spans="1:56" x14ac:dyDescent="0.3">
      <c r="A57" s="7" t="s">
        <v>54</v>
      </c>
      <c r="B57" s="23" t="s">
        <v>39</v>
      </c>
      <c r="C57" s="16">
        <v>0</v>
      </c>
      <c r="D57" s="16">
        <v>0</v>
      </c>
      <c r="E57" s="16">
        <v>0</v>
      </c>
      <c r="F57" s="16">
        <v>0</v>
      </c>
      <c r="G57" s="16">
        <v>0</v>
      </c>
      <c r="H57" s="15" t="s">
        <v>54</v>
      </c>
      <c r="I57" s="40">
        <v>0</v>
      </c>
      <c r="J57" s="16">
        <v>0</v>
      </c>
      <c r="K57" s="16">
        <v>0</v>
      </c>
      <c r="L57" s="40">
        <v>0</v>
      </c>
      <c r="M57" s="16">
        <v>0</v>
      </c>
      <c r="N57" s="16">
        <v>0</v>
      </c>
      <c r="O57" s="15" t="s">
        <v>54</v>
      </c>
      <c r="P57" s="40">
        <v>0</v>
      </c>
      <c r="Q57" s="16">
        <v>0</v>
      </c>
      <c r="R57" s="16">
        <v>0</v>
      </c>
      <c r="S57" s="40">
        <v>0</v>
      </c>
      <c r="T57" s="16">
        <v>0</v>
      </c>
      <c r="U57" s="16">
        <v>0</v>
      </c>
      <c r="V57" s="15" t="s">
        <v>54</v>
      </c>
      <c r="W57" s="40">
        <v>0</v>
      </c>
      <c r="X57" s="16">
        <v>0</v>
      </c>
      <c r="Y57" s="16">
        <v>0</v>
      </c>
      <c r="Z57" s="40">
        <v>0</v>
      </c>
      <c r="AA57" s="16">
        <v>0</v>
      </c>
      <c r="AB57" s="16">
        <v>0</v>
      </c>
      <c r="AC57" s="15" t="s">
        <v>54</v>
      </c>
      <c r="AD57" s="40">
        <v>0</v>
      </c>
      <c r="AE57" s="16">
        <v>0</v>
      </c>
      <c r="AF57" s="16">
        <v>0</v>
      </c>
      <c r="AG57" s="40">
        <v>0</v>
      </c>
      <c r="AH57" s="16">
        <v>0</v>
      </c>
      <c r="AI57" s="16">
        <v>0</v>
      </c>
      <c r="AJ57" s="15" t="s">
        <v>54</v>
      </c>
      <c r="AK57" s="40">
        <v>0</v>
      </c>
      <c r="AL57" s="16">
        <v>0</v>
      </c>
      <c r="AM57" s="16">
        <v>0</v>
      </c>
      <c r="AN57" s="40">
        <v>0</v>
      </c>
      <c r="AO57" s="16">
        <v>0</v>
      </c>
      <c r="AP57" s="16">
        <v>0</v>
      </c>
      <c r="AQ57" s="15" t="s">
        <v>54</v>
      </c>
      <c r="AR57" s="40">
        <v>0</v>
      </c>
      <c r="AS57" s="16">
        <v>3</v>
      </c>
      <c r="AT57" s="16">
        <v>1</v>
      </c>
      <c r="AU57" s="40">
        <v>0.33</v>
      </c>
      <c r="AV57" s="16">
        <v>0</v>
      </c>
      <c r="AW57" s="16">
        <v>1</v>
      </c>
      <c r="AX57" s="15" t="s">
        <v>54</v>
      </c>
      <c r="AY57" s="40">
        <v>0</v>
      </c>
      <c r="AZ57" s="16">
        <v>2</v>
      </c>
      <c r="BA57" s="16">
        <v>1</v>
      </c>
      <c r="BB57" s="40">
        <v>0.5</v>
      </c>
      <c r="BC57" s="16">
        <v>1</v>
      </c>
      <c r="BD57" s="16">
        <v>0</v>
      </c>
    </row>
    <row r="58" spans="1:56" x14ac:dyDescent="0.3">
      <c r="A58" s="7" t="s">
        <v>46</v>
      </c>
      <c r="B58" s="39">
        <v>-0.34849999999999998</v>
      </c>
      <c r="C58" s="16">
        <v>33</v>
      </c>
      <c r="D58" s="16">
        <v>3</v>
      </c>
      <c r="E58" s="16">
        <v>4</v>
      </c>
      <c r="F58" s="16">
        <v>1</v>
      </c>
      <c r="G58" s="16">
        <v>16</v>
      </c>
      <c r="H58" s="15" t="s">
        <v>46</v>
      </c>
      <c r="I58" s="40">
        <v>0</v>
      </c>
      <c r="J58" s="16">
        <v>0</v>
      </c>
      <c r="K58" s="16">
        <v>0</v>
      </c>
      <c r="L58" s="40">
        <v>0</v>
      </c>
      <c r="M58" s="16">
        <v>0</v>
      </c>
      <c r="N58" s="16">
        <v>0</v>
      </c>
      <c r="O58" s="15" t="s">
        <v>46</v>
      </c>
      <c r="P58" s="40">
        <v>0</v>
      </c>
      <c r="Q58" s="16">
        <v>0</v>
      </c>
      <c r="R58" s="16">
        <v>0</v>
      </c>
      <c r="S58" s="40">
        <v>0</v>
      </c>
      <c r="T58" s="16">
        <v>0</v>
      </c>
      <c r="U58" s="16">
        <v>0</v>
      </c>
      <c r="V58" s="15" t="s">
        <v>46</v>
      </c>
      <c r="W58" s="40">
        <v>0</v>
      </c>
      <c r="X58" s="16">
        <v>0</v>
      </c>
      <c r="Y58" s="16">
        <v>0</v>
      </c>
      <c r="Z58" s="40">
        <v>0</v>
      </c>
      <c r="AA58" s="16">
        <v>0</v>
      </c>
      <c r="AB58" s="16">
        <v>0</v>
      </c>
      <c r="AC58" s="15" t="s">
        <v>46</v>
      </c>
      <c r="AD58" s="40">
        <v>0</v>
      </c>
      <c r="AE58" s="16">
        <v>0</v>
      </c>
      <c r="AF58" s="16">
        <v>0</v>
      </c>
      <c r="AG58" s="40">
        <v>0</v>
      </c>
      <c r="AH58" s="16">
        <v>0</v>
      </c>
      <c r="AI58" s="16">
        <v>0</v>
      </c>
      <c r="AJ58" s="15" t="s">
        <v>46</v>
      </c>
      <c r="AK58" s="40">
        <v>0</v>
      </c>
      <c r="AL58" s="16">
        <v>0</v>
      </c>
      <c r="AM58" s="16">
        <v>0</v>
      </c>
      <c r="AN58" s="40">
        <v>0</v>
      </c>
      <c r="AO58" s="16">
        <v>0</v>
      </c>
      <c r="AP58" s="16">
        <v>0</v>
      </c>
      <c r="AQ58" s="15" t="s">
        <v>46</v>
      </c>
      <c r="AR58" s="40">
        <v>0.08</v>
      </c>
      <c r="AS58" s="16">
        <v>88</v>
      </c>
      <c r="AT58" s="16">
        <v>27</v>
      </c>
      <c r="AU58" s="40">
        <v>0.31</v>
      </c>
      <c r="AV58" s="16">
        <v>6</v>
      </c>
      <c r="AW58" s="16">
        <v>14</v>
      </c>
      <c r="AX58" s="15" t="s">
        <v>46</v>
      </c>
      <c r="AY58" s="40">
        <v>0.36</v>
      </c>
      <c r="AZ58" s="16">
        <v>88</v>
      </c>
      <c r="BA58" s="16">
        <v>42</v>
      </c>
      <c r="BB58" s="40">
        <v>0.48</v>
      </c>
      <c r="BC58" s="16">
        <v>2</v>
      </c>
      <c r="BD58" s="16">
        <v>8</v>
      </c>
    </row>
    <row r="59" spans="1:56" x14ac:dyDescent="0.3">
      <c r="A59" s="7" t="s">
        <v>45</v>
      </c>
      <c r="B59" s="39">
        <v>2.2700000000000001E-2</v>
      </c>
      <c r="C59" s="16">
        <v>77</v>
      </c>
      <c r="D59" s="16">
        <v>4</v>
      </c>
      <c r="E59" s="16">
        <v>11</v>
      </c>
      <c r="F59" s="16">
        <v>2</v>
      </c>
      <c r="G59" s="16">
        <v>6</v>
      </c>
      <c r="H59" s="15" t="s">
        <v>45</v>
      </c>
      <c r="I59" s="40">
        <v>0</v>
      </c>
      <c r="J59" s="16">
        <v>0</v>
      </c>
      <c r="K59" s="16">
        <v>0</v>
      </c>
      <c r="L59" s="40">
        <v>0</v>
      </c>
      <c r="M59" s="16">
        <v>0</v>
      </c>
      <c r="N59" s="16">
        <v>0</v>
      </c>
      <c r="O59" s="15" t="s">
        <v>45</v>
      </c>
      <c r="P59" s="40">
        <v>0.21</v>
      </c>
      <c r="Q59" s="16">
        <v>66</v>
      </c>
      <c r="R59" s="16">
        <v>23</v>
      </c>
      <c r="S59" s="40">
        <v>0.35</v>
      </c>
      <c r="T59" s="16">
        <v>4</v>
      </c>
      <c r="U59" s="16">
        <v>5</v>
      </c>
      <c r="V59" s="15" t="s">
        <v>45</v>
      </c>
      <c r="W59" s="40">
        <v>-0.5</v>
      </c>
      <c r="X59" s="16">
        <v>2</v>
      </c>
      <c r="Y59" s="16">
        <v>0</v>
      </c>
      <c r="Z59" s="40">
        <v>0</v>
      </c>
      <c r="AA59" s="16">
        <v>0</v>
      </c>
      <c r="AB59" s="16">
        <v>1</v>
      </c>
      <c r="AC59" s="15" t="s">
        <v>45</v>
      </c>
      <c r="AD59" s="40">
        <v>0</v>
      </c>
      <c r="AE59" s="16">
        <v>0</v>
      </c>
      <c r="AF59" s="16">
        <v>0</v>
      </c>
      <c r="AG59" s="40">
        <v>0</v>
      </c>
      <c r="AH59" s="16">
        <v>0</v>
      </c>
      <c r="AI59" s="16">
        <v>0</v>
      </c>
      <c r="AJ59" s="15" t="s">
        <v>45</v>
      </c>
      <c r="AK59" s="40">
        <v>0</v>
      </c>
      <c r="AL59" s="16">
        <v>0</v>
      </c>
      <c r="AM59" s="16">
        <v>0</v>
      </c>
      <c r="AN59" s="40">
        <v>0</v>
      </c>
      <c r="AO59" s="16">
        <v>0</v>
      </c>
      <c r="AP59" s="16">
        <v>0</v>
      </c>
      <c r="AQ59" s="15" t="s">
        <v>45</v>
      </c>
      <c r="AR59" s="40">
        <v>0.28000000000000003</v>
      </c>
      <c r="AS59" s="16">
        <v>89</v>
      </c>
      <c r="AT59" s="16">
        <v>34</v>
      </c>
      <c r="AU59" s="40">
        <v>0.38</v>
      </c>
      <c r="AV59" s="16">
        <v>2</v>
      </c>
      <c r="AW59" s="16">
        <v>7</v>
      </c>
      <c r="AX59" s="15" t="s">
        <v>45</v>
      </c>
      <c r="AY59" s="40">
        <v>0.27</v>
      </c>
      <c r="AZ59" s="16">
        <v>84</v>
      </c>
      <c r="BA59" s="16">
        <v>35</v>
      </c>
      <c r="BB59" s="40">
        <v>0.42</v>
      </c>
      <c r="BC59" s="16">
        <v>6</v>
      </c>
      <c r="BD59" s="16">
        <v>6</v>
      </c>
    </row>
    <row r="60" spans="1:56" x14ac:dyDescent="0.3">
      <c r="A60" s="7" t="s">
        <v>26</v>
      </c>
      <c r="B60" s="23" t="s">
        <v>39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5" t="s">
        <v>26</v>
      </c>
      <c r="I60" s="40">
        <v>0</v>
      </c>
      <c r="J60" s="16">
        <v>0</v>
      </c>
      <c r="K60" s="16">
        <v>0</v>
      </c>
      <c r="L60" s="40">
        <v>0</v>
      </c>
      <c r="M60" s="16">
        <v>0</v>
      </c>
      <c r="N60" s="16">
        <v>0</v>
      </c>
      <c r="O60" s="15" t="s">
        <v>26</v>
      </c>
      <c r="P60" s="40">
        <v>0</v>
      </c>
      <c r="Q60" s="16">
        <v>0</v>
      </c>
      <c r="R60" s="16">
        <v>0</v>
      </c>
      <c r="S60" s="40">
        <v>0</v>
      </c>
      <c r="T60" s="16">
        <v>0</v>
      </c>
      <c r="U60" s="16">
        <v>0</v>
      </c>
      <c r="V60" s="15" t="s">
        <v>26</v>
      </c>
      <c r="W60" s="40">
        <v>0</v>
      </c>
      <c r="X60" s="16">
        <v>0</v>
      </c>
      <c r="Y60" s="16">
        <v>0</v>
      </c>
      <c r="Z60" s="40">
        <v>0</v>
      </c>
      <c r="AA60" s="16">
        <v>0</v>
      </c>
      <c r="AB60" s="16">
        <v>0</v>
      </c>
      <c r="AC60" s="15" t="s">
        <v>26</v>
      </c>
      <c r="AD60" s="40">
        <v>0.56000000000000005</v>
      </c>
      <c r="AE60" s="16">
        <v>9</v>
      </c>
      <c r="AF60" s="16">
        <v>5</v>
      </c>
      <c r="AG60" s="40">
        <v>0.56000000000000005</v>
      </c>
      <c r="AH60" s="16">
        <v>0</v>
      </c>
      <c r="AI60" s="16">
        <v>0</v>
      </c>
      <c r="AJ60" s="15" t="s">
        <v>26</v>
      </c>
      <c r="AK60" s="40">
        <v>0</v>
      </c>
      <c r="AL60" s="16">
        <v>0</v>
      </c>
      <c r="AM60" s="16">
        <v>0</v>
      </c>
      <c r="AN60" s="40">
        <v>0</v>
      </c>
      <c r="AO60" s="16">
        <v>0</v>
      </c>
      <c r="AP60" s="16">
        <v>0</v>
      </c>
      <c r="AQ60" s="15" t="s">
        <v>26</v>
      </c>
      <c r="AR60" s="40">
        <v>0.43</v>
      </c>
      <c r="AS60" s="16">
        <v>7</v>
      </c>
      <c r="AT60" s="16">
        <v>3</v>
      </c>
      <c r="AU60" s="40">
        <v>0.43</v>
      </c>
      <c r="AV60" s="16">
        <v>0</v>
      </c>
      <c r="AW60" s="16">
        <v>0</v>
      </c>
      <c r="AX60" s="15" t="s">
        <v>26</v>
      </c>
      <c r="AY60" s="40">
        <v>0.54</v>
      </c>
      <c r="AZ60" s="16">
        <v>13</v>
      </c>
      <c r="BA60" s="16">
        <v>8</v>
      </c>
      <c r="BB60" s="40">
        <v>0.62</v>
      </c>
      <c r="BC60" s="16">
        <v>0</v>
      </c>
      <c r="BD60" s="16">
        <v>1</v>
      </c>
    </row>
    <row r="61" spans="1:56" x14ac:dyDescent="0.3">
      <c r="A61" s="7" t="s">
        <v>48</v>
      </c>
      <c r="B61" s="23" t="s">
        <v>39</v>
      </c>
      <c r="C61" s="16">
        <v>0</v>
      </c>
      <c r="D61" s="16">
        <v>0</v>
      </c>
      <c r="E61" s="16">
        <v>0</v>
      </c>
      <c r="F61" s="16">
        <v>0</v>
      </c>
      <c r="G61" s="16">
        <v>0</v>
      </c>
      <c r="H61" s="15" t="s">
        <v>48</v>
      </c>
      <c r="I61" s="40">
        <v>0</v>
      </c>
      <c r="J61" s="16">
        <v>0</v>
      </c>
      <c r="K61" s="16">
        <v>0</v>
      </c>
      <c r="L61" s="40">
        <v>0</v>
      </c>
      <c r="M61" s="16">
        <v>0</v>
      </c>
      <c r="N61" s="16">
        <v>0</v>
      </c>
      <c r="O61" s="15" t="s">
        <v>48</v>
      </c>
      <c r="P61" s="40">
        <v>0</v>
      </c>
      <c r="Q61" s="16">
        <v>0</v>
      </c>
      <c r="R61" s="16">
        <v>0</v>
      </c>
      <c r="S61" s="40">
        <v>0</v>
      </c>
      <c r="T61" s="16">
        <v>0</v>
      </c>
      <c r="U61" s="16">
        <v>0</v>
      </c>
      <c r="V61" s="15" t="s">
        <v>48</v>
      </c>
      <c r="W61" s="40">
        <v>0</v>
      </c>
      <c r="X61" s="16">
        <v>0</v>
      </c>
      <c r="Y61" s="16">
        <v>0</v>
      </c>
      <c r="Z61" s="40">
        <v>0</v>
      </c>
      <c r="AA61" s="16">
        <v>0</v>
      </c>
      <c r="AB61" s="16">
        <v>0</v>
      </c>
      <c r="AC61" s="15" t="s">
        <v>48</v>
      </c>
      <c r="AD61" s="40">
        <v>0</v>
      </c>
      <c r="AE61" s="16">
        <v>0</v>
      </c>
      <c r="AF61" s="16">
        <v>0</v>
      </c>
      <c r="AG61" s="40">
        <v>0</v>
      </c>
      <c r="AH61" s="16">
        <v>0</v>
      </c>
      <c r="AI61" s="16">
        <v>0</v>
      </c>
      <c r="AJ61" s="15" t="s">
        <v>48</v>
      </c>
      <c r="AK61" s="40">
        <v>0</v>
      </c>
      <c r="AL61" s="16">
        <v>0</v>
      </c>
      <c r="AM61" s="16">
        <v>0</v>
      </c>
      <c r="AN61" s="40">
        <v>0</v>
      </c>
      <c r="AO61" s="16">
        <v>0</v>
      </c>
      <c r="AP61" s="16">
        <v>0</v>
      </c>
      <c r="AQ61" s="15" t="s">
        <v>48</v>
      </c>
      <c r="AR61" s="40">
        <v>0</v>
      </c>
      <c r="AS61" s="16">
        <v>0</v>
      </c>
      <c r="AT61" s="16">
        <v>0</v>
      </c>
      <c r="AU61" s="40">
        <v>0</v>
      </c>
      <c r="AV61" s="16">
        <v>0</v>
      </c>
      <c r="AW61" s="16">
        <v>0</v>
      </c>
      <c r="AX61" s="15" t="s">
        <v>48</v>
      </c>
      <c r="AY61" s="40">
        <v>0</v>
      </c>
      <c r="AZ61" s="16">
        <v>0</v>
      </c>
      <c r="BA61" s="16">
        <v>0</v>
      </c>
      <c r="BB61" s="40">
        <v>0</v>
      </c>
      <c r="BC61" s="16">
        <v>0</v>
      </c>
      <c r="BD61" s="16">
        <v>0</v>
      </c>
    </row>
    <row r="62" spans="1:56" x14ac:dyDescent="0.3">
      <c r="A62" s="7" t="s">
        <v>28</v>
      </c>
      <c r="B62" s="23" t="s">
        <v>39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5" t="s">
        <v>28</v>
      </c>
      <c r="I62" s="40">
        <v>0</v>
      </c>
      <c r="J62" s="16">
        <v>0</v>
      </c>
      <c r="K62" s="16">
        <v>0</v>
      </c>
      <c r="L62" s="40">
        <v>0</v>
      </c>
      <c r="M62" s="16">
        <v>0</v>
      </c>
      <c r="N62" s="16">
        <v>0</v>
      </c>
      <c r="O62" s="15" t="s">
        <v>28</v>
      </c>
      <c r="P62" s="40">
        <v>0</v>
      </c>
      <c r="Q62" s="16">
        <v>0</v>
      </c>
      <c r="R62" s="16">
        <v>0</v>
      </c>
      <c r="S62" s="40">
        <v>0</v>
      </c>
      <c r="T62" s="16">
        <v>0</v>
      </c>
      <c r="U62" s="16">
        <v>0</v>
      </c>
      <c r="V62" s="15" t="s">
        <v>28</v>
      </c>
      <c r="W62" s="40">
        <v>0</v>
      </c>
      <c r="X62" s="16">
        <v>0</v>
      </c>
      <c r="Y62" s="16">
        <v>0</v>
      </c>
      <c r="Z62" s="40">
        <v>0</v>
      </c>
      <c r="AA62" s="16">
        <v>0</v>
      </c>
      <c r="AB62" s="16">
        <v>0</v>
      </c>
      <c r="AC62" s="15" t="s">
        <v>28</v>
      </c>
      <c r="AD62" s="40">
        <v>0.24</v>
      </c>
      <c r="AE62" s="16">
        <v>29</v>
      </c>
      <c r="AF62" s="16">
        <v>14</v>
      </c>
      <c r="AG62" s="40">
        <v>0.48</v>
      </c>
      <c r="AH62" s="16">
        <v>2</v>
      </c>
      <c r="AI62" s="16">
        <v>5</v>
      </c>
      <c r="AJ62" s="15" t="s">
        <v>28</v>
      </c>
      <c r="AK62" s="40">
        <v>0</v>
      </c>
      <c r="AL62" s="16">
        <v>0</v>
      </c>
      <c r="AM62" s="16">
        <v>0</v>
      </c>
      <c r="AN62" s="40">
        <v>0</v>
      </c>
      <c r="AO62" s="16">
        <v>0</v>
      </c>
      <c r="AP62" s="16">
        <v>0</v>
      </c>
      <c r="AQ62" s="15" t="s">
        <v>28</v>
      </c>
      <c r="AR62" s="40">
        <v>0.44</v>
      </c>
      <c r="AS62" s="16">
        <v>9</v>
      </c>
      <c r="AT62" s="16">
        <v>4</v>
      </c>
      <c r="AU62" s="40">
        <v>0.44</v>
      </c>
      <c r="AV62" s="16">
        <v>0</v>
      </c>
      <c r="AW62" s="16">
        <v>0</v>
      </c>
      <c r="AX62" s="15" t="s">
        <v>28</v>
      </c>
      <c r="AY62" s="40">
        <v>0.32</v>
      </c>
      <c r="AZ62" s="16">
        <v>41</v>
      </c>
      <c r="BA62" s="16">
        <v>20</v>
      </c>
      <c r="BB62" s="40">
        <v>0.49</v>
      </c>
      <c r="BC62" s="16">
        <v>2</v>
      </c>
      <c r="BD62" s="16">
        <v>5</v>
      </c>
    </row>
    <row r="63" spans="1:56" x14ac:dyDescent="0.3">
      <c r="A63" s="42" t="s">
        <v>25</v>
      </c>
      <c r="B63" s="39">
        <v>-0.13189999999999999</v>
      </c>
      <c r="C63" s="26">
        <v>36</v>
      </c>
      <c r="D63" s="26">
        <v>4</v>
      </c>
      <c r="E63" s="26">
        <v>3</v>
      </c>
      <c r="F63" s="26">
        <v>1</v>
      </c>
      <c r="G63" s="26">
        <v>10</v>
      </c>
      <c r="H63" s="25" t="s">
        <v>25</v>
      </c>
      <c r="I63" s="40">
        <v>0.2</v>
      </c>
      <c r="J63" s="16">
        <v>5</v>
      </c>
      <c r="K63" s="16">
        <v>2</v>
      </c>
      <c r="L63" s="40">
        <v>0.4</v>
      </c>
      <c r="M63" s="16">
        <v>1</v>
      </c>
      <c r="N63" s="16">
        <v>0</v>
      </c>
      <c r="O63" s="25" t="s">
        <v>25</v>
      </c>
      <c r="P63" s="40">
        <v>0</v>
      </c>
      <c r="Q63" s="16">
        <v>0</v>
      </c>
      <c r="R63" s="16">
        <v>0</v>
      </c>
      <c r="S63" s="40">
        <v>0</v>
      </c>
      <c r="T63" s="16">
        <v>0</v>
      </c>
      <c r="U63" s="16">
        <v>0</v>
      </c>
      <c r="V63" s="25" t="s">
        <v>25</v>
      </c>
      <c r="W63" s="40">
        <v>0</v>
      </c>
      <c r="X63" s="16">
        <v>0</v>
      </c>
      <c r="Y63" s="16">
        <v>0</v>
      </c>
      <c r="Z63" s="40">
        <v>0</v>
      </c>
      <c r="AA63" s="16">
        <v>0</v>
      </c>
      <c r="AB63" s="16">
        <v>0</v>
      </c>
      <c r="AC63" s="25" t="s">
        <v>25</v>
      </c>
      <c r="AD63" s="41">
        <v>0</v>
      </c>
      <c r="AE63" s="26">
        <v>0</v>
      </c>
      <c r="AF63" s="26">
        <v>0</v>
      </c>
      <c r="AG63" s="41">
        <v>0</v>
      </c>
      <c r="AH63" s="26">
        <v>0</v>
      </c>
      <c r="AI63" s="26">
        <v>0</v>
      </c>
      <c r="AJ63" s="25" t="s">
        <v>25</v>
      </c>
      <c r="AK63" s="41">
        <v>0</v>
      </c>
      <c r="AL63" s="26">
        <v>0</v>
      </c>
      <c r="AM63" s="26">
        <v>0</v>
      </c>
      <c r="AN63" s="41">
        <v>0</v>
      </c>
      <c r="AO63" s="26">
        <v>0</v>
      </c>
      <c r="AP63" s="26">
        <v>0</v>
      </c>
      <c r="AQ63" s="25" t="s">
        <v>25</v>
      </c>
      <c r="AR63" s="41">
        <v>0.06</v>
      </c>
      <c r="AS63" s="26">
        <v>49</v>
      </c>
      <c r="AT63" s="26">
        <v>14</v>
      </c>
      <c r="AU63" s="41">
        <v>0.28999999999999998</v>
      </c>
      <c r="AV63" s="26">
        <v>6</v>
      </c>
      <c r="AW63" s="26">
        <v>5</v>
      </c>
      <c r="AX63" s="25" t="s">
        <v>25</v>
      </c>
      <c r="AY63" s="41">
        <v>0.37</v>
      </c>
      <c r="AZ63" s="26">
        <v>35</v>
      </c>
      <c r="BA63" s="26">
        <v>20</v>
      </c>
      <c r="BB63" s="41">
        <v>0.56999999999999995</v>
      </c>
      <c r="BC63" s="26">
        <v>4</v>
      </c>
      <c r="BD63" s="26">
        <v>3</v>
      </c>
    </row>
    <row r="64" spans="1:56" ht="25.95" customHeight="1" x14ac:dyDescent="0.3">
      <c r="A64" s="42" t="s">
        <v>70</v>
      </c>
      <c r="B64" s="23" t="s">
        <v>39</v>
      </c>
      <c r="C64" s="26">
        <v>0</v>
      </c>
      <c r="D64" s="26">
        <v>0</v>
      </c>
      <c r="E64" s="26">
        <v>0</v>
      </c>
      <c r="F64" s="26">
        <v>0</v>
      </c>
      <c r="G64" s="26">
        <v>0</v>
      </c>
      <c r="H64" s="25" t="s">
        <v>70</v>
      </c>
      <c r="I64" s="40">
        <v>0</v>
      </c>
      <c r="J64" s="16">
        <v>0</v>
      </c>
      <c r="K64" s="16">
        <v>0</v>
      </c>
      <c r="L64" s="40">
        <v>0</v>
      </c>
      <c r="M64" s="16">
        <v>0</v>
      </c>
      <c r="N64" s="16">
        <v>0</v>
      </c>
      <c r="O64" s="25" t="s">
        <v>70</v>
      </c>
      <c r="P64" s="40">
        <v>0</v>
      </c>
      <c r="Q64" s="16">
        <v>0</v>
      </c>
      <c r="R64" s="16">
        <v>0</v>
      </c>
      <c r="S64" s="40">
        <v>0</v>
      </c>
      <c r="T64" s="16">
        <v>0</v>
      </c>
      <c r="U64" s="16">
        <v>0</v>
      </c>
      <c r="V64" s="25" t="s">
        <v>70</v>
      </c>
      <c r="W64" s="40">
        <v>0</v>
      </c>
      <c r="X64" s="16">
        <v>0</v>
      </c>
      <c r="Y64" s="16">
        <v>0</v>
      </c>
      <c r="Z64" s="40">
        <v>0</v>
      </c>
      <c r="AA64" s="16">
        <v>0</v>
      </c>
      <c r="AB64" s="16">
        <v>0</v>
      </c>
      <c r="AC64" s="25" t="s">
        <v>70</v>
      </c>
      <c r="AD64" s="41">
        <v>0</v>
      </c>
      <c r="AE64" s="26">
        <v>0</v>
      </c>
      <c r="AF64" s="26">
        <v>0</v>
      </c>
      <c r="AG64" s="41">
        <v>0</v>
      </c>
      <c r="AH64" s="26">
        <v>0</v>
      </c>
      <c r="AI64" s="26">
        <v>0</v>
      </c>
      <c r="AJ64" s="25" t="s">
        <v>70</v>
      </c>
      <c r="AK64" s="41">
        <v>0</v>
      </c>
      <c r="AL64" s="26">
        <v>0</v>
      </c>
      <c r="AM64" s="26">
        <v>0</v>
      </c>
      <c r="AN64" s="41">
        <v>0</v>
      </c>
      <c r="AO64" s="26">
        <v>0</v>
      </c>
      <c r="AP64" s="26">
        <v>0</v>
      </c>
      <c r="AQ64" s="25" t="s">
        <v>70</v>
      </c>
      <c r="AR64" s="41">
        <v>0</v>
      </c>
      <c r="AS64" s="26">
        <v>0</v>
      </c>
      <c r="AT64" s="26">
        <v>0</v>
      </c>
      <c r="AU64" s="41">
        <v>0</v>
      </c>
      <c r="AV64" s="26">
        <v>0</v>
      </c>
      <c r="AW64" s="26">
        <v>0</v>
      </c>
      <c r="AX64" s="25" t="s">
        <v>70</v>
      </c>
      <c r="AY64" s="41">
        <v>0</v>
      </c>
      <c r="AZ64" s="26">
        <v>0</v>
      </c>
      <c r="BA64" s="26">
        <v>0</v>
      </c>
      <c r="BB64" s="41">
        <v>0</v>
      </c>
      <c r="BC64" s="26">
        <v>0</v>
      </c>
      <c r="BD64" s="26">
        <v>0</v>
      </c>
    </row>
    <row r="65" spans="1:35" ht="13.95" customHeight="1" x14ac:dyDescent="0.3"/>
    <row r="66" spans="1:35" ht="30" customHeight="1" x14ac:dyDescent="0.3">
      <c r="A66" s="43" t="s">
        <v>74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N66" s="44" t="s">
        <v>75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35" ht="25.95" customHeight="1" x14ac:dyDescent="0.3">
      <c r="B67" s="45" t="s">
        <v>57</v>
      </c>
      <c r="C67" s="46" t="s">
        <v>76</v>
      </c>
      <c r="D67" s="46" t="s">
        <v>77</v>
      </c>
      <c r="E67" s="47" t="s">
        <v>78</v>
      </c>
      <c r="F67" s="46" t="s">
        <v>79</v>
      </c>
      <c r="G67" s="47" t="s">
        <v>80</v>
      </c>
      <c r="H67" s="46" t="s">
        <v>81</v>
      </c>
      <c r="I67" s="47" t="s">
        <v>82</v>
      </c>
      <c r="J67" s="46" t="s">
        <v>83</v>
      </c>
      <c r="K67" s="46" t="s">
        <v>62</v>
      </c>
      <c r="O67" s="48" t="s">
        <v>54</v>
      </c>
      <c r="P67" s="46" t="s">
        <v>76</v>
      </c>
      <c r="Q67" s="46" t="s">
        <v>77</v>
      </c>
      <c r="R67" s="46" t="s">
        <v>78</v>
      </c>
      <c r="S67" s="46" t="s">
        <v>79</v>
      </c>
      <c r="T67" s="46" t="s">
        <v>80</v>
      </c>
      <c r="U67" s="46" t="s">
        <v>81</v>
      </c>
      <c r="V67" s="46" t="s">
        <v>82</v>
      </c>
      <c r="W67" s="46" t="s">
        <v>83</v>
      </c>
      <c r="X67" s="46" t="s">
        <v>62</v>
      </c>
    </row>
    <row r="68" spans="1:35" ht="24" customHeight="1" x14ac:dyDescent="0.3">
      <c r="A68" s="45" t="s">
        <v>57</v>
      </c>
      <c r="B68" s="45" t="s">
        <v>84</v>
      </c>
      <c r="C68" s="49">
        <v>11</v>
      </c>
      <c r="D68" s="50">
        <f>IF(K68&gt;0,C68/K68,0)</f>
        <v>0.36666666666666664</v>
      </c>
      <c r="E68" s="49">
        <v>10</v>
      </c>
      <c r="F68" s="50">
        <f>IF(K68&gt;0,E68/K68,0)</f>
        <v>0.33333333333333331</v>
      </c>
      <c r="G68" s="49">
        <v>7</v>
      </c>
      <c r="H68" s="50">
        <f>IF(K68&gt;0,G68/K68,0)</f>
        <v>0.23333333333333334</v>
      </c>
      <c r="I68" s="49">
        <v>2</v>
      </c>
      <c r="J68" s="50">
        <f>IF(K68&gt;0,I68/K68,0)</f>
        <v>6.6666666666666666E-2</v>
      </c>
      <c r="K68" s="49">
        <v>30</v>
      </c>
      <c r="N68" s="48" t="s">
        <v>54</v>
      </c>
      <c r="O68" s="48" t="s">
        <v>84</v>
      </c>
      <c r="P68" s="51">
        <v>11</v>
      </c>
      <c r="Q68" s="50">
        <f>IF(X68&gt;0,P68/X68,0)</f>
        <v>0.40740740740740738</v>
      </c>
      <c r="R68" s="51">
        <v>8</v>
      </c>
      <c r="S68" s="50">
        <f>IF(X68&gt;0,R68/X68,0)</f>
        <v>0.29629629629629628</v>
      </c>
      <c r="T68" s="51">
        <v>6</v>
      </c>
      <c r="U68" s="50">
        <f>IF(X68&gt;0,T68/X68,0)</f>
        <v>0.22222222222222221</v>
      </c>
      <c r="V68" s="51">
        <v>2</v>
      </c>
      <c r="W68" s="50">
        <f>IF(X68&gt;0,V68/X68,0)</f>
        <v>7.407407407407407E-2</v>
      </c>
      <c r="X68" s="51">
        <v>27</v>
      </c>
      <c r="AA68" s="45"/>
      <c r="AB68" s="46" t="s">
        <v>61</v>
      </c>
      <c r="AD68" s="45" t="s">
        <v>57</v>
      </c>
      <c r="AE68" s="46" t="s">
        <v>61</v>
      </c>
      <c r="AF68" s="46" t="s">
        <v>62</v>
      </c>
      <c r="AG68" s="46" t="s">
        <v>3</v>
      </c>
      <c r="AH68" s="46" t="s">
        <v>66</v>
      </c>
      <c r="AI68" s="46" t="s">
        <v>85</v>
      </c>
    </row>
    <row r="69" spans="1:35" ht="22.05" customHeight="1" x14ac:dyDescent="0.3">
      <c r="A69" s="45" t="s">
        <v>57</v>
      </c>
      <c r="B69" s="52"/>
      <c r="C69" s="53">
        <v>4</v>
      </c>
      <c r="D69" s="50">
        <f>IF(C68&gt;0,C69/C68,0)</f>
        <v>0.36363636363636365</v>
      </c>
      <c r="E69" s="53">
        <v>5</v>
      </c>
      <c r="F69" s="50">
        <f>IF(E68&gt;0,E69/E68,0)</f>
        <v>0.5</v>
      </c>
      <c r="G69" s="53">
        <v>3</v>
      </c>
      <c r="H69" s="50">
        <f>IF(G68&gt;0,G69/G68,0)</f>
        <v>0.42857142857142855</v>
      </c>
      <c r="I69" s="53">
        <v>2</v>
      </c>
      <c r="J69" s="50">
        <f>IF(I68&gt;0,I69/I68,0)</f>
        <v>1</v>
      </c>
      <c r="K69" s="53"/>
      <c r="N69" s="48" t="s">
        <v>54</v>
      </c>
      <c r="O69" s="52"/>
      <c r="P69" s="54">
        <v>3</v>
      </c>
      <c r="Q69" s="50">
        <f>IF(P68&gt;0,P69/P68,0)</f>
        <v>0.27272727272727271</v>
      </c>
      <c r="R69" s="54">
        <v>4</v>
      </c>
      <c r="S69" s="50">
        <f>IF(R68&gt;0,R69/R68,0)</f>
        <v>0.5</v>
      </c>
      <c r="T69" s="54">
        <v>0</v>
      </c>
      <c r="U69" s="50">
        <f>IF(T68&gt;0,T69/T68,0)</f>
        <v>0</v>
      </c>
      <c r="V69" s="54">
        <v>0</v>
      </c>
      <c r="W69" s="50">
        <f>IF(V68&gt;0,V69/V68,0)</f>
        <v>0</v>
      </c>
      <c r="X69" s="54"/>
      <c r="AA69" s="46" t="s">
        <v>86</v>
      </c>
      <c r="AB69" s="55">
        <v>0.37</v>
      </c>
      <c r="AD69" s="45" t="s">
        <v>84</v>
      </c>
      <c r="AE69" s="55">
        <v>0.37</v>
      </c>
      <c r="AF69" s="53">
        <v>30</v>
      </c>
      <c r="AG69" s="53">
        <v>14</v>
      </c>
      <c r="AH69" s="55">
        <v>0.47</v>
      </c>
      <c r="AI69" s="55">
        <v>0.1</v>
      </c>
    </row>
    <row r="70" spans="1:35" ht="22.05" customHeight="1" x14ac:dyDescent="0.3">
      <c r="A70" s="45" t="s">
        <v>57</v>
      </c>
      <c r="B70" s="45" t="s">
        <v>87</v>
      </c>
      <c r="C70" s="49">
        <v>9</v>
      </c>
      <c r="D70" s="50">
        <f>IF(K70&gt;0,C70/K70,0)</f>
        <v>0.375</v>
      </c>
      <c r="E70" s="49">
        <v>7</v>
      </c>
      <c r="F70" s="50">
        <f>IF(K70&gt;0,E70/K70,0)</f>
        <v>0.29166666666666669</v>
      </c>
      <c r="G70" s="49">
        <v>8</v>
      </c>
      <c r="H70" s="50">
        <f>IF(K70&gt;0,G70/K70,0)</f>
        <v>0.33333333333333331</v>
      </c>
      <c r="I70" s="49">
        <v>0</v>
      </c>
      <c r="J70" s="50">
        <f>IF(K70&gt;0,I70/K70,0)</f>
        <v>0</v>
      </c>
      <c r="K70" s="49">
        <v>24</v>
      </c>
      <c r="N70" s="48" t="s">
        <v>54</v>
      </c>
      <c r="O70" s="48" t="s">
        <v>87</v>
      </c>
      <c r="P70" s="51">
        <v>10</v>
      </c>
      <c r="Q70" s="50">
        <f>IF(X70&gt;0,P70/X70,0)</f>
        <v>0.37037037037037035</v>
      </c>
      <c r="R70" s="51">
        <v>9</v>
      </c>
      <c r="S70" s="50">
        <f>IF(X70&gt;0,R70/X70,0)</f>
        <v>0.33333333333333331</v>
      </c>
      <c r="T70" s="51">
        <v>8</v>
      </c>
      <c r="U70" s="50">
        <f>IF(X70&gt;0,T70/X70,0)</f>
        <v>0.29629629629629628</v>
      </c>
      <c r="V70" s="51">
        <v>0</v>
      </c>
      <c r="W70" s="50">
        <f>IF(X70&gt;0,V70/X70,0)</f>
        <v>0</v>
      </c>
      <c r="X70" s="51">
        <v>27</v>
      </c>
      <c r="AA70" s="46" t="s">
        <v>88</v>
      </c>
      <c r="AB70" s="55">
        <v>0.37</v>
      </c>
      <c r="AD70" s="45" t="s">
        <v>87</v>
      </c>
      <c r="AE70" s="55">
        <v>0.28999999999999998</v>
      </c>
      <c r="AF70" s="53">
        <v>24</v>
      </c>
      <c r="AG70" s="53">
        <v>12</v>
      </c>
      <c r="AH70" s="55">
        <v>0.5</v>
      </c>
      <c r="AI70" s="55">
        <v>0.21</v>
      </c>
    </row>
    <row r="71" spans="1:35" ht="22.05" customHeight="1" x14ac:dyDescent="0.3">
      <c r="A71" s="45" t="s">
        <v>57</v>
      </c>
      <c r="B71" s="52"/>
      <c r="C71" s="53">
        <v>3</v>
      </c>
      <c r="D71" s="50">
        <f>IF(C70&gt;0,C71/C70,0)</f>
        <v>0.33333333333333331</v>
      </c>
      <c r="E71" s="53">
        <v>4</v>
      </c>
      <c r="F71" s="50">
        <f>IF(E70&gt;0,E71/E70,0)</f>
        <v>0.5714285714285714</v>
      </c>
      <c r="G71" s="53">
        <v>5</v>
      </c>
      <c r="H71" s="50">
        <f>IF(G70&gt;0,G71/G70,0)</f>
        <v>0.625</v>
      </c>
      <c r="I71" s="53">
        <v>0</v>
      </c>
      <c r="J71" s="50">
        <f>IF(I70&gt;0,I71/I70,0)</f>
        <v>0</v>
      </c>
      <c r="K71" s="53"/>
      <c r="N71" s="48" t="s">
        <v>54</v>
      </c>
      <c r="O71" s="52"/>
      <c r="P71" s="54">
        <v>6</v>
      </c>
      <c r="Q71" s="50">
        <f>IF(P70&gt;0,P71/P70,0)</f>
        <v>0.6</v>
      </c>
      <c r="R71" s="54">
        <v>6</v>
      </c>
      <c r="S71" s="50">
        <f>IF(R70&gt;0,R71/R70,0)</f>
        <v>0.66666666666666663</v>
      </c>
      <c r="T71" s="54">
        <v>4</v>
      </c>
      <c r="U71" s="50">
        <f>IF(T70&gt;0,T71/T70,0)</f>
        <v>0.5</v>
      </c>
      <c r="V71" s="54">
        <v>0</v>
      </c>
      <c r="W71" s="50">
        <f>IF(V70&gt;0,V71/V70,0)</f>
        <v>0</v>
      </c>
      <c r="X71" s="54"/>
      <c r="AA71" s="46" t="s">
        <v>89</v>
      </c>
      <c r="AB71" s="55">
        <v>0.35</v>
      </c>
      <c r="AD71" s="45" t="s">
        <v>90</v>
      </c>
      <c r="AE71" s="55">
        <v>0.42</v>
      </c>
      <c r="AF71" s="53">
        <v>26</v>
      </c>
      <c r="AG71" s="53">
        <v>15</v>
      </c>
      <c r="AH71" s="55">
        <v>0.57999999999999996</v>
      </c>
      <c r="AI71" s="55">
        <v>0.15</v>
      </c>
    </row>
    <row r="72" spans="1:35" ht="22.05" customHeight="1" x14ac:dyDescent="0.3">
      <c r="A72" s="45" t="s">
        <v>57</v>
      </c>
      <c r="B72" s="45" t="s">
        <v>90</v>
      </c>
      <c r="C72" s="49">
        <v>9</v>
      </c>
      <c r="D72" s="50">
        <f>IF(K72&gt;0,C72/K72,0)</f>
        <v>0.34615384615384615</v>
      </c>
      <c r="E72" s="49">
        <v>12</v>
      </c>
      <c r="F72" s="50">
        <f>IF(K72&gt;0,E72/K72,0)</f>
        <v>0.46153846153846156</v>
      </c>
      <c r="G72" s="49">
        <v>5</v>
      </c>
      <c r="H72" s="50">
        <f>IF(K72&gt;0,G72/K72,0)</f>
        <v>0.19230769230769232</v>
      </c>
      <c r="I72" s="49">
        <v>0</v>
      </c>
      <c r="J72" s="50">
        <f>IF(K72&gt;0,I72/K72,0)</f>
        <v>0</v>
      </c>
      <c r="K72" s="49">
        <v>26</v>
      </c>
      <c r="N72" s="48" t="s">
        <v>54</v>
      </c>
      <c r="O72" s="48" t="s">
        <v>90</v>
      </c>
      <c r="P72" s="51">
        <v>7</v>
      </c>
      <c r="Q72" s="50">
        <f>IF(X72&gt;0,P72/X72,0)</f>
        <v>0.29166666666666669</v>
      </c>
      <c r="R72" s="51">
        <v>13</v>
      </c>
      <c r="S72" s="50">
        <f>IF(X72&gt;0,R72/X72,0)</f>
        <v>0.54166666666666663</v>
      </c>
      <c r="T72" s="51">
        <v>3</v>
      </c>
      <c r="U72" s="50">
        <f>IF(X72&gt;0,T72/X72,0)</f>
        <v>0.125</v>
      </c>
      <c r="V72" s="51">
        <v>1</v>
      </c>
      <c r="W72" s="50">
        <f>IF(X72&gt;0,V72/X72,0)</f>
        <v>4.1666666666666664E-2</v>
      </c>
      <c r="X72" s="51">
        <v>24</v>
      </c>
      <c r="AA72" s="46" t="s">
        <v>91</v>
      </c>
      <c r="AB72" s="55">
        <v>0.59</v>
      </c>
      <c r="AD72" s="45" t="s">
        <v>92</v>
      </c>
      <c r="AE72" s="55">
        <v>0.32</v>
      </c>
      <c r="AF72" s="53">
        <v>25</v>
      </c>
      <c r="AG72" s="53">
        <v>12</v>
      </c>
      <c r="AH72" s="55">
        <v>0.48</v>
      </c>
      <c r="AI72" s="55">
        <v>0.16</v>
      </c>
    </row>
    <row r="73" spans="1:35" ht="22.05" customHeight="1" x14ac:dyDescent="0.3">
      <c r="A73" s="45" t="s">
        <v>57</v>
      </c>
      <c r="B73" s="52"/>
      <c r="C73" s="53">
        <v>6</v>
      </c>
      <c r="D73" s="50">
        <f>IF(C72&gt;0,C73/C72,0)</f>
        <v>0.66666666666666663</v>
      </c>
      <c r="E73" s="53">
        <v>7</v>
      </c>
      <c r="F73" s="50">
        <f>IF(E72&gt;0,E73/E72,0)</f>
        <v>0.58333333333333337</v>
      </c>
      <c r="G73" s="53">
        <v>2</v>
      </c>
      <c r="H73" s="50">
        <f>IF(G72&gt;0,G73/G72,0)</f>
        <v>0.4</v>
      </c>
      <c r="I73" s="53">
        <v>0</v>
      </c>
      <c r="J73" s="50">
        <f>IF(I72&gt;0,I73/I72,0)</f>
        <v>0</v>
      </c>
      <c r="K73" s="53"/>
      <c r="N73" s="48" t="s">
        <v>54</v>
      </c>
      <c r="O73" s="52"/>
      <c r="P73" s="54">
        <v>4</v>
      </c>
      <c r="Q73" s="50">
        <f>IF(P72&gt;0,P73/P72,0)</f>
        <v>0.5714285714285714</v>
      </c>
      <c r="R73" s="54">
        <v>6</v>
      </c>
      <c r="S73" s="50">
        <f>IF(R72&gt;0,R73/R72,0)</f>
        <v>0.46153846153846156</v>
      </c>
      <c r="T73" s="54">
        <v>1</v>
      </c>
      <c r="U73" s="50">
        <f>IF(T72&gt;0,T73/T72,0)</f>
        <v>0.33333333333333331</v>
      </c>
      <c r="V73" s="54">
        <v>0</v>
      </c>
      <c r="W73" s="50">
        <f>IF(V72&gt;0,V73/V72,0)</f>
        <v>0</v>
      </c>
      <c r="X73" s="54"/>
      <c r="AA73" s="46" t="s">
        <v>93</v>
      </c>
      <c r="AB73" s="55">
        <v>0.16</v>
      </c>
      <c r="AD73" s="45" t="s">
        <v>94</v>
      </c>
      <c r="AE73" s="55">
        <v>0.33</v>
      </c>
      <c r="AF73" s="53">
        <v>24</v>
      </c>
      <c r="AG73" s="53">
        <v>13</v>
      </c>
      <c r="AH73" s="55">
        <v>0.54</v>
      </c>
      <c r="AI73" s="55">
        <v>0.21</v>
      </c>
    </row>
    <row r="74" spans="1:35" ht="22.05" customHeight="1" x14ac:dyDescent="0.3">
      <c r="A74" s="45" t="s">
        <v>57</v>
      </c>
      <c r="B74" s="45" t="s">
        <v>92</v>
      </c>
      <c r="C74" s="49">
        <v>9</v>
      </c>
      <c r="D74" s="50">
        <f>IF(K74&gt;0,C74/K74,0)</f>
        <v>0.36</v>
      </c>
      <c r="E74" s="49">
        <v>10</v>
      </c>
      <c r="F74" s="50">
        <f>IF(K74&gt;0,E74/K74,0)</f>
        <v>0.4</v>
      </c>
      <c r="G74" s="49">
        <v>6</v>
      </c>
      <c r="H74" s="50">
        <f>IF(K74&gt;0,G74/K74,0)</f>
        <v>0.24</v>
      </c>
      <c r="I74" s="49">
        <v>0</v>
      </c>
      <c r="J74" s="50">
        <f>IF(K74&gt;0,I74/K74,0)</f>
        <v>0</v>
      </c>
      <c r="K74" s="49">
        <v>25</v>
      </c>
      <c r="N74" s="48" t="s">
        <v>54</v>
      </c>
      <c r="O74" s="48" t="s">
        <v>92</v>
      </c>
      <c r="P74" s="51">
        <v>9</v>
      </c>
      <c r="Q74" s="50">
        <f>IF(X74&gt;0,P74/X74,0)</f>
        <v>0.5</v>
      </c>
      <c r="R74" s="51">
        <v>7</v>
      </c>
      <c r="S74" s="50">
        <f>IF(X74&gt;0,R74/X74,0)</f>
        <v>0.3888888888888889</v>
      </c>
      <c r="T74" s="51">
        <v>2</v>
      </c>
      <c r="U74" s="50">
        <f>IF(X74&gt;0,T74/X74,0)</f>
        <v>0.1111111111111111</v>
      </c>
      <c r="V74" s="51">
        <v>0</v>
      </c>
      <c r="W74" s="50">
        <f>IF(X74&gt;0,V74/X74,0)</f>
        <v>0</v>
      </c>
      <c r="X74" s="51">
        <v>18</v>
      </c>
      <c r="AA74" s="46" t="s">
        <v>95</v>
      </c>
      <c r="AB74" s="55">
        <v>0.16</v>
      </c>
      <c r="AD74" s="45" t="s">
        <v>96</v>
      </c>
      <c r="AE74" s="55">
        <v>0.44</v>
      </c>
      <c r="AF74" s="53">
        <v>18</v>
      </c>
      <c r="AG74" s="53">
        <v>9</v>
      </c>
      <c r="AH74" s="55">
        <v>0.5</v>
      </c>
      <c r="AI74" s="55">
        <v>0.06</v>
      </c>
    </row>
    <row r="75" spans="1:35" ht="22.05" customHeight="1" x14ac:dyDescent="0.3">
      <c r="A75" s="45" t="s">
        <v>57</v>
      </c>
      <c r="B75" s="52"/>
      <c r="C75" s="53">
        <v>5</v>
      </c>
      <c r="D75" s="50">
        <f>IF(C74&gt;0,C75/C74,0)</f>
        <v>0.55555555555555558</v>
      </c>
      <c r="E75" s="53">
        <v>4</v>
      </c>
      <c r="F75" s="50">
        <f>IF(E74&gt;0,E75/E74,0)</f>
        <v>0.4</v>
      </c>
      <c r="G75" s="53">
        <v>3</v>
      </c>
      <c r="H75" s="50">
        <f>IF(G74&gt;0,G75/G74,0)</f>
        <v>0.5</v>
      </c>
      <c r="I75" s="53">
        <v>0</v>
      </c>
      <c r="J75" s="50">
        <f>IF(I74&gt;0,I75/I74,0)</f>
        <v>0</v>
      </c>
      <c r="K75" s="53"/>
      <c r="N75" s="48" t="s">
        <v>54</v>
      </c>
      <c r="O75" s="52"/>
      <c r="P75" s="54">
        <v>4</v>
      </c>
      <c r="Q75" s="50">
        <f>IF(P74&gt;0,P75/P74,0)</f>
        <v>0.44444444444444442</v>
      </c>
      <c r="R75" s="54">
        <v>5</v>
      </c>
      <c r="S75" s="50">
        <f>IF(R74&gt;0,R75/R74,0)</f>
        <v>0.7142857142857143</v>
      </c>
      <c r="T75" s="54">
        <v>1</v>
      </c>
      <c r="U75" s="50">
        <f>IF(T74&gt;0,T75/T74,0)</f>
        <v>0.5</v>
      </c>
      <c r="V75" s="54">
        <v>0</v>
      </c>
      <c r="W75" s="50">
        <f>IF(V74&gt;0,V75/V74,0)</f>
        <v>0</v>
      </c>
      <c r="X75" s="54"/>
      <c r="AD75" s="45" t="s">
        <v>97</v>
      </c>
      <c r="AE75" s="55">
        <v>0.36</v>
      </c>
      <c r="AF75" s="53">
        <v>147</v>
      </c>
      <c r="AG75" s="53">
        <v>75</v>
      </c>
      <c r="AH75" s="55">
        <v>0.51</v>
      </c>
      <c r="AI75" s="55">
        <v>0.15</v>
      </c>
    </row>
    <row r="76" spans="1:35" ht="22.05" customHeight="1" x14ac:dyDescent="0.3">
      <c r="A76" s="45" t="s">
        <v>57</v>
      </c>
      <c r="B76" s="45" t="s">
        <v>94</v>
      </c>
      <c r="C76" s="49">
        <v>10</v>
      </c>
      <c r="D76" s="50">
        <f>IF(K76&gt;0,C76/K76,0)</f>
        <v>0.41666666666666669</v>
      </c>
      <c r="E76" s="49">
        <v>8</v>
      </c>
      <c r="F76" s="50">
        <f>IF(K76&gt;0,E76/K76,0)</f>
        <v>0.33333333333333331</v>
      </c>
      <c r="G76" s="49">
        <v>5</v>
      </c>
      <c r="H76" s="50">
        <f>IF(K76&gt;0,G76/K76,0)</f>
        <v>0.20833333333333334</v>
      </c>
      <c r="I76" s="49">
        <v>0</v>
      </c>
      <c r="J76" s="50">
        <f>IF(K76&gt;0,I76/K76,0)</f>
        <v>0</v>
      </c>
      <c r="K76" s="49">
        <v>24</v>
      </c>
      <c r="N76" s="48" t="s">
        <v>54</v>
      </c>
      <c r="O76" s="48" t="s">
        <v>94</v>
      </c>
      <c r="P76" s="51">
        <v>4</v>
      </c>
      <c r="Q76" s="50">
        <f>IF(X76&gt;0,P76/X76,0)</f>
        <v>0.30769230769230771</v>
      </c>
      <c r="R76" s="51">
        <v>5</v>
      </c>
      <c r="S76" s="50">
        <f>IF(X76&gt;0,R76/X76,0)</f>
        <v>0.38461538461538464</v>
      </c>
      <c r="T76" s="51">
        <v>1</v>
      </c>
      <c r="U76" s="50">
        <f>IF(X76&gt;0,T76/X76,0)</f>
        <v>7.6923076923076927E-2</v>
      </c>
      <c r="V76" s="51">
        <v>2</v>
      </c>
      <c r="W76" s="50">
        <f>IF(X76&gt;0,V76/X76,0)</f>
        <v>0.15384615384615385</v>
      </c>
      <c r="X76" s="51">
        <v>13</v>
      </c>
      <c r="AD76" s="45" t="s">
        <v>98</v>
      </c>
      <c r="AE76" s="55">
        <v>0.16</v>
      </c>
      <c r="AF76" s="53">
        <v>122</v>
      </c>
      <c r="AG76" s="53">
        <v>44</v>
      </c>
      <c r="AH76" s="55">
        <v>0.36</v>
      </c>
      <c r="AI76" s="55">
        <v>0.2</v>
      </c>
    </row>
    <row r="77" spans="1:35" ht="22.05" customHeight="1" x14ac:dyDescent="0.3">
      <c r="A77" s="45" t="s">
        <v>57</v>
      </c>
      <c r="B77" s="52"/>
      <c r="C77" s="53">
        <v>5</v>
      </c>
      <c r="D77" s="50">
        <f>IF(C76&gt;0,C77/C76,0)</f>
        <v>0.5</v>
      </c>
      <c r="E77" s="53">
        <v>6</v>
      </c>
      <c r="F77" s="50">
        <f>IF(E76&gt;0,E77/E76,0)</f>
        <v>0.75</v>
      </c>
      <c r="G77" s="53">
        <v>2</v>
      </c>
      <c r="H77" s="50">
        <f>IF(G76&gt;0,G77/G76,0)</f>
        <v>0.4</v>
      </c>
      <c r="I77" s="53">
        <v>0</v>
      </c>
      <c r="J77" s="50">
        <f>IF(I76&gt;0,I77/I76,0)</f>
        <v>0</v>
      </c>
      <c r="K77" s="53"/>
      <c r="N77" s="48" t="s">
        <v>54</v>
      </c>
      <c r="O77" s="52"/>
      <c r="P77" s="54">
        <v>1</v>
      </c>
      <c r="Q77" s="50">
        <f>IF(P76&gt;0,P77/P76,0)</f>
        <v>0.25</v>
      </c>
      <c r="R77" s="54">
        <v>2</v>
      </c>
      <c r="S77" s="50">
        <f>IF(R76&gt;0,R77/R76,0)</f>
        <v>0.4</v>
      </c>
      <c r="T77" s="54">
        <v>0</v>
      </c>
      <c r="U77" s="50">
        <f>IF(T76&gt;0,T77/T76,0)</f>
        <v>0</v>
      </c>
      <c r="V77" s="54">
        <v>1</v>
      </c>
      <c r="W77" s="50">
        <f>IF(V76&gt;0,V77/V76,0)</f>
        <v>0.5</v>
      </c>
      <c r="X77" s="54"/>
      <c r="AE77" s="56"/>
      <c r="AH77" s="56"/>
      <c r="AI77" s="56"/>
    </row>
    <row r="78" spans="1:35" ht="24" customHeight="1" x14ac:dyDescent="0.3">
      <c r="A78" s="45" t="s">
        <v>57</v>
      </c>
      <c r="B78" s="45" t="s">
        <v>96</v>
      </c>
      <c r="C78" s="49">
        <v>6</v>
      </c>
      <c r="D78" s="50">
        <f>IF(K78&gt;0,C78/K78,0)</f>
        <v>0.33333333333333331</v>
      </c>
      <c r="E78" s="49">
        <v>8</v>
      </c>
      <c r="F78" s="50">
        <f>IF(K78&gt;0,E78/K78,0)</f>
        <v>0.44444444444444442</v>
      </c>
      <c r="G78" s="49">
        <v>3</v>
      </c>
      <c r="H78" s="50">
        <f>IF(K78&gt;0,G78/K78,0)</f>
        <v>0.16666666666666666</v>
      </c>
      <c r="I78" s="49">
        <v>1</v>
      </c>
      <c r="J78" s="50">
        <f>IF(K78&gt;0,I78/K78,0)</f>
        <v>5.5555555555555552E-2</v>
      </c>
      <c r="K78" s="49">
        <v>18</v>
      </c>
      <c r="N78" s="48" t="s">
        <v>54</v>
      </c>
      <c r="O78" s="48" t="s">
        <v>96</v>
      </c>
      <c r="P78" s="51">
        <v>4</v>
      </c>
      <c r="Q78" s="50">
        <f>IF(X78&gt;0,P78/X78,0)</f>
        <v>0.33333333333333331</v>
      </c>
      <c r="R78" s="51">
        <v>4</v>
      </c>
      <c r="S78" s="50">
        <f>IF(X78&gt;0,R78/X78,0)</f>
        <v>0.33333333333333331</v>
      </c>
      <c r="T78" s="51">
        <v>3</v>
      </c>
      <c r="U78" s="50">
        <f>IF(X78&gt;0,T78/X78,0)</f>
        <v>0.25</v>
      </c>
      <c r="V78" s="51">
        <v>1</v>
      </c>
      <c r="W78" s="50">
        <f>IF(X78&gt;0,V78/X78,0)</f>
        <v>8.3333333333333329E-2</v>
      </c>
      <c r="X78" s="51">
        <v>12</v>
      </c>
      <c r="AA78" s="48"/>
      <c r="AB78" s="46" t="s">
        <v>61</v>
      </c>
      <c r="AD78" s="48" t="s">
        <v>54</v>
      </c>
      <c r="AE78" s="57" t="s">
        <v>61</v>
      </c>
      <c r="AF78" s="46" t="s">
        <v>62</v>
      </c>
      <c r="AG78" s="46" t="s">
        <v>3</v>
      </c>
      <c r="AH78" s="57" t="s">
        <v>66</v>
      </c>
      <c r="AI78" s="57" t="s">
        <v>85</v>
      </c>
    </row>
    <row r="79" spans="1:35" ht="22.05" customHeight="1" x14ac:dyDescent="0.3">
      <c r="A79" s="45" t="s">
        <v>57</v>
      </c>
      <c r="B79" s="52"/>
      <c r="C79" s="53">
        <v>1</v>
      </c>
      <c r="D79" s="50">
        <f>IF(C78&gt;0,C79/C78,0)</f>
        <v>0.16666666666666666</v>
      </c>
      <c r="E79" s="53">
        <v>6</v>
      </c>
      <c r="F79" s="50">
        <f>IF(E78&gt;0,E79/E78,0)</f>
        <v>0.75</v>
      </c>
      <c r="G79" s="53">
        <v>2</v>
      </c>
      <c r="H79" s="50">
        <f>IF(G78&gt;0,G79/G78,0)</f>
        <v>0.66666666666666663</v>
      </c>
      <c r="I79" s="53">
        <v>0</v>
      </c>
      <c r="J79" s="50">
        <f>IF(I78&gt;0,I79/I78,0)</f>
        <v>0</v>
      </c>
      <c r="K79" s="53"/>
      <c r="N79" s="48" t="s">
        <v>54</v>
      </c>
      <c r="O79" s="52"/>
      <c r="P79" s="54">
        <v>3</v>
      </c>
      <c r="Q79" s="50">
        <f>IF(P78&gt;0,P79/P78,0)</f>
        <v>0.75</v>
      </c>
      <c r="R79" s="54">
        <v>3</v>
      </c>
      <c r="S79" s="50">
        <f>IF(R78&gt;0,R79/R78,0)</f>
        <v>0.75</v>
      </c>
      <c r="T79" s="54">
        <v>3</v>
      </c>
      <c r="U79" s="50">
        <f>IF(T78&gt;0,T79/T78,0)</f>
        <v>1</v>
      </c>
      <c r="V79" s="54">
        <v>1</v>
      </c>
      <c r="W79" s="50">
        <f>IF(V78&gt;0,V79/V78,0)</f>
        <v>1</v>
      </c>
      <c r="X79" s="54"/>
      <c r="AA79" s="46" t="s">
        <v>86</v>
      </c>
      <c r="AB79" s="55">
        <v>0.28999999999999998</v>
      </c>
      <c r="AD79" s="48" t="s">
        <v>84</v>
      </c>
      <c r="AE79" s="55">
        <v>-0.04</v>
      </c>
      <c r="AF79" s="53">
        <v>27</v>
      </c>
      <c r="AG79" s="53">
        <v>7</v>
      </c>
      <c r="AH79" s="55">
        <v>0.26</v>
      </c>
      <c r="AI79" s="55">
        <v>0.3</v>
      </c>
    </row>
    <row r="80" spans="1:35" ht="22.05" customHeight="1" x14ac:dyDescent="0.3">
      <c r="A80" s="58" t="s">
        <v>99</v>
      </c>
      <c r="B80" s="59"/>
      <c r="C80" s="59"/>
      <c r="D80" s="59"/>
      <c r="E80" s="59"/>
      <c r="F80" s="60"/>
      <c r="G80" s="61" t="s">
        <v>100</v>
      </c>
      <c r="H80" s="62"/>
      <c r="I80" s="62"/>
      <c r="J80" s="62"/>
      <c r="K80" s="62"/>
      <c r="L80" s="62"/>
      <c r="N80" s="58" t="s">
        <v>99</v>
      </c>
      <c r="O80" s="59"/>
      <c r="P80" s="59"/>
      <c r="Q80" s="59"/>
      <c r="R80" s="59"/>
      <c r="S80" s="60"/>
      <c r="T80" s="61" t="s">
        <v>100</v>
      </c>
      <c r="U80" s="62"/>
      <c r="V80" s="62"/>
      <c r="W80" s="62"/>
      <c r="X80" s="62"/>
      <c r="Y80" s="62"/>
      <c r="AA80" s="46" t="s">
        <v>88</v>
      </c>
      <c r="AB80" s="55">
        <v>0.31</v>
      </c>
      <c r="AD80" s="48" t="s">
        <v>87</v>
      </c>
      <c r="AE80" s="55">
        <v>0.56000000000000005</v>
      </c>
      <c r="AF80" s="53">
        <v>27</v>
      </c>
      <c r="AG80" s="53">
        <v>16</v>
      </c>
      <c r="AH80" s="55">
        <v>0.59</v>
      </c>
      <c r="AI80" s="55">
        <v>0.04</v>
      </c>
    </row>
    <row r="81" spans="1:48" ht="22.05" customHeight="1" x14ac:dyDescent="0.3">
      <c r="A81" s="63">
        <v>54</v>
      </c>
      <c r="B81" s="64"/>
      <c r="C81" s="65">
        <v>55</v>
      </c>
      <c r="D81" s="64"/>
      <c r="E81" s="65">
        <v>20</v>
      </c>
      <c r="F81" s="64"/>
      <c r="G81" s="63">
        <v>60</v>
      </c>
      <c r="H81" s="64"/>
      <c r="I81" s="63">
        <v>19</v>
      </c>
      <c r="J81" s="64"/>
      <c r="K81" s="63">
        <v>22</v>
      </c>
      <c r="L81" s="64"/>
      <c r="N81" s="63">
        <v>45</v>
      </c>
      <c r="O81" s="64"/>
      <c r="P81" s="65">
        <v>46</v>
      </c>
      <c r="Q81" s="64"/>
      <c r="R81" s="65">
        <v>17</v>
      </c>
      <c r="S81" s="64"/>
      <c r="T81" s="63">
        <v>52</v>
      </c>
      <c r="U81" s="64"/>
      <c r="V81" s="63">
        <v>14</v>
      </c>
      <c r="W81" s="64"/>
      <c r="X81" s="63">
        <v>15</v>
      </c>
      <c r="Y81" s="64"/>
      <c r="AA81" s="46" t="s">
        <v>89</v>
      </c>
      <c r="AB81" s="55">
        <v>0.35</v>
      </c>
      <c r="AD81" s="48" t="s">
        <v>90</v>
      </c>
      <c r="AE81" s="55">
        <v>0.28999999999999998</v>
      </c>
      <c r="AF81" s="53">
        <v>24</v>
      </c>
      <c r="AG81" s="53">
        <v>11</v>
      </c>
      <c r="AH81" s="55">
        <v>0.46</v>
      </c>
      <c r="AI81" s="55">
        <v>0.17</v>
      </c>
    </row>
    <row r="82" spans="1:48" ht="22.05" customHeight="1" x14ac:dyDescent="0.3">
      <c r="A82" s="66">
        <v>24</v>
      </c>
      <c r="B82" s="67">
        <v>0.44</v>
      </c>
      <c r="C82" s="68">
        <v>32</v>
      </c>
      <c r="D82" s="67">
        <v>0.57999999999999996</v>
      </c>
      <c r="E82" s="68">
        <v>10</v>
      </c>
      <c r="F82" s="67">
        <v>0.5</v>
      </c>
      <c r="G82" s="66">
        <v>23</v>
      </c>
      <c r="H82" s="67">
        <v>0.38</v>
      </c>
      <c r="I82" s="66">
        <v>7</v>
      </c>
      <c r="J82" s="67">
        <v>0.37</v>
      </c>
      <c r="K82" s="66">
        <v>6</v>
      </c>
      <c r="L82" s="67">
        <v>0.27</v>
      </c>
      <c r="N82" s="66">
        <v>21</v>
      </c>
      <c r="O82" s="67">
        <v>0.47</v>
      </c>
      <c r="P82" s="68">
        <v>26</v>
      </c>
      <c r="Q82" s="67">
        <v>0.56999999999999995</v>
      </c>
      <c r="R82" s="68">
        <v>5</v>
      </c>
      <c r="S82" s="67">
        <v>0.28999999999999998</v>
      </c>
      <c r="T82" s="66">
        <v>20</v>
      </c>
      <c r="U82" s="67">
        <v>0.38</v>
      </c>
      <c r="V82" s="66">
        <v>9</v>
      </c>
      <c r="W82" s="67">
        <v>0.64</v>
      </c>
      <c r="X82" s="66">
        <v>5</v>
      </c>
      <c r="Y82" s="67">
        <v>0.33</v>
      </c>
      <c r="AA82" s="46" t="s">
        <v>91</v>
      </c>
      <c r="AB82" s="55">
        <v>0.15</v>
      </c>
      <c r="AD82" s="48" t="s">
        <v>92</v>
      </c>
      <c r="AE82" s="55">
        <v>0.33</v>
      </c>
      <c r="AF82" s="53">
        <v>18</v>
      </c>
      <c r="AG82" s="53">
        <v>10</v>
      </c>
      <c r="AH82" s="55">
        <v>0.56000000000000005</v>
      </c>
      <c r="AI82" s="55">
        <v>0.22</v>
      </c>
    </row>
    <row r="83" spans="1:48" ht="22.05" customHeight="1" x14ac:dyDescent="0.3">
      <c r="A83" s="69"/>
      <c r="B83" s="70"/>
      <c r="C83" s="65">
        <v>3</v>
      </c>
      <c r="D83" s="64"/>
      <c r="E83" s="71">
        <v>14</v>
      </c>
      <c r="F83" s="64"/>
      <c r="G83" s="63"/>
      <c r="H83" s="64"/>
      <c r="I83" s="71">
        <v>6</v>
      </c>
      <c r="J83" s="72"/>
      <c r="K83" s="63">
        <v>15</v>
      </c>
      <c r="L83" s="64"/>
      <c r="N83" s="69"/>
      <c r="O83" s="70"/>
      <c r="P83" s="65">
        <v>6</v>
      </c>
      <c r="Q83" s="64"/>
      <c r="R83" s="71">
        <v>6</v>
      </c>
      <c r="S83" s="64"/>
      <c r="T83" s="63"/>
      <c r="U83" s="64"/>
      <c r="V83" s="71">
        <v>6</v>
      </c>
      <c r="W83" s="72"/>
      <c r="X83" s="63">
        <v>15</v>
      </c>
      <c r="Y83" s="64"/>
      <c r="AA83" s="46" t="s">
        <v>93</v>
      </c>
      <c r="AB83" s="55">
        <v>0.31</v>
      </c>
      <c r="AD83" s="48" t="s">
        <v>94</v>
      </c>
      <c r="AE83" s="55">
        <v>0.23</v>
      </c>
      <c r="AF83" s="53">
        <v>13</v>
      </c>
      <c r="AG83" s="53">
        <v>5</v>
      </c>
      <c r="AH83" s="55">
        <v>0.38</v>
      </c>
      <c r="AI83" s="55">
        <v>0.15</v>
      </c>
    </row>
    <row r="84" spans="1:48" ht="22.05" customHeight="1" x14ac:dyDescent="0.3">
      <c r="A84" s="73"/>
      <c r="B84" s="74"/>
      <c r="C84" s="68">
        <v>2</v>
      </c>
      <c r="D84" s="67">
        <v>0.67</v>
      </c>
      <c r="E84" s="75">
        <v>7</v>
      </c>
      <c r="F84" s="76">
        <v>0.5</v>
      </c>
      <c r="G84" s="66"/>
      <c r="H84" s="67"/>
      <c r="I84" s="75">
        <v>2</v>
      </c>
      <c r="J84" s="77">
        <v>0.33</v>
      </c>
      <c r="K84" s="66">
        <v>6</v>
      </c>
      <c r="L84" s="67">
        <v>0.4</v>
      </c>
      <c r="N84" s="73"/>
      <c r="O84" s="74"/>
      <c r="P84" s="68">
        <v>2</v>
      </c>
      <c r="Q84" s="67">
        <v>0.33</v>
      </c>
      <c r="R84" s="75">
        <v>4</v>
      </c>
      <c r="S84" s="76">
        <v>0.67</v>
      </c>
      <c r="T84" s="66"/>
      <c r="U84" s="67"/>
      <c r="V84" s="75">
        <v>2</v>
      </c>
      <c r="W84" s="77">
        <v>0.33</v>
      </c>
      <c r="X84" s="66">
        <v>9</v>
      </c>
      <c r="Y84" s="67">
        <v>0.6</v>
      </c>
      <c r="AA84" s="46" t="s">
        <v>95</v>
      </c>
      <c r="AB84" s="55">
        <v>0.3</v>
      </c>
      <c r="AD84" s="48" t="s">
        <v>96</v>
      </c>
      <c r="AE84" s="55">
        <v>0.83</v>
      </c>
      <c r="AF84" s="53">
        <v>12</v>
      </c>
      <c r="AG84" s="53">
        <v>10</v>
      </c>
      <c r="AH84" s="55">
        <v>0.83</v>
      </c>
      <c r="AI84" s="55">
        <v>0</v>
      </c>
    </row>
    <row r="85" spans="1:48" ht="22.05" customHeight="1" x14ac:dyDescent="0.3">
      <c r="A85" s="78"/>
      <c r="B85" s="79"/>
      <c r="AD85" s="48" t="s">
        <v>97</v>
      </c>
      <c r="AE85" s="55">
        <v>0.33</v>
      </c>
      <c r="AF85" s="53">
        <v>121</v>
      </c>
      <c r="AG85" s="53">
        <v>59</v>
      </c>
      <c r="AH85" s="55">
        <v>0.49</v>
      </c>
      <c r="AI85" s="55">
        <v>0.16</v>
      </c>
    </row>
    <row r="86" spans="1:48" ht="22.05" customHeight="1" x14ac:dyDescent="0.3">
      <c r="D86" s="80"/>
      <c r="AD86" s="48" t="s">
        <v>98</v>
      </c>
      <c r="AE86" s="55">
        <v>0.3</v>
      </c>
      <c r="AF86" s="53">
        <v>103</v>
      </c>
      <c r="AG86" s="53">
        <v>45</v>
      </c>
      <c r="AH86" s="55">
        <v>0.44</v>
      </c>
      <c r="AI86" s="55">
        <v>0.14000000000000001</v>
      </c>
    </row>
    <row r="89" spans="1:48" x14ac:dyDescent="0.3">
      <c r="A89" s="81"/>
      <c r="B89" s="82" t="s">
        <v>101</v>
      </c>
      <c r="C89" s="82" t="s">
        <v>62</v>
      </c>
      <c r="D89" s="82" t="s">
        <v>102</v>
      </c>
      <c r="E89" s="82" t="s">
        <v>3</v>
      </c>
      <c r="F89" s="8" t="s">
        <v>63</v>
      </c>
      <c r="G89" s="81" t="s">
        <v>64</v>
      </c>
      <c r="H89" s="82" t="s">
        <v>65</v>
      </c>
      <c r="I89" s="81"/>
      <c r="J89" s="82" t="s">
        <v>101</v>
      </c>
      <c r="K89" s="82" t="s">
        <v>62</v>
      </c>
      <c r="L89" s="82" t="s">
        <v>102</v>
      </c>
      <c r="M89" s="82" t="s">
        <v>3</v>
      </c>
      <c r="N89" s="8" t="s">
        <v>63</v>
      </c>
      <c r="O89" s="81" t="s">
        <v>64</v>
      </c>
      <c r="P89" s="82" t="s">
        <v>65</v>
      </c>
      <c r="Q89" s="81"/>
      <c r="R89" s="82" t="s">
        <v>101</v>
      </c>
      <c r="S89" s="82" t="s">
        <v>62</v>
      </c>
      <c r="T89" s="82" t="s">
        <v>102</v>
      </c>
      <c r="U89" s="82" t="s">
        <v>3</v>
      </c>
      <c r="V89" s="82" t="s">
        <v>63</v>
      </c>
      <c r="W89" s="82" t="s">
        <v>64</v>
      </c>
      <c r="X89" s="8" t="s">
        <v>65</v>
      </c>
      <c r="Y89" s="81"/>
      <c r="Z89" s="82" t="s">
        <v>101</v>
      </c>
      <c r="AA89" s="82" t="s">
        <v>62</v>
      </c>
      <c r="AB89" s="82" t="s">
        <v>102</v>
      </c>
      <c r="AC89" s="82" t="s">
        <v>3</v>
      </c>
      <c r="AD89" s="8" t="s">
        <v>63</v>
      </c>
      <c r="AE89" s="81" t="s">
        <v>64</v>
      </c>
      <c r="AF89" s="82" t="s">
        <v>65</v>
      </c>
      <c r="AG89" s="81"/>
      <c r="AH89" s="82" t="s">
        <v>101</v>
      </c>
      <c r="AI89" s="82" t="s">
        <v>62</v>
      </c>
      <c r="AJ89" s="82" t="s">
        <v>102</v>
      </c>
      <c r="AK89" s="82" t="s">
        <v>3</v>
      </c>
      <c r="AL89" s="82" t="s">
        <v>63</v>
      </c>
      <c r="AM89" s="82" t="s">
        <v>64</v>
      </c>
      <c r="AN89" s="8" t="s">
        <v>65</v>
      </c>
      <c r="AO89" s="81"/>
      <c r="AP89" s="82" t="s">
        <v>101</v>
      </c>
      <c r="AQ89" s="82" t="s">
        <v>62</v>
      </c>
      <c r="AR89" s="82" t="s">
        <v>102</v>
      </c>
      <c r="AS89" s="82" t="s">
        <v>3</v>
      </c>
      <c r="AT89" s="82" t="s">
        <v>63</v>
      </c>
      <c r="AU89" s="82" t="s">
        <v>64</v>
      </c>
      <c r="AV89" s="8" t="s">
        <v>65</v>
      </c>
    </row>
    <row r="90" spans="1:48" x14ac:dyDescent="0.3">
      <c r="A90" s="83" t="s">
        <v>103</v>
      </c>
      <c r="B90" s="20" t="s">
        <v>104</v>
      </c>
      <c r="C90" s="84">
        <v>39</v>
      </c>
      <c r="D90" s="85">
        <v>0.2384</v>
      </c>
      <c r="E90" s="84">
        <v>15</v>
      </c>
      <c r="F90" s="86">
        <v>15</v>
      </c>
      <c r="G90" s="86">
        <v>0</v>
      </c>
      <c r="H90" s="84">
        <v>2</v>
      </c>
      <c r="I90" s="83" t="s">
        <v>105</v>
      </c>
      <c r="J90" s="20" t="s">
        <v>104</v>
      </c>
      <c r="K90" s="84">
        <v>28</v>
      </c>
      <c r="L90" s="85">
        <v>0.16070000000000001</v>
      </c>
      <c r="M90" s="84">
        <v>4</v>
      </c>
      <c r="N90" s="86">
        <v>6</v>
      </c>
      <c r="O90" s="86">
        <v>3</v>
      </c>
      <c r="P90" s="84">
        <v>1</v>
      </c>
      <c r="Q90" s="83" t="s">
        <v>47</v>
      </c>
      <c r="R90" s="20" t="s">
        <v>104</v>
      </c>
      <c r="S90" s="84">
        <v>0</v>
      </c>
      <c r="T90" s="20" t="s">
        <v>39</v>
      </c>
      <c r="U90" s="84">
        <v>0</v>
      </c>
      <c r="V90" s="84">
        <v>0</v>
      </c>
      <c r="W90" s="84">
        <v>0</v>
      </c>
      <c r="X90" s="86">
        <v>0</v>
      </c>
      <c r="Y90" s="83" t="s">
        <v>45</v>
      </c>
      <c r="Z90" s="20" t="s">
        <v>104</v>
      </c>
      <c r="AA90" s="84">
        <v>7</v>
      </c>
      <c r="AB90" s="85">
        <v>0.5</v>
      </c>
      <c r="AC90" s="84">
        <v>2</v>
      </c>
      <c r="AD90" s="86">
        <v>3</v>
      </c>
      <c r="AE90" s="86">
        <v>0</v>
      </c>
      <c r="AF90" s="84">
        <v>0</v>
      </c>
      <c r="AG90" s="83" t="s">
        <v>46</v>
      </c>
      <c r="AH90" s="20" t="s">
        <v>104</v>
      </c>
      <c r="AI90" s="84">
        <v>8</v>
      </c>
      <c r="AJ90" s="85">
        <v>0.4375</v>
      </c>
      <c r="AK90" s="84">
        <v>2</v>
      </c>
      <c r="AL90" s="84">
        <v>3</v>
      </c>
      <c r="AM90" s="84">
        <v>0</v>
      </c>
      <c r="AN90" s="86">
        <v>0</v>
      </c>
      <c r="AO90" s="83" t="s">
        <v>48</v>
      </c>
      <c r="AP90" s="20" t="s">
        <v>104</v>
      </c>
      <c r="AQ90" s="84">
        <v>1</v>
      </c>
      <c r="AR90" s="84">
        <v>1</v>
      </c>
      <c r="AS90" s="84">
        <v>1</v>
      </c>
      <c r="AT90" s="84">
        <v>0</v>
      </c>
      <c r="AU90" s="84">
        <v>0</v>
      </c>
      <c r="AV90" s="86">
        <v>0</v>
      </c>
    </row>
    <row r="91" spans="1:48" x14ac:dyDescent="0.3">
      <c r="A91" s="83" t="s">
        <v>103</v>
      </c>
      <c r="B91" s="20" t="s">
        <v>106</v>
      </c>
      <c r="C91" s="84">
        <v>39</v>
      </c>
      <c r="D91" s="85">
        <v>0.51280000000000003</v>
      </c>
      <c r="E91" s="84">
        <v>17</v>
      </c>
      <c r="F91" s="86">
        <v>10</v>
      </c>
      <c r="G91" s="87">
        <v>2</v>
      </c>
      <c r="H91" s="84">
        <v>1</v>
      </c>
      <c r="I91" s="83" t="s">
        <v>105</v>
      </c>
      <c r="J91" s="20" t="s">
        <v>106</v>
      </c>
      <c r="K91" s="84">
        <v>25</v>
      </c>
      <c r="L91" s="85">
        <v>0.08</v>
      </c>
      <c r="M91" s="84">
        <v>3</v>
      </c>
      <c r="N91" s="86">
        <v>6</v>
      </c>
      <c r="O91" s="87">
        <v>2</v>
      </c>
      <c r="P91" s="84">
        <v>3</v>
      </c>
      <c r="Q91" s="83" t="s">
        <v>47</v>
      </c>
      <c r="R91" s="20" t="s">
        <v>106</v>
      </c>
      <c r="S91" s="84">
        <v>1</v>
      </c>
      <c r="T91" s="84">
        <v>0</v>
      </c>
      <c r="U91" s="84">
        <v>0</v>
      </c>
      <c r="V91" s="84">
        <v>0</v>
      </c>
      <c r="W91" s="84">
        <v>0</v>
      </c>
      <c r="X91" s="86">
        <v>0</v>
      </c>
      <c r="Y91" s="83" t="s">
        <v>45</v>
      </c>
      <c r="Z91" s="20" t="s">
        <v>106</v>
      </c>
      <c r="AA91" s="84">
        <v>37</v>
      </c>
      <c r="AB91" s="85">
        <v>0.52700000000000002</v>
      </c>
      <c r="AC91" s="84">
        <v>13</v>
      </c>
      <c r="AD91" s="86">
        <v>15</v>
      </c>
      <c r="AE91" s="87">
        <v>2</v>
      </c>
      <c r="AF91" s="84">
        <v>0</v>
      </c>
      <c r="AG91" s="83" t="s">
        <v>46</v>
      </c>
      <c r="AH91" s="20" t="s">
        <v>106</v>
      </c>
      <c r="AI91" s="84">
        <v>38</v>
      </c>
      <c r="AJ91" s="85">
        <v>0.44740000000000002</v>
      </c>
      <c r="AK91" s="84">
        <v>12</v>
      </c>
      <c r="AL91" s="84">
        <v>13</v>
      </c>
      <c r="AM91" s="84">
        <v>1</v>
      </c>
      <c r="AN91" s="86">
        <v>1</v>
      </c>
      <c r="AO91" s="83" t="s">
        <v>48</v>
      </c>
      <c r="AP91" s="20" t="s">
        <v>106</v>
      </c>
      <c r="AQ91" s="84">
        <v>3</v>
      </c>
      <c r="AR91" s="85">
        <v>0.16669999999999999</v>
      </c>
      <c r="AS91" s="84">
        <v>0</v>
      </c>
      <c r="AT91" s="84">
        <v>1</v>
      </c>
      <c r="AU91" s="84">
        <v>0</v>
      </c>
      <c r="AV91" s="86">
        <v>0</v>
      </c>
    </row>
    <row r="92" spans="1:48" x14ac:dyDescent="0.3">
      <c r="A92" s="83" t="s">
        <v>103</v>
      </c>
      <c r="B92" s="20" t="s">
        <v>107</v>
      </c>
      <c r="C92" s="84">
        <v>6</v>
      </c>
      <c r="D92" s="85">
        <v>0.33329999999999999</v>
      </c>
      <c r="E92" s="84">
        <v>0</v>
      </c>
      <c r="F92" s="86">
        <v>4</v>
      </c>
      <c r="G92" s="87">
        <v>0</v>
      </c>
      <c r="H92" s="84">
        <v>0</v>
      </c>
      <c r="I92" s="83" t="s">
        <v>105</v>
      </c>
      <c r="J92" s="20" t="s">
        <v>107</v>
      </c>
      <c r="K92" s="84">
        <v>0</v>
      </c>
      <c r="L92" s="20" t="s">
        <v>39</v>
      </c>
      <c r="M92" s="84">
        <v>0</v>
      </c>
      <c r="N92" s="86">
        <v>0</v>
      </c>
      <c r="O92" s="87">
        <v>0</v>
      </c>
      <c r="P92" s="84">
        <v>0</v>
      </c>
      <c r="Q92" s="83" t="s">
        <v>47</v>
      </c>
      <c r="R92" s="20" t="s">
        <v>107</v>
      </c>
      <c r="S92" s="84">
        <v>0</v>
      </c>
      <c r="T92" s="20" t="s">
        <v>39</v>
      </c>
      <c r="U92" s="84">
        <v>0</v>
      </c>
      <c r="V92" s="84">
        <v>0</v>
      </c>
      <c r="W92" s="84">
        <v>0</v>
      </c>
      <c r="X92" s="86">
        <v>0</v>
      </c>
      <c r="Y92" s="83" t="s">
        <v>45</v>
      </c>
      <c r="Z92" s="20" t="s">
        <v>107</v>
      </c>
      <c r="AA92" s="84">
        <v>33</v>
      </c>
      <c r="AB92" s="85">
        <v>0.63639999999999997</v>
      </c>
      <c r="AC92" s="84">
        <v>15</v>
      </c>
      <c r="AD92" s="86">
        <v>12</v>
      </c>
      <c r="AE92" s="87">
        <v>0</v>
      </c>
      <c r="AF92" s="84">
        <v>0</v>
      </c>
      <c r="AG92" s="83" t="s">
        <v>46</v>
      </c>
      <c r="AH92" s="20" t="s">
        <v>107</v>
      </c>
      <c r="AI92" s="84">
        <v>30</v>
      </c>
      <c r="AJ92" s="85">
        <v>0.4667</v>
      </c>
      <c r="AK92" s="84">
        <v>6</v>
      </c>
      <c r="AL92" s="84">
        <v>17</v>
      </c>
      <c r="AM92" s="84">
        <v>1</v>
      </c>
      <c r="AN92" s="86">
        <v>0</v>
      </c>
      <c r="AO92" s="83" t="s">
        <v>48</v>
      </c>
      <c r="AP92" s="20" t="s">
        <v>107</v>
      </c>
      <c r="AQ92" s="84">
        <v>0</v>
      </c>
      <c r="AR92" s="20" t="s">
        <v>39</v>
      </c>
      <c r="AS92" s="84">
        <v>0</v>
      </c>
      <c r="AT92" s="84">
        <v>0</v>
      </c>
      <c r="AU92" s="84">
        <v>0</v>
      </c>
      <c r="AV92" s="86">
        <v>0</v>
      </c>
    </row>
    <row r="93" spans="1:48" x14ac:dyDescent="0.3">
      <c r="A93" s="83" t="s">
        <v>103</v>
      </c>
      <c r="B93" s="20" t="s">
        <v>108</v>
      </c>
      <c r="C93" s="84">
        <v>16</v>
      </c>
      <c r="D93" s="85">
        <v>-0.15629999999999999</v>
      </c>
      <c r="E93" s="84">
        <v>1</v>
      </c>
      <c r="F93" s="86">
        <v>1</v>
      </c>
      <c r="G93" s="87">
        <v>0</v>
      </c>
      <c r="H93" s="84">
        <v>4</v>
      </c>
      <c r="I93" s="83" t="s">
        <v>105</v>
      </c>
      <c r="J93" s="20" t="s">
        <v>108</v>
      </c>
      <c r="K93" s="84">
        <v>3</v>
      </c>
      <c r="L93" s="84">
        <v>0</v>
      </c>
      <c r="M93" s="84">
        <v>0</v>
      </c>
      <c r="N93" s="86">
        <v>0</v>
      </c>
      <c r="O93" s="87">
        <v>0</v>
      </c>
      <c r="P93" s="84">
        <v>0</v>
      </c>
      <c r="Q93" s="83" t="s">
        <v>47</v>
      </c>
      <c r="R93" s="20" t="s">
        <v>108</v>
      </c>
      <c r="S93" s="84">
        <v>1</v>
      </c>
      <c r="T93" s="85">
        <v>0.5</v>
      </c>
      <c r="U93" s="84">
        <v>0</v>
      </c>
      <c r="V93" s="84">
        <v>1</v>
      </c>
      <c r="W93" s="84">
        <v>0</v>
      </c>
      <c r="X93" s="86">
        <v>0</v>
      </c>
      <c r="Y93" s="83" t="s">
        <v>45</v>
      </c>
      <c r="Z93" s="20" t="s">
        <v>108</v>
      </c>
      <c r="AA93" s="84">
        <v>4</v>
      </c>
      <c r="AB93" s="85">
        <v>0.125</v>
      </c>
      <c r="AC93" s="84">
        <v>0</v>
      </c>
      <c r="AD93" s="86">
        <v>1</v>
      </c>
      <c r="AE93" s="87">
        <v>0</v>
      </c>
      <c r="AF93" s="84">
        <v>0</v>
      </c>
      <c r="AG93" s="83" t="s">
        <v>46</v>
      </c>
      <c r="AH93" s="20" t="s">
        <v>108</v>
      </c>
      <c r="AI93" s="84">
        <v>3</v>
      </c>
      <c r="AJ93" s="85">
        <v>0.33329999999999999</v>
      </c>
      <c r="AK93" s="84">
        <v>0</v>
      </c>
      <c r="AL93" s="84">
        <v>2</v>
      </c>
      <c r="AM93" s="84">
        <v>0</v>
      </c>
      <c r="AN93" s="86">
        <v>0</v>
      </c>
      <c r="AO93" s="83" t="s">
        <v>48</v>
      </c>
      <c r="AP93" s="20" t="s">
        <v>108</v>
      </c>
      <c r="AQ93" s="84">
        <v>0</v>
      </c>
      <c r="AR93" s="20" t="s">
        <v>39</v>
      </c>
      <c r="AS93" s="84">
        <v>0</v>
      </c>
      <c r="AT93" s="84">
        <v>0</v>
      </c>
      <c r="AU93" s="84">
        <v>0</v>
      </c>
      <c r="AV93" s="86">
        <v>0</v>
      </c>
    </row>
    <row r="94" spans="1:48" x14ac:dyDescent="0.3">
      <c r="A94" s="83" t="s">
        <v>103</v>
      </c>
      <c r="B94" s="20" t="s">
        <v>109</v>
      </c>
      <c r="C94" s="84">
        <v>15</v>
      </c>
      <c r="D94" s="85">
        <v>6.6699999999999995E-2</v>
      </c>
      <c r="E94" s="84">
        <v>1</v>
      </c>
      <c r="F94" s="86">
        <v>3</v>
      </c>
      <c r="G94" s="87">
        <v>1</v>
      </c>
      <c r="H94" s="84">
        <v>1</v>
      </c>
      <c r="I94" s="83" t="s">
        <v>105</v>
      </c>
      <c r="J94" s="20" t="s">
        <v>109</v>
      </c>
      <c r="K94" s="84">
        <v>9</v>
      </c>
      <c r="L94" s="85">
        <v>0.27779999999999999</v>
      </c>
      <c r="M94" s="84">
        <v>1</v>
      </c>
      <c r="N94" s="86">
        <v>3</v>
      </c>
      <c r="O94" s="87">
        <v>0</v>
      </c>
      <c r="P94" s="84">
        <v>0</v>
      </c>
      <c r="Q94" s="83" t="s">
        <v>47</v>
      </c>
      <c r="R94" s="20" t="s">
        <v>109</v>
      </c>
      <c r="S94" s="84">
        <v>2</v>
      </c>
      <c r="T94" s="84">
        <v>1</v>
      </c>
      <c r="U94" s="84">
        <v>2</v>
      </c>
      <c r="V94" s="84">
        <v>0</v>
      </c>
      <c r="W94" s="84">
        <v>0</v>
      </c>
      <c r="X94" s="86">
        <v>0</v>
      </c>
      <c r="Y94" s="83" t="s">
        <v>45</v>
      </c>
      <c r="Z94" s="20" t="s">
        <v>109</v>
      </c>
      <c r="AA94" s="84">
        <v>26</v>
      </c>
      <c r="AB94" s="85">
        <v>0.3846</v>
      </c>
      <c r="AC94" s="84">
        <v>8</v>
      </c>
      <c r="AD94" s="86">
        <v>8</v>
      </c>
      <c r="AE94" s="87">
        <v>0</v>
      </c>
      <c r="AF94" s="84">
        <v>2</v>
      </c>
      <c r="AG94" s="83" t="s">
        <v>46</v>
      </c>
      <c r="AH94" s="20" t="s">
        <v>109</v>
      </c>
      <c r="AI94" s="84">
        <v>23</v>
      </c>
      <c r="AJ94" s="85">
        <v>0.30430000000000001</v>
      </c>
      <c r="AK94" s="84">
        <v>7</v>
      </c>
      <c r="AL94" s="84">
        <v>6</v>
      </c>
      <c r="AM94" s="84">
        <v>2</v>
      </c>
      <c r="AN94" s="86">
        <v>2</v>
      </c>
      <c r="AO94" s="83" t="s">
        <v>48</v>
      </c>
      <c r="AP94" s="20" t="s">
        <v>109</v>
      </c>
      <c r="AQ94" s="84">
        <v>0</v>
      </c>
      <c r="AR94" s="20" t="s">
        <v>39</v>
      </c>
      <c r="AS94" s="84">
        <v>0</v>
      </c>
      <c r="AT94" s="84">
        <v>0</v>
      </c>
      <c r="AU94" s="84">
        <v>0</v>
      </c>
      <c r="AV94" s="86">
        <v>0</v>
      </c>
    </row>
    <row r="95" spans="1:48" x14ac:dyDescent="0.3">
      <c r="A95" s="88" t="s">
        <v>103</v>
      </c>
      <c r="B95" s="89" t="s">
        <v>110</v>
      </c>
      <c r="C95" s="90">
        <v>0</v>
      </c>
      <c r="D95" s="20" t="s">
        <v>39</v>
      </c>
      <c r="E95" s="84">
        <v>0</v>
      </c>
      <c r="F95" s="86">
        <v>0</v>
      </c>
      <c r="G95" s="87">
        <v>0</v>
      </c>
      <c r="H95" s="84">
        <v>0</v>
      </c>
      <c r="I95" s="88" t="s">
        <v>105</v>
      </c>
      <c r="J95" s="89" t="s">
        <v>110</v>
      </c>
      <c r="K95" s="90">
        <v>1</v>
      </c>
      <c r="L95" s="85">
        <v>-0.5</v>
      </c>
      <c r="M95" s="84">
        <v>0</v>
      </c>
      <c r="N95" s="86">
        <v>0</v>
      </c>
      <c r="O95" s="87">
        <v>1</v>
      </c>
      <c r="P95" s="84">
        <v>0</v>
      </c>
      <c r="Q95" s="83" t="s">
        <v>47</v>
      </c>
      <c r="R95" s="20" t="s">
        <v>110</v>
      </c>
      <c r="S95" s="84">
        <v>0</v>
      </c>
      <c r="T95" s="20" t="s">
        <v>39</v>
      </c>
      <c r="U95" s="84">
        <v>0</v>
      </c>
      <c r="V95" s="84">
        <v>0</v>
      </c>
      <c r="W95" s="84">
        <v>0</v>
      </c>
      <c r="X95" s="86">
        <v>0</v>
      </c>
      <c r="Y95" s="88" t="s">
        <v>45</v>
      </c>
      <c r="Z95" s="89" t="s">
        <v>110</v>
      </c>
      <c r="AA95" s="90">
        <v>12</v>
      </c>
      <c r="AB95" s="85">
        <v>-0.125</v>
      </c>
      <c r="AC95" s="84">
        <v>1</v>
      </c>
      <c r="AD95" s="86">
        <v>3</v>
      </c>
      <c r="AE95" s="87">
        <v>0</v>
      </c>
      <c r="AF95" s="84">
        <v>4</v>
      </c>
      <c r="AG95" s="83" t="s">
        <v>46</v>
      </c>
      <c r="AH95" s="20" t="s">
        <v>110</v>
      </c>
      <c r="AI95" s="84">
        <v>20</v>
      </c>
      <c r="AJ95" s="85">
        <v>0.25</v>
      </c>
      <c r="AK95" s="84">
        <v>5</v>
      </c>
      <c r="AL95" s="84">
        <v>4</v>
      </c>
      <c r="AM95" s="84">
        <v>2</v>
      </c>
      <c r="AN95" s="86">
        <v>1</v>
      </c>
      <c r="AO95" s="83" t="s">
        <v>48</v>
      </c>
      <c r="AP95" s="20" t="s">
        <v>110</v>
      </c>
      <c r="AQ95" s="84">
        <v>0</v>
      </c>
      <c r="AR95" s="20" t="s">
        <v>39</v>
      </c>
      <c r="AS95" s="84">
        <v>0</v>
      </c>
      <c r="AT95" s="84">
        <v>0</v>
      </c>
      <c r="AU95" s="84">
        <v>0</v>
      </c>
      <c r="AV95" s="86">
        <v>0</v>
      </c>
    </row>
    <row r="96" spans="1:48" x14ac:dyDescent="0.3">
      <c r="A96" s="91" t="s">
        <v>103</v>
      </c>
      <c r="B96" s="92" t="s">
        <v>111</v>
      </c>
      <c r="C96" s="93">
        <v>84</v>
      </c>
      <c r="D96" s="94">
        <v>0.50600000000000001</v>
      </c>
      <c r="E96" s="93">
        <v>32</v>
      </c>
      <c r="F96" s="93">
        <v>29</v>
      </c>
      <c r="G96" s="95">
        <v>2</v>
      </c>
      <c r="H96" s="93">
        <v>3</v>
      </c>
      <c r="I96" s="91" t="s">
        <v>105</v>
      </c>
      <c r="J96" s="92" t="s">
        <v>112</v>
      </c>
      <c r="K96" s="93">
        <v>53</v>
      </c>
      <c r="L96" s="94">
        <v>0.1226</v>
      </c>
      <c r="M96" s="93">
        <v>7</v>
      </c>
      <c r="N96" s="93">
        <v>12</v>
      </c>
      <c r="O96" s="95">
        <v>5</v>
      </c>
      <c r="P96" s="93">
        <v>4</v>
      </c>
      <c r="Q96" s="91" t="s">
        <v>47</v>
      </c>
      <c r="R96" s="92" t="s">
        <v>112</v>
      </c>
      <c r="S96" s="93">
        <v>1</v>
      </c>
      <c r="T96" s="93">
        <v>0</v>
      </c>
      <c r="U96" s="93">
        <v>0</v>
      </c>
      <c r="V96" s="93">
        <v>0</v>
      </c>
      <c r="W96" s="93">
        <v>0</v>
      </c>
      <c r="X96" s="96">
        <v>0</v>
      </c>
      <c r="Y96" s="91" t="s">
        <v>45</v>
      </c>
      <c r="Z96" s="92" t="s">
        <v>112</v>
      </c>
      <c r="AA96" s="93">
        <v>84</v>
      </c>
      <c r="AB96" s="94">
        <v>0.57740000000000002</v>
      </c>
      <c r="AC96" s="93">
        <v>33</v>
      </c>
      <c r="AD96" s="93">
        <v>33</v>
      </c>
      <c r="AE96" s="95">
        <v>2</v>
      </c>
      <c r="AF96" s="93">
        <v>0</v>
      </c>
      <c r="AG96" s="91" t="s">
        <v>46</v>
      </c>
      <c r="AH96" s="92" t="s">
        <v>112</v>
      </c>
      <c r="AI96" s="93">
        <v>76</v>
      </c>
      <c r="AJ96" s="94">
        <v>0.45390000000000003</v>
      </c>
      <c r="AK96" s="93">
        <v>20</v>
      </c>
      <c r="AL96" s="93">
        <v>33</v>
      </c>
      <c r="AM96" s="93">
        <v>2</v>
      </c>
      <c r="AN96" s="96">
        <v>1</v>
      </c>
      <c r="AO96" s="91" t="s">
        <v>48</v>
      </c>
      <c r="AP96" s="92" t="s">
        <v>112</v>
      </c>
      <c r="AQ96" s="93">
        <v>4</v>
      </c>
      <c r="AR96" s="94">
        <v>0.375</v>
      </c>
      <c r="AS96" s="93">
        <v>1</v>
      </c>
      <c r="AT96" s="93">
        <v>1</v>
      </c>
      <c r="AU96" s="93">
        <v>0</v>
      </c>
      <c r="AV96" s="96">
        <v>0</v>
      </c>
    </row>
    <row r="97" spans="1:48" x14ac:dyDescent="0.3">
      <c r="A97" s="97" t="s">
        <v>103</v>
      </c>
      <c r="B97" s="98" t="s">
        <v>113</v>
      </c>
      <c r="C97" s="99">
        <v>31</v>
      </c>
      <c r="D97" s="100">
        <v>-4.8399999999999999E-2</v>
      </c>
      <c r="E97" s="101">
        <v>2</v>
      </c>
      <c r="F97" s="101">
        <v>4</v>
      </c>
      <c r="G97" s="102">
        <v>1</v>
      </c>
      <c r="H97" s="101">
        <v>5</v>
      </c>
      <c r="I97" s="97" t="s">
        <v>105</v>
      </c>
      <c r="J97" s="98" t="s">
        <v>114</v>
      </c>
      <c r="K97" s="99">
        <v>13</v>
      </c>
      <c r="L97" s="100">
        <v>0.15379999999999999</v>
      </c>
      <c r="M97" s="101">
        <v>1</v>
      </c>
      <c r="N97" s="101">
        <v>3</v>
      </c>
      <c r="O97" s="102">
        <v>1</v>
      </c>
      <c r="P97" s="101">
        <v>0</v>
      </c>
      <c r="Q97" s="97" t="s">
        <v>47</v>
      </c>
      <c r="R97" s="103" t="s">
        <v>114</v>
      </c>
      <c r="S97" s="104">
        <v>3</v>
      </c>
      <c r="T97" s="100">
        <v>0.83330000000000004</v>
      </c>
      <c r="U97" s="105">
        <v>2</v>
      </c>
      <c r="V97" s="105">
        <v>1</v>
      </c>
      <c r="W97" s="105">
        <v>0</v>
      </c>
      <c r="X97" s="106">
        <v>0</v>
      </c>
      <c r="Y97" s="97" t="s">
        <v>45</v>
      </c>
      <c r="Z97" s="98" t="s">
        <v>114</v>
      </c>
      <c r="AA97" s="99">
        <v>42</v>
      </c>
      <c r="AB97" s="100">
        <v>0.21429999999999999</v>
      </c>
      <c r="AC97" s="101">
        <v>9</v>
      </c>
      <c r="AD97" s="101">
        <v>12</v>
      </c>
      <c r="AE97" s="102">
        <v>0</v>
      </c>
      <c r="AF97" s="101">
        <v>6</v>
      </c>
      <c r="AG97" s="97" t="s">
        <v>46</v>
      </c>
      <c r="AH97" s="103" t="s">
        <v>114</v>
      </c>
      <c r="AI97" s="104">
        <v>46</v>
      </c>
      <c r="AJ97" s="100">
        <v>0.28260000000000002</v>
      </c>
      <c r="AK97" s="105">
        <v>12</v>
      </c>
      <c r="AL97" s="105">
        <v>12</v>
      </c>
      <c r="AM97" s="105">
        <v>4</v>
      </c>
      <c r="AN97" s="106">
        <v>3</v>
      </c>
      <c r="AO97" s="97" t="s">
        <v>48</v>
      </c>
      <c r="AP97" s="103" t="s">
        <v>114</v>
      </c>
      <c r="AQ97" s="104">
        <v>0</v>
      </c>
      <c r="AR97" s="107" t="s">
        <v>39</v>
      </c>
      <c r="AS97" s="105">
        <v>0</v>
      </c>
      <c r="AT97" s="105">
        <v>0</v>
      </c>
      <c r="AU97" s="105">
        <v>0</v>
      </c>
      <c r="AV97" s="106">
        <v>0</v>
      </c>
    </row>
    <row r="98" spans="1:48" x14ac:dyDescent="0.3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108"/>
      <c r="AJ98" s="20"/>
      <c r="AK98" s="20"/>
      <c r="AL98" s="20"/>
      <c r="AM98" s="109"/>
      <c r="AN98" s="29"/>
      <c r="AO98" s="20"/>
      <c r="AP98" s="20"/>
      <c r="AQ98" s="108"/>
      <c r="AR98" s="20"/>
      <c r="AS98" s="20"/>
      <c r="AT98" s="20"/>
      <c r="AU98" s="109"/>
      <c r="AV98" s="29"/>
    </row>
    <row r="99" spans="1:48" x14ac:dyDescent="0.3">
      <c r="A99" s="110"/>
      <c r="B99" s="111" t="s">
        <v>115</v>
      </c>
      <c r="C99" s="112" t="s">
        <v>62</v>
      </c>
      <c r="D99" s="112" t="s">
        <v>102</v>
      </c>
      <c r="E99" s="112" t="s">
        <v>3</v>
      </c>
      <c r="F99" s="112" t="s">
        <v>63</v>
      </c>
      <c r="G99" s="112" t="s">
        <v>64</v>
      </c>
      <c r="H99" s="112" t="s">
        <v>65</v>
      </c>
      <c r="I99" s="110"/>
      <c r="J99" s="111" t="s">
        <v>115</v>
      </c>
      <c r="K99" s="112" t="s">
        <v>62</v>
      </c>
      <c r="L99" s="112" t="s">
        <v>102</v>
      </c>
      <c r="M99" s="112" t="s">
        <v>3</v>
      </c>
      <c r="N99" s="112" t="s">
        <v>63</v>
      </c>
      <c r="O99" s="112" t="s">
        <v>64</v>
      </c>
      <c r="P99" s="112" t="s">
        <v>65</v>
      </c>
      <c r="Q99" s="20"/>
      <c r="R99" s="111" t="s">
        <v>115</v>
      </c>
      <c r="S99" s="112" t="s">
        <v>62</v>
      </c>
      <c r="T99" s="112" t="s">
        <v>102</v>
      </c>
      <c r="U99" s="112" t="s">
        <v>3</v>
      </c>
      <c r="V99" s="112" t="s">
        <v>63</v>
      </c>
      <c r="W99" s="112" t="s">
        <v>64</v>
      </c>
      <c r="X99" s="113" t="s">
        <v>65</v>
      </c>
      <c r="Y99" s="20"/>
      <c r="Z99" s="111" t="s">
        <v>115</v>
      </c>
      <c r="AA99" s="112" t="s">
        <v>62</v>
      </c>
      <c r="AB99" s="112" t="s">
        <v>102</v>
      </c>
      <c r="AC99" s="112" t="s">
        <v>3</v>
      </c>
      <c r="AD99" s="112" t="s">
        <v>63</v>
      </c>
      <c r="AE99" s="112" t="s">
        <v>64</v>
      </c>
      <c r="AF99" s="112" t="s">
        <v>65</v>
      </c>
      <c r="AG99" s="20"/>
      <c r="AH99" s="111" t="s">
        <v>115</v>
      </c>
      <c r="AI99" s="112" t="s">
        <v>62</v>
      </c>
      <c r="AJ99" s="112" t="s">
        <v>102</v>
      </c>
      <c r="AK99" s="112" t="s">
        <v>3</v>
      </c>
      <c r="AL99" s="112" t="s">
        <v>63</v>
      </c>
      <c r="AM99" s="112" t="s">
        <v>64</v>
      </c>
      <c r="AN99" s="113" t="s">
        <v>65</v>
      </c>
      <c r="AO99" s="20"/>
      <c r="AP99" s="111" t="s">
        <v>115</v>
      </c>
      <c r="AQ99" s="112" t="s">
        <v>62</v>
      </c>
      <c r="AR99" s="112" t="s">
        <v>102</v>
      </c>
      <c r="AS99" s="112" t="s">
        <v>3</v>
      </c>
      <c r="AT99" s="112" t="s">
        <v>63</v>
      </c>
      <c r="AU99" s="112" t="s">
        <v>64</v>
      </c>
      <c r="AV99" s="113" t="s">
        <v>65</v>
      </c>
    </row>
    <row r="100" spans="1:48" x14ac:dyDescent="0.3">
      <c r="A100" s="83" t="s">
        <v>103</v>
      </c>
      <c r="B100" s="114" t="s">
        <v>116</v>
      </c>
      <c r="C100" s="115">
        <v>28</v>
      </c>
      <c r="D100" s="116">
        <v>0.58930000000000005</v>
      </c>
      <c r="E100" s="115">
        <v>11</v>
      </c>
      <c r="F100" s="115">
        <v>12</v>
      </c>
      <c r="G100" s="115">
        <v>1</v>
      </c>
      <c r="H100" s="117">
        <v>0</v>
      </c>
      <c r="I100" s="83" t="s">
        <v>105</v>
      </c>
      <c r="J100" s="118" t="s">
        <v>116</v>
      </c>
      <c r="K100" s="99">
        <v>12</v>
      </c>
      <c r="L100" s="116">
        <v>0.25</v>
      </c>
      <c r="M100" s="99">
        <v>3</v>
      </c>
      <c r="N100" s="99">
        <v>3</v>
      </c>
      <c r="O100" s="99">
        <v>3</v>
      </c>
      <c r="P100" s="99">
        <v>0</v>
      </c>
      <c r="Q100" s="83" t="s">
        <v>47</v>
      </c>
      <c r="R100" s="118" t="s">
        <v>116</v>
      </c>
      <c r="S100" s="99">
        <v>1</v>
      </c>
      <c r="T100" s="115">
        <v>0</v>
      </c>
      <c r="U100" s="99">
        <v>0</v>
      </c>
      <c r="V100" s="99">
        <v>0</v>
      </c>
      <c r="W100" s="99">
        <v>0</v>
      </c>
      <c r="X100" s="119">
        <v>0</v>
      </c>
      <c r="Y100" s="83" t="s">
        <v>45</v>
      </c>
      <c r="Z100" s="118" t="s">
        <v>116</v>
      </c>
      <c r="AA100" s="99">
        <v>43</v>
      </c>
      <c r="AB100" s="116">
        <v>0.52329999999999999</v>
      </c>
      <c r="AC100" s="99">
        <v>15</v>
      </c>
      <c r="AD100" s="99">
        <v>16</v>
      </c>
      <c r="AE100" s="99">
        <v>1</v>
      </c>
      <c r="AF100" s="99">
        <v>0</v>
      </c>
      <c r="AG100" s="83" t="s">
        <v>46</v>
      </c>
      <c r="AH100" s="118" t="s">
        <v>116</v>
      </c>
      <c r="AI100" s="99">
        <v>34</v>
      </c>
      <c r="AJ100" s="116">
        <v>0.45590000000000003</v>
      </c>
      <c r="AK100" s="99">
        <v>8</v>
      </c>
      <c r="AL100" s="99">
        <v>18</v>
      </c>
      <c r="AM100" s="99">
        <v>1</v>
      </c>
      <c r="AN100" s="119">
        <v>1</v>
      </c>
      <c r="AO100" s="83" t="s">
        <v>48</v>
      </c>
      <c r="AP100" s="118" t="s">
        <v>116</v>
      </c>
      <c r="AQ100" s="99">
        <v>3</v>
      </c>
      <c r="AR100" s="116">
        <v>0.5</v>
      </c>
      <c r="AS100" s="99">
        <v>1</v>
      </c>
      <c r="AT100" s="99">
        <v>1</v>
      </c>
      <c r="AU100" s="99">
        <v>0</v>
      </c>
      <c r="AV100" s="119">
        <v>0</v>
      </c>
    </row>
    <row r="101" spans="1:48" x14ac:dyDescent="0.3">
      <c r="A101" s="83" t="s">
        <v>103</v>
      </c>
      <c r="B101" s="83" t="s">
        <v>117</v>
      </c>
      <c r="C101" s="84">
        <v>14</v>
      </c>
      <c r="D101" s="85">
        <v>0.35709999999999997</v>
      </c>
      <c r="E101" s="84">
        <v>5</v>
      </c>
      <c r="F101" s="84">
        <v>0</v>
      </c>
      <c r="G101" s="84">
        <v>0</v>
      </c>
      <c r="H101" s="86">
        <v>0</v>
      </c>
      <c r="I101" s="83" t="s">
        <v>105</v>
      </c>
      <c r="J101" s="83" t="s">
        <v>117</v>
      </c>
      <c r="K101" s="84">
        <v>3</v>
      </c>
      <c r="L101" s="85">
        <v>0.33329999999999999</v>
      </c>
      <c r="M101" s="84">
        <v>1</v>
      </c>
      <c r="N101" s="84">
        <v>1</v>
      </c>
      <c r="O101" s="84">
        <v>1</v>
      </c>
      <c r="P101" s="84">
        <v>0</v>
      </c>
      <c r="Q101" s="83" t="s">
        <v>47</v>
      </c>
      <c r="R101" s="83" t="s">
        <v>117</v>
      </c>
      <c r="S101" s="84">
        <v>0</v>
      </c>
      <c r="T101" s="20" t="s">
        <v>39</v>
      </c>
      <c r="U101" s="84">
        <v>0</v>
      </c>
      <c r="V101" s="84">
        <v>0</v>
      </c>
      <c r="W101" s="84">
        <v>0</v>
      </c>
      <c r="X101" s="86">
        <v>0</v>
      </c>
      <c r="Y101" s="83" t="s">
        <v>45</v>
      </c>
      <c r="Z101" s="83" t="s">
        <v>117</v>
      </c>
      <c r="AA101" s="84">
        <v>5</v>
      </c>
      <c r="AB101" s="85">
        <v>0.2</v>
      </c>
      <c r="AC101" s="84">
        <v>1</v>
      </c>
      <c r="AD101" s="84">
        <v>0</v>
      </c>
      <c r="AE101" s="84">
        <v>0</v>
      </c>
      <c r="AF101" s="84">
        <v>0</v>
      </c>
      <c r="AG101" s="83" t="s">
        <v>46</v>
      </c>
      <c r="AH101" s="83" t="s">
        <v>117</v>
      </c>
      <c r="AI101" s="84">
        <v>3</v>
      </c>
      <c r="AJ101" s="85">
        <v>0.33329999999999999</v>
      </c>
      <c r="AK101" s="84">
        <v>1</v>
      </c>
      <c r="AL101" s="84">
        <v>0</v>
      </c>
      <c r="AM101" s="84">
        <v>0</v>
      </c>
      <c r="AN101" s="86">
        <v>0</v>
      </c>
      <c r="AO101" s="83" t="s">
        <v>48</v>
      </c>
      <c r="AP101" s="83" t="s">
        <v>117</v>
      </c>
      <c r="AQ101" s="84">
        <v>1</v>
      </c>
      <c r="AR101" s="84">
        <v>1</v>
      </c>
      <c r="AS101" s="84">
        <v>1</v>
      </c>
      <c r="AT101" s="84">
        <v>0</v>
      </c>
      <c r="AU101" s="84">
        <v>0</v>
      </c>
      <c r="AV101" s="86">
        <v>0</v>
      </c>
    </row>
    <row r="102" spans="1:48" x14ac:dyDescent="0.3">
      <c r="A102" s="83" t="s">
        <v>103</v>
      </c>
      <c r="B102" s="83" t="s">
        <v>118</v>
      </c>
      <c r="C102" s="84">
        <v>14</v>
      </c>
      <c r="D102" s="85">
        <v>0.42859999999999998</v>
      </c>
      <c r="E102" s="84">
        <v>6</v>
      </c>
      <c r="F102" s="84">
        <v>5</v>
      </c>
      <c r="G102" s="84">
        <v>1</v>
      </c>
      <c r="H102" s="86">
        <v>0</v>
      </c>
      <c r="I102" s="83" t="s">
        <v>105</v>
      </c>
      <c r="J102" s="83" t="s">
        <v>118</v>
      </c>
      <c r="K102" s="84">
        <v>9</v>
      </c>
      <c r="L102" s="85">
        <v>0.22220000000000001</v>
      </c>
      <c r="M102" s="84">
        <v>2</v>
      </c>
      <c r="N102" s="84">
        <v>3</v>
      </c>
      <c r="O102" s="84">
        <v>2</v>
      </c>
      <c r="P102" s="84">
        <v>0</v>
      </c>
      <c r="Q102" s="83" t="s">
        <v>47</v>
      </c>
      <c r="R102" s="83" t="s">
        <v>118</v>
      </c>
      <c r="S102" s="84">
        <v>1</v>
      </c>
      <c r="T102" s="84">
        <v>0</v>
      </c>
      <c r="U102" s="84">
        <v>0</v>
      </c>
      <c r="V102" s="84">
        <v>0</v>
      </c>
      <c r="W102" s="84">
        <v>0</v>
      </c>
      <c r="X102" s="86">
        <v>0</v>
      </c>
      <c r="Y102" s="83" t="s">
        <v>45</v>
      </c>
      <c r="Z102" s="83" t="s">
        <v>118</v>
      </c>
      <c r="AA102" s="84">
        <v>15</v>
      </c>
      <c r="AB102" s="85">
        <v>0.33329999999999999</v>
      </c>
      <c r="AC102" s="84">
        <v>5</v>
      </c>
      <c r="AD102" s="84">
        <v>5</v>
      </c>
      <c r="AE102" s="84">
        <v>1</v>
      </c>
      <c r="AF102" s="84">
        <v>0</v>
      </c>
      <c r="AG102" s="83" t="s">
        <v>46</v>
      </c>
      <c r="AH102" s="83" t="s">
        <v>118</v>
      </c>
      <c r="AI102" s="84">
        <v>16</v>
      </c>
      <c r="AJ102" s="85">
        <v>0.25</v>
      </c>
      <c r="AK102" s="84">
        <v>5</v>
      </c>
      <c r="AL102" s="84">
        <v>5</v>
      </c>
      <c r="AM102" s="84">
        <v>0</v>
      </c>
      <c r="AN102" s="86">
        <v>1</v>
      </c>
      <c r="AO102" s="83" t="s">
        <v>48</v>
      </c>
      <c r="AP102" s="83" t="s">
        <v>118</v>
      </c>
      <c r="AQ102" s="84">
        <v>2</v>
      </c>
      <c r="AR102" s="84">
        <v>0</v>
      </c>
      <c r="AS102" s="84">
        <v>0</v>
      </c>
      <c r="AT102" s="84">
        <v>1</v>
      </c>
      <c r="AU102" s="84">
        <v>0</v>
      </c>
      <c r="AV102" s="86">
        <v>0</v>
      </c>
    </row>
    <row r="103" spans="1:48" x14ac:dyDescent="0.3">
      <c r="A103" s="83" t="s">
        <v>103</v>
      </c>
      <c r="B103" s="83" t="s">
        <v>119</v>
      </c>
      <c r="C103" s="84">
        <v>0</v>
      </c>
      <c r="D103" s="20" t="s">
        <v>39</v>
      </c>
      <c r="E103" s="84">
        <v>0</v>
      </c>
      <c r="F103" s="84">
        <v>0</v>
      </c>
      <c r="G103" s="84">
        <v>0</v>
      </c>
      <c r="H103" s="86">
        <v>0</v>
      </c>
      <c r="I103" s="83" t="s">
        <v>105</v>
      </c>
      <c r="J103" s="83" t="s">
        <v>119</v>
      </c>
      <c r="K103" s="84">
        <v>0</v>
      </c>
      <c r="L103" s="20" t="s">
        <v>39</v>
      </c>
      <c r="M103" s="84">
        <v>0</v>
      </c>
      <c r="N103" s="84">
        <v>0</v>
      </c>
      <c r="O103" s="84">
        <v>0</v>
      </c>
      <c r="P103" s="84">
        <v>0</v>
      </c>
      <c r="Q103" s="83" t="s">
        <v>47</v>
      </c>
      <c r="R103" s="83" t="s">
        <v>119</v>
      </c>
      <c r="S103" s="84">
        <v>0</v>
      </c>
      <c r="T103" s="20" t="s">
        <v>39</v>
      </c>
      <c r="U103" s="84">
        <v>0</v>
      </c>
      <c r="V103" s="84">
        <v>0</v>
      </c>
      <c r="W103" s="84">
        <v>0</v>
      </c>
      <c r="X103" s="86">
        <v>0</v>
      </c>
      <c r="Y103" s="83" t="s">
        <v>45</v>
      </c>
      <c r="Z103" s="83" t="s">
        <v>119</v>
      </c>
      <c r="AA103" s="84">
        <v>20</v>
      </c>
      <c r="AB103" s="85">
        <v>0.4</v>
      </c>
      <c r="AC103" s="84">
        <v>8</v>
      </c>
      <c r="AD103" s="84">
        <v>7</v>
      </c>
      <c r="AE103" s="84">
        <v>0</v>
      </c>
      <c r="AF103" s="84">
        <v>0</v>
      </c>
      <c r="AG103" s="83" t="s">
        <v>46</v>
      </c>
      <c r="AH103" s="83" t="s">
        <v>119</v>
      </c>
      <c r="AI103" s="84">
        <v>15</v>
      </c>
      <c r="AJ103" s="85">
        <v>0.1333</v>
      </c>
      <c r="AK103" s="84">
        <v>2</v>
      </c>
      <c r="AL103" s="84">
        <v>11</v>
      </c>
      <c r="AM103" s="84">
        <v>1</v>
      </c>
      <c r="AN103" s="86">
        <v>0</v>
      </c>
      <c r="AO103" s="83" t="s">
        <v>48</v>
      </c>
      <c r="AP103" s="83" t="s">
        <v>119</v>
      </c>
      <c r="AQ103" s="84">
        <v>0</v>
      </c>
      <c r="AR103" s="20" t="s">
        <v>39</v>
      </c>
      <c r="AS103" s="84">
        <v>0</v>
      </c>
      <c r="AT103" s="84">
        <v>0</v>
      </c>
      <c r="AU103" s="84">
        <v>0</v>
      </c>
      <c r="AV103" s="86">
        <v>0</v>
      </c>
    </row>
    <row r="104" spans="1:48" x14ac:dyDescent="0.3">
      <c r="A104" s="83" t="s">
        <v>103</v>
      </c>
      <c r="B104" s="118" t="s">
        <v>120</v>
      </c>
      <c r="C104" s="99">
        <v>18</v>
      </c>
      <c r="D104" s="120">
        <v>0.52780000000000005</v>
      </c>
      <c r="E104" s="99">
        <v>7</v>
      </c>
      <c r="F104" s="99">
        <v>6</v>
      </c>
      <c r="G104" s="99">
        <v>0</v>
      </c>
      <c r="H104" s="119">
        <v>1</v>
      </c>
      <c r="I104" s="83" t="s">
        <v>105</v>
      </c>
      <c r="J104" s="118" t="s">
        <v>120</v>
      </c>
      <c r="K104" s="99">
        <v>8</v>
      </c>
      <c r="L104" s="120">
        <v>-0.375</v>
      </c>
      <c r="M104" s="99">
        <v>0</v>
      </c>
      <c r="N104" s="99">
        <v>2</v>
      </c>
      <c r="O104" s="99">
        <v>0</v>
      </c>
      <c r="P104" s="99">
        <v>3</v>
      </c>
      <c r="Q104" s="83" t="s">
        <v>47</v>
      </c>
      <c r="R104" s="118" t="s">
        <v>120</v>
      </c>
      <c r="S104" s="99">
        <v>0</v>
      </c>
      <c r="T104" s="98" t="s">
        <v>39</v>
      </c>
      <c r="U104" s="99">
        <v>0</v>
      </c>
      <c r="V104" s="99">
        <v>0</v>
      </c>
      <c r="W104" s="99">
        <v>0</v>
      </c>
      <c r="X104" s="119">
        <v>0</v>
      </c>
      <c r="Y104" s="83" t="s">
        <v>45</v>
      </c>
      <c r="Z104" s="118" t="s">
        <v>120</v>
      </c>
      <c r="AA104" s="99">
        <v>12</v>
      </c>
      <c r="AB104" s="120">
        <v>0.625</v>
      </c>
      <c r="AC104" s="99">
        <v>5</v>
      </c>
      <c r="AD104" s="99">
        <v>6</v>
      </c>
      <c r="AE104" s="99">
        <v>0</v>
      </c>
      <c r="AF104" s="99">
        <v>0</v>
      </c>
      <c r="AG104" s="83" t="s">
        <v>46</v>
      </c>
      <c r="AH104" s="118" t="s">
        <v>120</v>
      </c>
      <c r="AI104" s="99">
        <v>18</v>
      </c>
      <c r="AJ104" s="120">
        <v>0.41670000000000001</v>
      </c>
      <c r="AK104" s="99">
        <v>5</v>
      </c>
      <c r="AL104" s="99">
        <v>5</v>
      </c>
      <c r="AM104" s="99">
        <v>0</v>
      </c>
      <c r="AN104" s="119">
        <v>0</v>
      </c>
      <c r="AO104" s="83" t="s">
        <v>48</v>
      </c>
      <c r="AP104" s="118" t="s">
        <v>120</v>
      </c>
      <c r="AQ104" s="99">
        <v>1</v>
      </c>
      <c r="AR104" s="99">
        <v>0</v>
      </c>
      <c r="AS104" s="99">
        <v>0</v>
      </c>
      <c r="AT104" s="99">
        <v>0</v>
      </c>
      <c r="AU104" s="99">
        <v>0</v>
      </c>
      <c r="AV104" s="119">
        <v>0</v>
      </c>
    </row>
    <row r="105" spans="1:48" x14ac:dyDescent="0.3">
      <c r="A105" s="83" t="s">
        <v>103</v>
      </c>
      <c r="B105" s="83" t="s">
        <v>121</v>
      </c>
      <c r="C105" s="84">
        <v>6</v>
      </c>
      <c r="D105" s="85">
        <v>0.75</v>
      </c>
      <c r="E105" s="84">
        <v>3</v>
      </c>
      <c r="F105" s="84">
        <v>3</v>
      </c>
      <c r="G105" s="84">
        <v>0</v>
      </c>
      <c r="H105" s="86">
        <v>0</v>
      </c>
      <c r="I105" s="83" t="s">
        <v>105</v>
      </c>
      <c r="J105" s="83" t="s">
        <v>121</v>
      </c>
      <c r="K105" s="84">
        <v>1</v>
      </c>
      <c r="L105" s="85">
        <v>0.5</v>
      </c>
      <c r="M105" s="84">
        <v>0</v>
      </c>
      <c r="N105" s="84">
        <v>1</v>
      </c>
      <c r="O105" s="84">
        <v>0</v>
      </c>
      <c r="P105" s="84">
        <v>0</v>
      </c>
      <c r="Q105" s="83" t="s">
        <v>47</v>
      </c>
      <c r="R105" s="83" t="s">
        <v>121</v>
      </c>
      <c r="S105" s="84">
        <v>0</v>
      </c>
      <c r="T105" s="20" t="s">
        <v>39</v>
      </c>
      <c r="U105" s="84">
        <v>0</v>
      </c>
      <c r="V105" s="84">
        <v>0</v>
      </c>
      <c r="W105" s="84">
        <v>0</v>
      </c>
      <c r="X105" s="86">
        <v>0</v>
      </c>
      <c r="Y105" s="83" t="s">
        <v>45</v>
      </c>
      <c r="Z105" s="83" t="s">
        <v>121</v>
      </c>
      <c r="AA105" s="84">
        <v>0</v>
      </c>
      <c r="AB105" s="20" t="s">
        <v>39</v>
      </c>
      <c r="AC105" s="84">
        <v>0</v>
      </c>
      <c r="AD105" s="84">
        <v>0</v>
      </c>
      <c r="AE105" s="84">
        <v>0</v>
      </c>
      <c r="AF105" s="84">
        <v>0</v>
      </c>
      <c r="AG105" s="83" t="s">
        <v>46</v>
      </c>
      <c r="AH105" s="83" t="s">
        <v>121</v>
      </c>
      <c r="AI105" s="84">
        <v>3</v>
      </c>
      <c r="AJ105" s="85">
        <v>0.33329999999999999</v>
      </c>
      <c r="AK105" s="84">
        <v>1</v>
      </c>
      <c r="AL105" s="84">
        <v>0</v>
      </c>
      <c r="AM105" s="84">
        <v>0</v>
      </c>
      <c r="AN105" s="86">
        <v>0</v>
      </c>
      <c r="AO105" s="83" t="s">
        <v>48</v>
      </c>
      <c r="AP105" s="83" t="s">
        <v>121</v>
      </c>
      <c r="AQ105" s="84">
        <v>0</v>
      </c>
      <c r="AR105" s="20" t="s">
        <v>39</v>
      </c>
      <c r="AS105" s="84">
        <v>0</v>
      </c>
      <c r="AT105" s="84">
        <v>0</v>
      </c>
      <c r="AU105" s="84">
        <v>0</v>
      </c>
      <c r="AV105" s="86">
        <v>0</v>
      </c>
    </row>
    <row r="106" spans="1:48" x14ac:dyDescent="0.3">
      <c r="A106" s="83" t="s">
        <v>103</v>
      </c>
      <c r="B106" s="83" t="s">
        <v>122</v>
      </c>
      <c r="C106" s="84">
        <v>10</v>
      </c>
      <c r="D106" s="85">
        <v>0.35</v>
      </c>
      <c r="E106" s="84">
        <v>4</v>
      </c>
      <c r="F106" s="84">
        <v>1</v>
      </c>
      <c r="G106" s="84">
        <v>0</v>
      </c>
      <c r="H106" s="86">
        <v>1</v>
      </c>
      <c r="I106" s="83" t="s">
        <v>105</v>
      </c>
      <c r="J106" s="83" t="s">
        <v>122</v>
      </c>
      <c r="K106" s="84">
        <v>7</v>
      </c>
      <c r="L106" s="85">
        <v>-0.35709999999999997</v>
      </c>
      <c r="M106" s="84">
        <v>0</v>
      </c>
      <c r="N106" s="84">
        <v>1</v>
      </c>
      <c r="O106" s="84">
        <v>0</v>
      </c>
      <c r="P106" s="84">
        <v>3</v>
      </c>
      <c r="Q106" s="83" t="s">
        <v>47</v>
      </c>
      <c r="R106" s="83" t="s">
        <v>122</v>
      </c>
      <c r="S106" s="84">
        <v>0</v>
      </c>
      <c r="T106" s="20" t="s">
        <v>39</v>
      </c>
      <c r="U106" s="84">
        <v>0</v>
      </c>
      <c r="V106" s="84">
        <v>0</v>
      </c>
      <c r="W106" s="84">
        <v>0</v>
      </c>
      <c r="X106" s="86">
        <v>0</v>
      </c>
      <c r="Y106" s="83" t="s">
        <v>45</v>
      </c>
      <c r="Z106" s="83" t="s">
        <v>122</v>
      </c>
      <c r="AA106" s="84">
        <v>7</v>
      </c>
      <c r="AB106" s="85">
        <v>0.64290000000000003</v>
      </c>
      <c r="AC106" s="84">
        <v>3</v>
      </c>
      <c r="AD106" s="84">
        <v>3</v>
      </c>
      <c r="AE106" s="84">
        <v>0</v>
      </c>
      <c r="AF106" s="84">
        <v>0</v>
      </c>
      <c r="AG106" s="83" t="s">
        <v>46</v>
      </c>
      <c r="AH106" s="83" t="s">
        <v>122</v>
      </c>
      <c r="AI106" s="84">
        <v>9</v>
      </c>
      <c r="AJ106" s="85">
        <v>0.5</v>
      </c>
      <c r="AK106" s="84">
        <v>3</v>
      </c>
      <c r="AL106" s="84">
        <v>3</v>
      </c>
      <c r="AM106" s="84">
        <v>0</v>
      </c>
      <c r="AN106" s="86">
        <v>0</v>
      </c>
      <c r="AO106" s="83" t="s">
        <v>48</v>
      </c>
      <c r="AP106" s="83" t="s">
        <v>122</v>
      </c>
      <c r="AQ106" s="84">
        <v>1</v>
      </c>
      <c r="AR106" s="84">
        <v>0</v>
      </c>
      <c r="AS106" s="84">
        <v>0</v>
      </c>
      <c r="AT106" s="84">
        <v>0</v>
      </c>
      <c r="AU106" s="84">
        <v>0</v>
      </c>
      <c r="AV106" s="86">
        <v>0</v>
      </c>
    </row>
    <row r="107" spans="1:48" x14ac:dyDescent="0.3">
      <c r="A107" s="83" t="s">
        <v>103</v>
      </c>
      <c r="B107" s="83" t="s">
        <v>123</v>
      </c>
      <c r="C107" s="84">
        <v>2</v>
      </c>
      <c r="D107" s="85">
        <v>0.5</v>
      </c>
      <c r="E107" s="84">
        <v>0</v>
      </c>
      <c r="F107" s="84">
        <v>2</v>
      </c>
      <c r="G107" s="84">
        <v>0</v>
      </c>
      <c r="H107" s="86">
        <v>0</v>
      </c>
      <c r="I107" s="83" t="s">
        <v>105</v>
      </c>
      <c r="J107" s="83" t="s">
        <v>123</v>
      </c>
      <c r="K107" s="84">
        <v>0</v>
      </c>
      <c r="L107" s="20" t="s">
        <v>39</v>
      </c>
      <c r="M107" s="84">
        <v>0</v>
      </c>
      <c r="N107" s="84">
        <v>0</v>
      </c>
      <c r="O107" s="84">
        <v>0</v>
      </c>
      <c r="P107" s="84">
        <v>0</v>
      </c>
      <c r="Q107" s="83" t="s">
        <v>47</v>
      </c>
      <c r="R107" s="83" t="s">
        <v>123</v>
      </c>
      <c r="S107" s="84">
        <v>0</v>
      </c>
      <c r="T107" s="20" t="s">
        <v>39</v>
      </c>
      <c r="U107" s="84">
        <v>0</v>
      </c>
      <c r="V107" s="84">
        <v>0</v>
      </c>
      <c r="W107" s="84">
        <v>0</v>
      </c>
      <c r="X107" s="86">
        <v>0</v>
      </c>
      <c r="Y107" s="83" t="s">
        <v>45</v>
      </c>
      <c r="Z107" s="83" t="s">
        <v>123</v>
      </c>
      <c r="AA107" s="84">
        <v>4</v>
      </c>
      <c r="AB107" s="85">
        <v>0.625</v>
      </c>
      <c r="AC107" s="84">
        <v>1</v>
      </c>
      <c r="AD107" s="84">
        <v>3</v>
      </c>
      <c r="AE107" s="84">
        <v>0</v>
      </c>
      <c r="AF107" s="84">
        <v>0</v>
      </c>
      <c r="AG107" s="83" t="s">
        <v>46</v>
      </c>
      <c r="AH107" s="83" t="s">
        <v>123</v>
      </c>
      <c r="AI107" s="84">
        <v>6</v>
      </c>
      <c r="AJ107" s="85">
        <v>0.33329999999999999</v>
      </c>
      <c r="AK107" s="84">
        <v>1</v>
      </c>
      <c r="AL107" s="84">
        <v>2</v>
      </c>
      <c r="AM107" s="84">
        <v>0</v>
      </c>
      <c r="AN107" s="86">
        <v>0</v>
      </c>
      <c r="AO107" s="83" t="s">
        <v>48</v>
      </c>
      <c r="AP107" s="83" t="s">
        <v>123</v>
      </c>
      <c r="AQ107" s="84">
        <v>0</v>
      </c>
      <c r="AR107" s="20" t="s">
        <v>39</v>
      </c>
      <c r="AS107" s="84">
        <v>0</v>
      </c>
      <c r="AT107" s="84">
        <v>0</v>
      </c>
      <c r="AU107" s="84">
        <v>0</v>
      </c>
      <c r="AV107" s="86">
        <v>0</v>
      </c>
    </row>
    <row r="108" spans="1:48" x14ac:dyDescent="0.3">
      <c r="A108" s="83" t="s">
        <v>103</v>
      </c>
      <c r="B108" s="118" t="s">
        <v>124</v>
      </c>
      <c r="C108" s="99">
        <v>38</v>
      </c>
      <c r="D108" s="120">
        <v>0.44740000000000002</v>
      </c>
      <c r="E108" s="99">
        <v>14</v>
      </c>
      <c r="F108" s="99">
        <v>11</v>
      </c>
      <c r="G108" s="99">
        <v>1</v>
      </c>
      <c r="H108" s="119">
        <v>2</v>
      </c>
      <c r="I108" s="83" t="s">
        <v>105</v>
      </c>
      <c r="J108" s="118" t="s">
        <v>124</v>
      </c>
      <c r="K108" s="99">
        <v>33</v>
      </c>
      <c r="L108" s="120">
        <v>0.16669999999999999</v>
      </c>
      <c r="M108" s="99">
        <v>4</v>
      </c>
      <c r="N108" s="99">
        <v>7</v>
      </c>
      <c r="O108" s="99">
        <v>2</v>
      </c>
      <c r="P108" s="99">
        <v>1</v>
      </c>
      <c r="Q108" s="83" t="s">
        <v>47</v>
      </c>
      <c r="R108" s="118" t="s">
        <v>124</v>
      </c>
      <c r="S108" s="99">
        <v>0</v>
      </c>
      <c r="T108" s="98" t="s">
        <v>39</v>
      </c>
      <c r="U108" s="99">
        <v>0</v>
      </c>
      <c r="V108" s="99">
        <v>0</v>
      </c>
      <c r="W108" s="99">
        <v>0</v>
      </c>
      <c r="X108" s="119">
        <v>0</v>
      </c>
      <c r="Y108" s="83" t="s">
        <v>45</v>
      </c>
      <c r="Z108" s="118" t="s">
        <v>124</v>
      </c>
      <c r="AA108" s="99">
        <v>29</v>
      </c>
      <c r="AB108" s="120">
        <v>0.62070000000000003</v>
      </c>
      <c r="AC108" s="99">
        <v>13</v>
      </c>
      <c r="AD108" s="99">
        <v>11</v>
      </c>
      <c r="AE108" s="99">
        <v>1</v>
      </c>
      <c r="AF108" s="99">
        <v>0</v>
      </c>
      <c r="AG108" s="83" t="s">
        <v>46</v>
      </c>
      <c r="AH108" s="118" t="s">
        <v>124</v>
      </c>
      <c r="AI108" s="99">
        <v>24</v>
      </c>
      <c r="AJ108" s="120">
        <v>0.47920000000000001</v>
      </c>
      <c r="AK108" s="99">
        <v>7</v>
      </c>
      <c r="AL108" s="99">
        <v>10</v>
      </c>
      <c r="AM108" s="99">
        <v>1</v>
      </c>
      <c r="AN108" s="119">
        <v>0</v>
      </c>
      <c r="AO108" s="83" t="s">
        <v>48</v>
      </c>
      <c r="AP108" s="118" t="s">
        <v>124</v>
      </c>
      <c r="AQ108" s="99">
        <v>0</v>
      </c>
      <c r="AR108" s="98" t="s">
        <v>39</v>
      </c>
      <c r="AS108" s="99">
        <v>0</v>
      </c>
      <c r="AT108" s="99">
        <v>0</v>
      </c>
      <c r="AU108" s="99">
        <v>0</v>
      </c>
      <c r="AV108" s="119">
        <v>0</v>
      </c>
    </row>
    <row r="109" spans="1:48" x14ac:dyDescent="0.3">
      <c r="A109" s="83" t="s">
        <v>103</v>
      </c>
      <c r="B109" s="83" t="s">
        <v>125</v>
      </c>
      <c r="C109" s="84">
        <v>19</v>
      </c>
      <c r="D109" s="85">
        <v>0.26319999999999999</v>
      </c>
      <c r="E109" s="84">
        <v>7</v>
      </c>
      <c r="F109" s="84">
        <v>5</v>
      </c>
      <c r="G109" s="84">
        <v>0</v>
      </c>
      <c r="H109" s="86">
        <v>2</v>
      </c>
      <c r="I109" s="83" t="s">
        <v>105</v>
      </c>
      <c r="J109" s="83" t="s">
        <v>125</v>
      </c>
      <c r="K109" s="84">
        <v>24</v>
      </c>
      <c r="L109" s="85">
        <v>8.3299999999999999E-2</v>
      </c>
      <c r="M109" s="84">
        <v>3</v>
      </c>
      <c r="N109" s="84">
        <v>5</v>
      </c>
      <c r="O109" s="84">
        <v>2</v>
      </c>
      <c r="P109" s="84">
        <v>1</v>
      </c>
      <c r="Q109" s="83" t="s">
        <v>47</v>
      </c>
      <c r="R109" s="83" t="s">
        <v>125</v>
      </c>
      <c r="S109" s="84">
        <v>0</v>
      </c>
      <c r="T109" s="20" t="s">
        <v>39</v>
      </c>
      <c r="U109" s="84">
        <v>0</v>
      </c>
      <c r="V109" s="84">
        <v>0</v>
      </c>
      <c r="W109" s="84">
        <v>0</v>
      </c>
      <c r="X109" s="86">
        <v>0</v>
      </c>
      <c r="Y109" s="83" t="s">
        <v>45</v>
      </c>
      <c r="Z109" s="83" t="s">
        <v>125</v>
      </c>
      <c r="AA109" s="84">
        <v>2</v>
      </c>
      <c r="AB109" s="85">
        <v>0.5</v>
      </c>
      <c r="AC109" s="84">
        <v>1</v>
      </c>
      <c r="AD109" s="84">
        <v>0</v>
      </c>
      <c r="AE109" s="84">
        <v>0</v>
      </c>
      <c r="AF109" s="84">
        <v>0</v>
      </c>
      <c r="AG109" s="83" t="s">
        <v>46</v>
      </c>
      <c r="AH109" s="83" t="s">
        <v>125</v>
      </c>
      <c r="AI109" s="84">
        <v>2</v>
      </c>
      <c r="AJ109" s="84">
        <v>0</v>
      </c>
      <c r="AK109" s="84">
        <v>0</v>
      </c>
      <c r="AL109" s="84">
        <v>1</v>
      </c>
      <c r="AM109" s="84">
        <v>0</v>
      </c>
      <c r="AN109" s="86">
        <v>0</v>
      </c>
      <c r="AO109" s="83" t="s">
        <v>48</v>
      </c>
      <c r="AP109" s="83" t="s">
        <v>125</v>
      </c>
      <c r="AQ109" s="84">
        <v>0</v>
      </c>
      <c r="AR109" s="20" t="s">
        <v>39</v>
      </c>
      <c r="AS109" s="84">
        <v>0</v>
      </c>
      <c r="AT109" s="84">
        <v>0</v>
      </c>
      <c r="AU109" s="84">
        <v>0</v>
      </c>
      <c r="AV109" s="86">
        <v>0</v>
      </c>
    </row>
    <row r="110" spans="1:48" x14ac:dyDescent="0.3">
      <c r="A110" s="83" t="s">
        <v>103</v>
      </c>
      <c r="B110" s="83" t="s">
        <v>126</v>
      </c>
      <c r="C110" s="84">
        <v>15</v>
      </c>
      <c r="D110" s="85">
        <v>0.56669999999999998</v>
      </c>
      <c r="E110" s="84">
        <v>7</v>
      </c>
      <c r="F110" s="84">
        <v>4</v>
      </c>
      <c r="G110" s="84">
        <v>1</v>
      </c>
      <c r="H110" s="86">
        <v>0</v>
      </c>
      <c r="I110" s="83" t="s">
        <v>105</v>
      </c>
      <c r="J110" s="83" t="s">
        <v>126</v>
      </c>
      <c r="K110" s="84">
        <v>9</v>
      </c>
      <c r="L110" s="85">
        <v>0.22220000000000001</v>
      </c>
      <c r="M110" s="84">
        <v>1</v>
      </c>
      <c r="N110" s="84">
        <v>2</v>
      </c>
      <c r="O110" s="84">
        <v>0</v>
      </c>
      <c r="P110" s="84">
        <v>0</v>
      </c>
      <c r="Q110" s="83" t="s">
        <v>47</v>
      </c>
      <c r="R110" s="83" t="s">
        <v>126</v>
      </c>
      <c r="S110" s="84">
        <v>0</v>
      </c>
      <c r="T110" s="20" t="s">
        <v>39</v>
      </c>
      <c r="U110" s="84">
        <v>0</v>
      </c>
      <c r="V110" s="84">
        <v>0</v>
      </c>
      <c r="W110" s="84">
        <v>0</v>
      </c>
      <c r="X110" s="86">
        <v>0</v>
      </c>
      <c r="Y110" s="83" t="s">
        <v>45</v>
      </c>
      <c r="Z110" s="83" t="s">
        <v>126</v>
      </c>
      <c r="AA110" s="84">
        <v>15</v>
      </c>
      <c r="AB110" s="85">
        <v>0.5333</v>
      </c>
      <c r="AC110" s="84">
        <v>5</v>
      </c>
      <c r="AD110" s="84">
        <v>7</v>
      </c>
      <c r="AE110" s="84">
        <v>1</v>
      </c>
      <c r="AF110" s="84">
        <v>0</v>
      </c>
      <c r="AG110" s="83" t="s">
        <v>46</v>
      </c>
      <c r="AH110" s="83" t="s">
        <v>126</v>
      </c>
      <c r="AI110" s="84">
        <v>13</v>
      </c>
      <c r="AJ110" s="85">
        <v>0.46150000000000002</v>
      </c>
      <c r="AK110" s="84">
        <v>4</v>
      </c>
      <c r="AL110" s="84">
        <v>5</v>
      </c>
      <c r="AM110" s="84">
        <v>1</v>
      </c>
      <c r="AN110" s="86">
        <v>0</v>
      </c>
      <c r="AO110" s="83" t="s">
        <v>48</v>
      </c>
      <c r="AP110" s="83" t="s">
        <v>126</v>
      </c>
      <c r="AQ110" s="84">
        <v>0</v>
      </c>
      <c r="AR110" s="20" t="s">
        <v>39</v>
      </c>
      <c r="AS110" s="84">
        <v>0</v>
      </c>
      <c r="AT110" s="84">
        <v>0</v>
      </c>
      <c r="AU110" s="84">
        <v>0</v>
      </c>
      <c r="AV110" s="86">
        <v>0</v>
      </c>
    </row>
    <row r="111" spans="1:48" x14ac:dyDescent="0.3">
      <c r="A111" s="83" t="s">
        <v>103</v>
      </c>
      <c r="B111" s="88" t="s">
        <v>127</v>
      </c>
      <c r="C111" s="90">
        <v>4</v>
      </c>
      <c r="D111" s="90">
        <v>0</v>
      </c>
      <c r="E111" s="90">
        <v>0</v>
      </c>
      <c r="F111" s="90">
        <v>2</v>
      </c>
      <c r="G111" s="90">
        <v>0</v>
      </c>
      <c r="H111" s="121">
        <v>0</v>
      </c>
      <c r="I111" s="83" t="s">
        <v>105</v>
      </c>
      <c r="J111" s="88" t="s">
        <v>127</v>
      </c>
      <c r="K111" s="90">
        <v>0</v>
      </c>
      <c r="L111" s="89" t="s">
        <v>39</v>
      </c>
      <c r="M111" s="90">
        <v>0</v>
      </c>
      <c r="N111" s="90">
        <v>0</v>
      </c>
      <c r="O111" s="90">
        <v>0</v>
      </c>
      <c r="P111" s="90">
        <v>0</v>
      </c>
      <c r="Q111" s="83" t="s">
        <v>47</v>
      </c>
      <c r="R111" s="88" t="s">
        <v>127</v>
      </c>
      <c r="S111" s="90">
        <v>0</v>
      </c>
      <c r="T111" s="89" t="s">
        <v>39</v>
      </c>
      <c r="U111" s="90">
        <v>0</v>
      </c>
      <c r="V111" s="90">
        <v>0</v>
      </c>
      <c r="W111" s="90">
        <v>0</v>
      </c>
      <c r="X111" s="121">
        <v>0</v>
      </c>
      <c r="Y111" s="83" t="s">
        <v>45</v>
      </c>
      <c r="Z111" s="88" t="s">
        <v>127</v>
      </c>
      <c r="AA111" s="90">
        <v>9</v>
      </c>
      <c r="AB111" s="122">
        <v>0.66669999999999996</v>
      </c>
      <c r="AC111" s="90">
        <v>6</v>
      </c>
      <c r="AD111" s="90">
        <v>2</v>
      </c>
      <c r="AE111" s="90">
        <v>0</v>
      </c>
      <c r="AF111" s="90">
        <v>0</v>
      </c>
      <c r="AG111" s="83" t="s">
        <v>46</v>
      </c>
      <c r="AH111" s="88" t="s">
        <v>127</v>
      </c>
      <c r="AI111" s="90">
        <v>9</v>
      </c>
      <c r="AJ111" s="122">
        <v>0.33329999999999999</v>
      </c>
      <c r="AK111" s="90">
        <v>3</v>
      </c>
      <c r="AL111" s="90">
        <v>4</v>
      </c>
      <c r="AM111" s="90">
        <v>0</v>
      </c>
      <c r="AN111" s="121">
        <v>0</v>
      </c>
      <c r="AO111" s="83" t="s">
        <v>48</v>
      </c>
      <c r="AP111" s="88" t="s">
        <v>127</v>
      </c>
      <c r="AQ111" s="90">
        <v>0</v>
      </c>
      <c r="AR111" s="89" t="s">
        <v>39</v>
      </c>
      <c r="AS111" s="90">
        <v>0</v>
      </c>
      <c r="AT111" s="90">
        <v>0</v>
      </c>
      <c r="AU111" s="90">
        <v>0</v>
      </c>
      <c r="AV111" s="121">
        <v>0</v>
      </c>
    </row>
    <row r="112" spans="1:48" x14ac:dyDescent="0.3">
      <c r="A112" s="109"/>
      <c r="B112" s="109"/>
      <c r="C112" s="109"/>
      <c r="D112" s="109"/>
      <c r="E112" s="109"/>
      <c r="F112" s="109"/>
      <c r="G112" s="109"/>
      <c r="H112" s="109"/>
      <c r="I112" s="109"/>
      <c r="J112" s="109"/>
      <c r="K112" s="109"/>
      <c r="L112" s="109"/>
      <c r="M112" s="109"/>
      <c r="N112" s="109"/>
      <c r="O112" s="109"/>
      <c r="P112" s="109"/>
      <c r="Q112" s="109"/>
      <c r="R112" s="109"/>
      <c r="S112" s="109"/>
      <c r="T112" s="109"/>
      <c r="U112" s="109"/>
      <c r="V112" s="109"/>
      <c r="W112" s="109"/>
      <c r="X112" s="109"/>
      <c r="Y112" s="109"/>
      <c r="Z112" s="109"/>
      <c r="AA112" s="109"/>
      <c r="AB112" s="109"/>
      <c r="AC112" s="109"/>
      <c r="AD112" s="109"/>
      <c r="AE112" s="109"/>
      <c r="AF112" s="109"/>
      <c r="AG112" s="109"/>
      <c r="AH112" s="109"/>
      <c r="AI112" s="109"/>
      <c r="AJ112" s="109"/>
      <c r="AK112" s="109"/>
      <c r="AL112" s="109"/>
      <c r="AM112" s="109"/>
      <c r="AN112" s="109"/>
      <c r="AO112" s="109"/>
      <c r="AP112" s="109"/>
      <c r="AQ112" s="109"/>
      <c r="AR112" s="109"/>
      <c r="AS112" s="109"/>
      <c r="AT112" s="109"/>
      <c r="AU112" s="109"/>
      <c r="AV112" s="109"/>
    </row>
    <row r="113" spans="1:48" x14ac:dyDescent="0.3">
      <c r="A113" s="109"/>
      <c r="B113" s="111" t="s">
        <v>128</v>
      </c>
      <c r="C113" s="112" t="s">
        <v>62</v>
      </c>
      <c r="D113" s="112" t="s">
        <v>102</v>
      </c>
      <c r="E113" s="112" t="s">
        <v>3</v>
      </c>
      <c r="F113" s="112" t="s">
        <v>63</v>
      </c>
      <c r="G113" s="112" t="s">
        <v>64</v>
      </c>
      <c r="H113" s="112" t="s">
        <v>65</v>
      </c>
      <c r="I113" s="109"/>
      <c r="J113" s="111" t="s">
        <v>128</v>
      </c>
      <c r="K113" s="112" t="s">
        <v>62</v>
      </c>
      <c r="L113" s="112" t="s">
        <v>102</v>
      </c>
      <c r="M113" s="112" t="s">
        <v>3</v>
      </c>
      <c r="N113" s="112" t="s">
        <v>63</v>
      </c>
      <c r="O113" s="112" t="s">
        <v>64</v>
      </c>
      <c r="P113" s="112" t="s">
        <v>65</v>
      </c>
      <c r="Q113" s="109"/>
      <c r="R113" s="111" t="s">
        <v>128</v>
      </c>
      <c r="S113" s="112" t="s">
        <v>62</v>
      </c>
      <c r="T113" s="112" t="s">
        <v>102</v>
      </c>
      <c r="U113" s="112" t="s">
        <v>3</v>
      </c>
      <c r="V113" s="112" t="s">
        <v>63</v>
      </c>
      <c r="W113" s="112" t="s">
        <v>64</v>
      </c>
      <c r="X113" s="113" t="s">
        <v>65</v>
      </c>
      <c r="Y113" s="109"/>
      <c r="Z113" s="111" t="s">
        <v>128</v>
      </c>
      <c r="AA113" s="112" t="s">
        <v>62</v>
      </c>
      <c r="AB113" s="112" t="s">
        <v>102</v>
      </c>
      <c r="AC113" s="112" t="s">
        <v>3</v>
      </c>
      <c r="AD113" s="112" t="s">
        <v>63</v>
      </c>
      <c r="AE113" s="112" t="s">
        <v>64</v>
      </c>
      <c r="AF113" s="112" t="s">
        <v>65</v>
      </c>
      <c r="AG113" s="109"/>
      <c r="AH113" s="111" t="s">
        <v>128</v>
      </c>
      <c r="AI113" s="112" t="s">
        <v>62</v>
      </c>
      <c r="AJ113" s="112" t="s">
        <v>102</v>
      </c>
      <c r="AK113" s="112" t="s">
        <v>3</v>
      </c>
      <c r="AL113" s="112" t="s">
        <v>63</v>
      </c>
      <c r="AM113" s="112" t="s">
        <v>64</v>
      </c>
      <c r="AN113" s="113" t="s">
        <v>65</v>
      </c>
      <c r="AO113" s="109"/>
      <c r="AP113" s="111" t="s">
        <v>128</v>
      </c>
      <c r="AQ113" s="112" t="s">
        <v>62</v>
      </c>
      <c r="AR113" s="112" t="s">
        <v>102</v>
      </c>
      <c r="AS113" s="112" t="s">
        <v>3</v>
      </c>
      <c r="AT113" s="112" t="s">
        <v>63</v>
      </c>
      <c r="AU113" s="112" t="s">
        <v>64</v>
      </c>
      <c r="AV113" s="113" t="s">
        <v>65</v>
      </c>
    </row>
    <row r="114" spans="1:48" x14ac:dyDescent="0.3">
      <c r="A114" s="83" t="s">
        <v>103</v>
      </c>
      <c r="B114" s="118" t="s">
        <v>129</v>
      </c>
      <c r="C114" s="99">
        <v>17</v>
      </c>
      <c r="D114" s="116">
        <v>2.9399999999999999E-2</v>
      </c>
      <c r="E114" s="99">
        <v>1</v>
      </c>
      <c r="F114" s="99">
        <v>2</v>
      </c>
      <c r="G114" s="99">
        <v>1</v>
      </c>
      <c r="H114" s="99">
        <v>1</v>
      </c>
      <c r="I114" s="83" t="s">
        <v>105</v>
      </c>
      <c r="J114" s="118" t="s">
        <v>129</v>
      </c>
      <c r="K114" s="99">
        <v>7</v>
      </c>
      <c r="L114" s="116">
        <v>0.1429</v>
      </c>
      <c r="M114" s="99">
        <v>0</v>
      </c>
      <c r="N114" s="99">
        <v>3</v>
      </c>
      <c r="O114" s="99">
        <v>1</v>
      </c>
      <c r="P114" s="99">
        <v>0</v>
      </c>
      <c r="Q114" s="83" t="s">
        <v>47</v>
      </c>
      <c r="R114" s="118" t="s">
        <v>129</v>
      </c>
      <c r="S114" s="99">
        <v>1</v>
      </c>
      <c r="T114" s="116">
        <v>0.5</v>
      </c>
      <c r="U114" s="99">
        <v>0</v>
      </c>
      <c r="V114" s="99">
        <v>1</v>
      </c>
      <c r="W114" s="99">
        <v>0</v>
      </c>
      <c r="X114" s="119">
        <v>0</v>
      </c>
      <c r="Y114" s="83" t="s">
        <v>45</v>
      </c>
      <c r="Z114" s="118" t="s">
        <v>129</v>
      </c>
      <c r="AA114" s="99">
        <v>16</v>
      </c>
      <c r="AB114" s="116">
        <v>0.125</v>
      </c>
      <c r="AC114" s="99">
        <v>5</v>
      </c>
      <c r="AD114" s="99">
        <v>2</v>
      </c>
      <c r="AE114" s="99">
        <v>0</v>
      </c>
      <c r="AF114" s="99">
        <v>4</v>
      </c>
      <c r="AG114" s="83" t="s">
        <v>46</v>
      </c>
      <c r="AH114" s="118" t="s">
        <v>129</v>
      </c>
      <c r="AI114" s="99">
        <v>15</v>
      </c>
      <c r="AJ114" s="116">
        <v>0.16669999999999999</v>
      </c>
      <c r="AK114" s="99">
        <v>3</v>
      </c>
      <c r="AL114" s="99">
        <v>4</v>
      </c>
      <c r="AM114" s="99">
        <v>1</v>
      </c>
      <c r="AN114" s="119">
        <v>2</v>
      </c>
      <c r="AO114" s="83" t="s">
        <v>48</v>
      </c>
      <c r="AP114" s="118" t="s">
        <v>129</v>
      </c>
      <c r="AQ114" s="99">
        <v>0</v>
      </c>
      <c r="AR114" s="123" t="s">
        <v>39</v>
      </c>
      <c r="AS114" s="99">
        <v>0</v>
      </c>
      <c r="AT114" s="99">
        <v>0</v>
      </c>
      <c r="AU114" s="99">
        <v>0</v>
      </c>
      <c r="AV114" s="119">
        <v>0</v>
      </c>
    </row>
    <row r="115" spans="1:48" x14ac:dyDescent="0.3">
      <c r="A115" s="83" t="s">
        <v>103</v>
      </c>
      <c r="B115" s="83" t="s">
        <v>130</v>
      </c>
      <c r="C115" s="84">
        <v>6</v>
      </c>
      <c r="D115" s="84">
        <v>0</v>
      </c>
      <c r="E115" s="84">
        <v>1</v>
      </c>
      <c r="F115" s="84">
        <v>0</v>
      </c>
      <c r="G115" s="84">
        <v>0</v>
      </c>
      <c r="H115" s="84">
        <v>1</v>
      </c>
      <c r="I115" s="83" t="s">
        <v>105</v>
      </c>
      <c r="J115" s="83" t="s">
        <v>130</v>
      </c>
      <c r="K115" s="84">
        <v>0</v>
      </c>
      <c r="L115" s="20" t="s">
        <v>39</v>
      </c>
      <c r="M115" s="84">
        <v>0</v>
      </c>
      <c r="N115" s="84">
        <v>0</v>
      </c>
      <c r="O115" s="84">
        <v>0</v>
      </c>
      <c r="P115" s="84">
        <v>0</v>
      </c>
      <c r="Q115" s="83" t="s">
        <v>47</v>
      </c>
      <c r="R115" s="83" t="s">
        <v>130</v>
      </c>
      <c r="S115" s="84">
        <v>1</v>
      </c>
      <c r="T115" s="84">
        <v>0</v>
      </c>
      <c r="U115" s="84">
        <v>0</v>
      </c>
      <c r="V115" s="84">
        <v>0</v>
      </c>
      <c r="W115" s="84">
        <v>0</v>
      </c>
      <c r="X115" s="86">
        <v>0</v>
      </c>
      <c r="Y115" s="83" t="s">
        <v>45</v>
      </c>
      <c r="Z115" s="83" t="s">
        <v>130</v>
      </c>
      <c r="AA115" s="84">
        <v>1</v>
      </c>
      <c r="AB115" s="84">
        <v>0</v>
      </c>
      <c r="AC115" s="84">
        <v>0</v>
      </c>
      <c r="AD115" s="84">
        <v>0</v>
      </c>
      <c r="AE115" s="84">
        <v>0</v>
      </c>
      <c r="AF115" s="84">
        <v>0</v>
      </c>
      <c r="AG115" s="83" t="s">
        <v>46</v>
      </c>
      <c r="AH115" s="83" t="s">
        <v>130</v>
      </c>
      <c r="AI115" s="84">
        <v>2</v>
      </c>
      <c r="AJ115" s="84">
        <v>0</v>
      </c>
      <c r="AK115" s="84">
        <v>0</v>
      </c>
      <c r="AL115" s="84">
        <v>0</v>
      </c>
      <c r="AM115" s="84">
        <v>0</v>
      </c>
      <c r="AN115" s="86">
        <v>0</v>
      </c>
      <c r="AO115" s="83" t="s">
        <v>48</v>
      </c>
      <c r="AP115" s="83" t="s">
        <v>130</v>
      </c>
      <c r="AQ115" s="84">
        <v>0</v>
      </c>
      <c r="AR115" s="20" t="s">
        <v>39</v>
      </c>
      <c r="AS115" s="84">
        <v>0</v>
      </c>
      <c r="AT115" s="84">
        <v>0</v>
      </c>
      <c r="AU115" s="84">
        <v>0</v>
      </c>
      <c r="AV115" s="86">
        <v>0</v>
      </c>
    </row>
    <row r="116" spans="1:48" x14ac:dyDescent="0.3">
      <c r="A116" s="83" t="s">
        <v>103</v>
      </c>
      <c r="B116" s="83" t="s">
        <v>131</v>
      </c>
      <c r="C116" s="84">
        <v>11</v>
      </c>
      <c r="D116" s="84">
        <v>0</v>
      </c>
      <c r="E116" s="84">
        <v>0</v>
      </c>
      <c r="F116" s="84">
        <v>2</v>
      </c>
      <c r="G116" s="84">
        <v>1</v>
      </c>
      <c r="H116" s="84">
        <v>0</v>
      </c>
      <c r="I116" s="83" t="s">
        <v>105</v>
      </c>
      <c r="J116" s="83" t="s">
        <v>131</v>
      </c>
      <c r="K116" s="84">
        <v>6</v>
      </c>
      <c r="L116" s="84">
        <v>0</v>
      </c>
      <c r="M116" s="84">
        <v>0</v>
      </c>
      <c r="N116" s="84">
        <v>3</v>
      </c>
      <c r="O116" s="84">
        <v>0</v>
      </c>
      <c r="P116" s="84">
        <v>0</v>
      </c>
      <c r="Q116" s="83" t="s">
        <v>47</v>
      </c>
      <c r="R116" s="83" t="s">
        <v>131</v>
      </c>
      <c r="S116" s="84">
        <v>0</v>
      </c>
      <c r="T116" s="20" t="s">
        <v>39</v>
      </c>
      <c r="U116" s="84">
        <v>0</v>
      </c>
      <c r="V116" s="84">
        <v>0</v>
      </c>
      <c r="W116" s="84">
        <v>0</v>
      </c>
      <c r="X116" s="86">
        <v>0</v>
      </c>
      <c r="Y116" s="83" t="s">
        <v>45</v>
      </c>
      <c r="Z116" s="83" t="s">
        <v>131</v>
      </c>
      <c r="AA116" s="84">
        <v>8</v>
      </c>
      <c r="AB116" s="85">
        <v>0.375</v>
      </c>
      <c r="AC116" s="84">
        <v>4</v>
      </c>
      <c r="AD116" s="84">
        <v>1</v>
      </c>
      <c r="AE116" s="84">
        <v>0</v>
      </c>
      <c r="AF116" s="84">
        <v>1</v>
      </c>
      <c r="AG116" s="83" t="s">
        <v>46</v>
      </c>
      <c r="AH116" s="83" t="s">
        <v>131</v>
      </c>
      <c r="AI116" s="84">
        <v>7</v>
      </c>
      <c r="AJ116" s="85">
        <v>0.1429</v>
      </c>
      <c r="AK116" s="84">
        <v>2</v>
      </c>
      <c r="AL116" s="84">
        <v>2</v>
      </c>
      <c r="AM116" s="84">
        <v>0</v>
      </c>
      <c r="AN116" s="86">
        <v>1</v>
      </c>
      <c r="AO116" s="83" t="s">
        <v>48</v>
      </c>
      <c r="AP116" s="83" t="s">
        <v>131</v>
      </c>
      <c r="AQ116" s="84">
        <v>0</v>
      </c>
      <c r="AR116" s="20" t="s">
        <v>39</v>
      </c>
      <c r="AS116" s="84">
        <v>0</v>
      </c>
      <c r="AT116" s="84">
        <v>0</v>
      </c>
      <c r="AU116" s="84">
        <v>0</v>
      </c>
      <c r="AV116" s="86">
        <v>0</v>
      </c>
    </row>
    <row r="117" spans="1:48" x14ac:dyDescent="0.3">
      <c r="A117" s="83" t="s">
        <v>103</v>
      </c>
      <c r="B117" s="83" t="s">
        <v>132</v>
      </c>
      <c r="C117" s="84">
        <v>0</v>
      </c>
      <c r="D117" s="20" t="s">
        <v>39</v>
      </c>
      <c r="E117" s="84">
        <v>0</v>
      </c>
      <c r="F117" s="84">
        <v>0</v>
      </c>
      <c r="G117" s="84">
        <v>0</v>
      </c>
      <c r="H117" s="84">
        <v>0</v>
      </c>
      <c r="I117" s="83" t="s">
        <v>105</v>
      </c>
      <c r="J117" s="83" t="s">
        <v>132</v>
      </c>
      <c r="K117" s="84">
        <v>1</v>
      </c>
      <c r="L117" s="84">
        <v>0</v>
      </c>
      <c r="M117" s="84">
        <v>0</v>
      </c>
      <c r="N117" s="84">
        <v>0</v>
      </c>
      <c r="O117" s="84">
        <v>1</v>
      </c>
      <c r="P117" s="84">
        <v>0</v>
      </c>
      <c r="Q117" s="83" t="s">
        <v>47</v>
      </c>
      <c r="R117" s="83" t="s">
        <v>132</v>
      </c>
      <c r="S117" s="84">
        <v>0</v>
      </c>
      <c r="T117" s="20" t="s">
        <v>39</v>
      </c>
      <c r="U117" s="84">
        <v>0</v>
      </c>
      <c r="V117" s="84">
        <v>0</v>
      </c>
      <c r="W117" s="84">
        <v>0</v>
      </c>
      <c r="X117" s="86">
        <v>0</v>
      </c>
      <c r="Y117" s="83" t="s">
        <v>45</v>
      </c>
      <c r="Z117" s="83" t="s">
        <v>132</v>
      </c>
      <c r="AA117" s="84">
        <v>7</v>
      </c>
      <c r="AB117" s="85">
        <v>-0.28570000000000001</v>
      </c>
      <c r="AC117" s="84">
        <v>1</v>
      </c>
      <c r="AD117" s="84">
        <v>1</v>
      </c>
      <c r="AE117" s="84">
        <v>0</v>
      </c>
      <c r="AF117" s="84">
        <v>3</v>
      </c>
      <c r="AG117" s="83" t="s">
        <v>46</v>
      </c>
      <c r="AH117" s="83" t="s">
        <v>132</v>
      </c>
      <c r="AI117" s="84">
        <v>6</v>
      </c>
      <c r="AJ117" s="84">
        <v>0</v>
      </c>
      <c r="AK117" s="84">
        <v>1</v>
      </c>
      <c r="AL117" s="84">
        <v>1</v>
      </c>
      <c r="AM117" s="84">
        <v>1</v>
      </c>
      <c r="AN117" s="86">
        <v>1</v>
      </c>
      <c r="AO117" s="83" t="s">
        <v>48</v>
      </c>
      <c r="AP117" s="83" t="s">
        <v>132</v>
      </c>
      <c r="AQ117" s="84">
        <v>0</v>
      </c>
      <c r="AR117" s="20" t="s">
        <v>39</v>
      </c>
      <c r="AS117" s="84">
        <v>0</v>
      </c>
      <c r="AT117" s="84">
        <v>0</v>
      </c>
      <c r="AU117" s="84">
        <v>0</v>
      </c>
      <c r="AV117" s="86">
        <v>0</v>
      </c>
    </row>
    <row r="118" spans="1:48" x14ac:dyDescent="0.3">
      <c r="A118" s="83" t="s">
        <v>103</v>
      </c>
      <c r="B118" s="118" t="s">
        <v>133</v>
      </c>
      <c r="C118" s="99">
        <v>12</v>
      </c>
      <c r="D118" s="120">
        <v>-0.125</v>
      </c>
      <c r="E118" s="99">
        <v>1</v>
      </c>
      <c r="F118" s="99">
        <v>1</v>
      </c>
      <c r="G118" s="99">
        <v>0</v>
      </c>
      <c r="H118" s="99">
        <v>3</v>
      </c>
      <c r="I118" s="83" t="s">
        <v>105</v>
      </c>
      <c r="J118" s="118" t="s">
        <v>133</v>
      </c>
      <c r="K118" s="99">
        <v>3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83" t="s">
        <v>47</v>
      </c>
      <c r="R118" s="118" t="s">
        <v>133</v>
      </c>
      <c r="S118" s="99">
        <v>1</v>
      </c>
      <c r="T118" s="120">
        <v>1.5</v>
      </c>
      <c r="U118" s="99">
        <v>1</v>
      </c>
      <c r="V118" s="99">
        <v>0</v>
      </c>
      <c r="W118" s="99">
        <v>0</v>
      </c>
      <c r="X118" s="119">
        <v>0</v>
      </c>
      <c r="Y118" s="83" t="s">
        <v>45</v>
      </c>
      <c r="Z118" s="118" t="s">
        <v>133</v>
      </c>
      <c r="AA118" s="99">
        <v>19</v>
      </c>
      <c r="AB118" s="120">
        <v>0.21049999999999999</v>
      </c>
      <c r="AC118" s="99">
        <v>4</v>
      </c>
      <c r="AD118" s="99">
        <v>7</v>
      </c>
      <c r="AE118" s="99">
        <v>0</v>
      </c>
      <c r="AF118" s="99">
        <v>2</v>
      </c>
      <c r="AG118" s="83" t="s">
        <v>46</v>
      </c>
      <c r="AH118" s="118" t="s">
        <v>133</v>
      </c>
      <c r="AI118" s="99">
        <v>19</v>
      </c>
      <c r="AJ118" s="120">
        <v>0.36840000000000001</v>
      </c>
      <c r="AK118" s="99">
        <v>6</v>
      </c>
      <c r="AL118" s="99">
        <v>6</v>
      </c>
      <c r="AM118" s="99">
        <v>2</v>
      </c>
      <c r="AN118" s="119">
        <v>1</v>
      </c>
      <c r="AO118" s="83" t="s">
        <v>48</v>
      </c>
      <c r="AP118" s="118" t="s">
        <v>133</v>
      </c>
      <c r="AQ118" s="99">
        <v>0</v>
      </c>
      <c r="AR118" s="98" t="s">
        <v>39</v>
      </c>
      <c r="AS118" s="99">
        <v>0</v>
      </c>
      <c r="AT118" s="99">
        <v>0</v>
      </c>
      <c r="AU118" s="99">
        <v>0</v>
      </c>
      <c r="AV118" s="119">
        <v>0</v>
      </c>
    </row>
    <row r="119" spans="1:48" x14ac:dyDescent="0.3">
      <c r="A119" s="83" t="s">
        <v>103</v>
      </c>
      <c r="B119" s="83" t="s">
        <v>134</v>
      </c>
      <c r="C119" s="84">
        <v>9</v>
      </c>
      <c r="D119" s="85">
        <v>-0.16669999999999999</v>
      </c>
      <c r="E119" s="84">
        <v>0</v>
      </c>
      <c r="F119" s="84">
        <v>1</v>
      </c>
      <c r="G119" s="84">
        <v>0</v>
      </c>
      <c r="H119" s="84">
        <v>2</v>
      </c>
      <c r="I119" s="83" t="s">
        <v>105</v>
      </c>
      <c r="J119" s="83" t="s">
        <v>134</v>
      </c>
      <c r="K119" s="84">
        <v>1</v>
      </c>
      <c r="L119" s="84">
        <v>0</v>
      </c>
      <c r="M119" s="84">
        <v>0</v>
      </c>
      <c r="N119" s="84">
        <v>0</v>
      </c>
      <c r="O119" s="84">
        <v>0</v>
      </c>
      <c r="P119" s="84">
        <v>0</v>
      </c>
      <c r="Q119" s="83" t="s">
        <v>47</v>
      </c>
      <c r="R119" s="83" t="s">
        <v>134</v>
      </c>
      <c r="S119" s="84">
        <v>0</v>
      </c>
      <c r="T119" s="20" t="s">
        <v>39</v>
      </c>
      <c r="U119" s="84">
        <v>0</v>
      </c>
      <c r="V119" s="84">
        <v>0</v>
      </c>
      <c r="W119" s="84">
        <v>0</v>
      </c>
      <c r="X119" s="86">
        <v>0</v>
      </c>
      <c r="Y119" s="83" t="s">
        <v>45</v>
      </c>
      <c r="Z119" s="83" t="s">
        <v>134</v>
      </c>
      <c r="AA119" s="84">
        <v>0</v>
      </c>
      <c r="AB119" s="20" t="s">
        <v>39</v>
      </c>
      <c r="AC119" s="84">
        <v>0</v>
      </c>
      <c r="AD119" s="84">
        <v>0</v>
      </c>
      <c r="AE119" s="84">
        <v>0</v>
      </c>
      <c r="AF119" s="84">
        <v>0</v>
      </c>
      <c r="AG119" s="83" t="s">
        <v>46</v>
      </c>
      <c r="AH119" s="83" t="s">
        <v>134</v>
      </c>
      <c r="AI119" s="84">
        <v>1</v>
      </c>
      <c r="AJ119" s="85">
        <v>0.5</v>
      </c>
      <c r="AK119" s="84">
        <v>0</v>
      </c>
      <c r="AL119" s="84">
        <v>1</v>
      </c>
      <c r="AM119" s="84">
        <v>0</v>
      </c>
      <c r="AN119" s="86">
        <v>0</v>
      </c>
      <c r="AO119" s="83" t="s">
        <v>48</v>
      </c>
      <c r="AP119" s="83" t="s">
        <v>134</v>
      </c>
      <c r="AQ119" s="84">
        <v>0</v>
      </c>
      <c r="AR119" s="20" t="s">
        <v>39</v>
      </c>
      <c r="AS119" s="84">
        <v>0</v>
      </c>
      <c r="AT119" s="84">
        <v>0</v>
      </c>
      <c r="AU119" s="84">
        <v>0</v>
      </c>
      <c r="AV119" s="86">
        <v>0</v>
      </c>
    </row>
    <row r="120" spans="1:48" x14ac:dyDescent="0.3">
      <c r="A120" s="83" t="s">
        <v>103</v>
      </c>
      <c r="B120" s="83" t="s">
        <v>135</v>
      </c>
      <c r="C120" s="84">
        <v>3</v>
      </c>
      <c r="D120" s="84">
        <v>0</v>
      </c>
      <c r="E120" s="84">
        <v>1</v>
      </c>
      <c r="F120" s="84">
        <v>0</v>
      </c>
      <c r="G120" s="84">
        <v>0</v>
      </c>
      <c r="H120" s="84">
        <v>1</v>
      </c>
      <c r="I120" s="83" t="s">
        <v>105</v>
      </c>
      <c r="J120" s="83" t="s">
        <v>135</v>
      </c>
      <c r="K120" s="84">
        <v>2</v>
      </c>
      <c r="L120" s="84">
        <v>0</v>
      </c>
      <c r="M120" s="84">
        <v>0</v>
      </c>
      <c r="N120" s="84">
        <v>0</v>
      </c>
      <c r="O120" s="84">
        <v>0</v>
      </c>
      <c r="P120" s="84">
        <v>0</v>
      </c>
      <c r="Q120" s="83" t="s">
        <v>47</v>
      </c>
      <c r="R120" s="83" t="s">
        <v>135</v>
      </c>
      <c r="S120" s="84">
        <v>1</v>
      </c>
      <c r="T120" s="84">
        <v>1</v>
      </c>
      <c r="U120" s="84">
        <v>1</v>
      </c>
      <c r="V120" s="84">
        <v>0</v>
      </c>
      <c r="W120" s="84">
        <v>0</v>
      </c>
      <c r="X120" s="86">
        <v>0</v>
      </c>
      <c r="Y120" s="83" t="s">
        <v>45</v>
      </c>
      <c r="Z120" s="83" t="s">
        <v>135</v>
      </c>
      <c r="AA120" s="84">
        <v>15</v>
      </c>
      <c r="AB120" s="85">
        <v>0.36670000000000003</v>
      </c>
      <c r="AC120" s="84">
        <v>4</v>
      </c>
      <c r="AD120" s="84">
        <v>5</v>
      </c>
      <c r="AE120" s="84">
        <v>0</v>
      </c>
      <c r="AF120" s="84">
        <v>1</v>
      </c>
      <c r="AG120" s="83" t="s">
        <v>46</v>
      </c>
      <c r="AH120" s="83" t="s">
        <v>135</v>
      </c>
      <c r="AI120" s="84">
        <v>11</v>
      </c>
      <c r="AJ120" s="85">
        <v>0.36359999999999998</v>
      </c>
      <c r="AK120" s="84">
        <v>4</v>
      </c>
      <c r="AL120" s="84">
        <v>3</v>
      </c>
      <c r="AM120" s="84">
        <v>1</v>
      </c>
      <c r="AN120" s="86">
        <v>1</v>
      </c>
      <c r="AO120" s="83" t="s">
        <v>48</v>
      </c>
      <c r="AP120" s="83" t="s">
        <v>135</v>
      </c>
      <c r="AQ120" s="84">
        <v>0</v>
      </c>
      <c r="AR120" s="20" t="s">
        <v>39</v>
      </c>
      <c r="AS120" s="84">
        <v>0</v>
      </c>
      <c r="AT120" s="84">
        <v>0</v>
      </c>
      <c r="AU120" s="84">
        <v>0</v>
      </c>
      <c r="AV120" s="86">
        <v>0</v>
      </c>
    </row>
    <row r="121" spans="1:48" x14ac:dyDescent="0.3">
      <c r="A121" s="83" t="s">
        <v>103</v>
      </c>
      <c r="B121" s="83" t="s">
        <v>136</v>
      </c>
      <c r="C121" s="84">
        <v>0</v>
      </c>
      <c r="D121" s="20" t="s">
        <v>39</v>
      </c>
      <c r="E121" s="84">
        <v>0</v>
      </c>
      <c r="F121" s="84">
        <v>0</v>
      </c>
      <c r="G121" s="84">
        <v>0</v>
      </c>
      <c r="H121" s="84">
        <v>0</v>
      </c>
      <c r="I121" s="83" t="s">
        <v>105</v>
      </c>
      <c r="J121" s="83" t="s">
        <v>136</v>
      </c>
      <c r="K121" s="84">
        <v>0</v>
      </c>
      <c r="L121" s="20" t="s">
        <v>39</v>
      </c>
      <c r="M121" s="84">
        <v>0</v>
      </c>
      <c r="N121" s="84">
        <v>0</v>
      </c>
      <c r="O121" s="84">
        <v>0</v>
      </c>
      <c r="P121" s="84">
        <v>0</v>
      </c>
      <c r="Q121" s="83" t="s">
        <v>47</v>
      </c>
      <c r="R121" s="83" t="s">
        <v>136</v>
      </c>
      <c r="S121" s="84">
        <v>0</v>
      </c>
      <c r="T121" s="20" t="s">
        <v>39</v>
      </c>
      <c r="U121" s="84">
        <v>0</v>
      </c>
      <c r="V121" s="84">
        <v>0</v>
      </c>
      <c r="W121" s="84">
        <v>0</v>
      </c>
      <c r="X121" s="86">
        <v>0</v>
      </c>
      <c r="Y121" s="83" t="s">
        <v>45</v>
      </c>
      <c r="Z121" s="83" t="s">
        <v>136</v>
      </c>
      <c r="AA121" s="84">
        <v>4</v>
      </c>
      <c r="AB121" s="84">
        <v>0</v>
      </c>
      <c r="AC121" s="84">
        <v>0</v>
      </c>
      <c r="AD121" s="84">
        <v>2</v>
      </c>
      <c r="AE121" s="84">
        <v>0</v>
      </c>
      <c r="AF121" s="84">
        <v>1</v>
      </c>
      <c r="AG121" s="83" t="s">
        <v>46</v>
      </c>
      <c r="AH121" s="83" t="s">
        <v>136</v>
      </c>
      <c r="AI121" s="84">
        <v>7</v>
      </c>
      <c r="AJ121" s="85">
        <v>0.35709999999999997</v>
      </c>
      <c r="AK121" s="84">
        <v>2</v>
      </c>
      <c r="AL121" s="84">
        <v>2</v>
      </c>
      <c r="AM121" s="84">
        <v>1</v>
      </c>
      <c r="AN121" s="86">
        <v>0</v>
      </c>
      <c r="AO121" s="83" t="s">
        <v>48</v>
      </c>
      <c r="AP121" s="83" t="s">
        <v>136</v>
      </c>
      <c r="AQ121" s="84">
        <v>0</v>
      </c>
      <c r="AR121" s="20" t="s">
        <v>39</v>
      </c>
      <c r="AS121" s="84">
        <v>0</v>
      </c>
      <c r="AT121" s="84">
        <v>0</v>
      </c>
      <c r="AU121" s="84">
        <v>0</v>
      </c>
      <c r="AV121" s="86">
        <v>0</v>
      </c>
    </row>
    <row r="122" spans="1:48" x14ac:dyDescent="0.3">
      <c r="A122" s="83" t="s">
        <v>103</v>
      </c>
      <c r="B122" s="118" t="s">
        <v>137</v>
      </c>
      <c r="C122" s="99">
        <v>2</v>
      </c>
      <c r="D122" s="120">
        <v>-0.25</v>
      </c>
      <c r="E122" s="99">
        <v>0</v>
      </c>
      <c r="F122" s="99">
        <v>1</v>
      </c>
      <c r="G122" s="99">
        <v>0</v>
      </c>
      <c r="H122" s="99">
        <v>1</v>
      </c>
      <c r="I122" s="83" t="s">
        <v>105</v>
      </c>
      <c r="J122" s="118" t="s">
        <v>137</v>
      </c>
      <c r="K122" s="99">
        <v>3</v>
      </c>
      <c r="L122" s="120">
        <v>0.33329999999999999</v>
      </c>
      <c r="M122" s="99">
        <v>1</v>
      </c>
      <c r="N122" s="99">
        <v>0</v>
      </c>
      <c r="O122" s="99">
        <v>0</v>
      </c>
      <c r="P122" s="99">
        <v>0</v>
      </c>
      <c r="Q122" s="83" t="s">
        <v>47</v>
      </c>
      <c r="R122" s="118" t="s">
        <v>137</v>
      </c>
      <c r="S122" s="99">
        <v>1</v>
      </c>
      <c r="T122" s="99">
        <v>1</v>
      </c>
      <c r="U122" s="99">
        <v>1</v>
      </c>
      <c r="V122" s="99">
        <v>0</v>
      </c>
      <c r="W122" s="99">
        <v>0</v>
      </c>
      <c r="X122" s="119">
        <v>0</v>
      </c>
      <c r="Y122" s="83" t="s">
        <v>45</v>
      </c>
      <c r="Z122" s="118" t="s">
        <v>137</v>
      </c>
      <c r="AA122" s="99">
        <v>7</v>
      </c>
      <c r="AB122" s="120">
        <v>0.21429999999999999</v>
      </c>
      <c r="AC122" s="99">
        <v>0</v>
      </c>
      <c r="AD122" s="99">
        <v>3</v>
      </c>
      <c r="AE122" s="99">
        <v>0</v>
      </c>
      <c r="AF122" s="99">
        <v>0</v>
      </c>
      <c r="AG122" s="83" t="s">
        <v>46</v>
      </c>
      <c r="AH122" s="118" t="s">
        <v>137</v>
      </c>
      <c r="AI122" s="99">
        <v>12</v>
      </c>
      <c r="AJ122" s="120">
        <v>0.29170000000000001</v>
      </c>
      <c r="AK122" s="99">
        <v>3</v>
      </c>
      <c r="AL122" s="99">
        <v>2</v>
      </c>
      <c r="AM122" s="99">
        <v>1</v>
      </c>
      <c r="AN122" s="119">
        <v>0</v>
      </c>
      <c r="AO122" s="83" t="s">
        <v>48</v>
      </c>
      <c r="AP122" s="118" t="s">
        <v>137</v>
      </c>
      <c r="AQ122" s="99">
        <v>0</v>
      </c>
      <c r="AR122" s="98" t="s">
        <v>39</v>
      </c>
      <c r="AS122" s="99">
        <v>0</v>
      </c>
      <c r="AT122" s="99">
        <v>0</v>
      </c>
      <c r="AU122" s="99">
        <v>0</v>
      </c>
      <c r="AV122" s="119">
        <v>0</v>
      </c>
    </row>
    <row r="123" spans="1:48" x14ac:dyDescent="0.3">
      <c r="A123" s="83" t="s">
        <v>103</v>
      </c>
      <c r="B123" s="83" t="s">
        <v>138</v>
      </c>
      <c r="C123" s="84">
        <v>1</v>
      </c>
      <c r="D123" s="84">
        <v>-1</v>
      </c>
      <c r="E123" s="84">
        <v>0</v>
      </c>
      <c r="F123" s="84">
        <v>0</v>
      </c>
      <c r="G123" s="84">
        <v>0</v>
      </c>
      <c r="H123" s="84">
        <v>1</v>
      </c>
      <c r="I123" s="83" t="s">
        <v>105</v>
      </c>
      <c r="J123" s="83" t="s">
        <v>138</v>
      </c>
      <c r="K123" s="84">
        <v>2</v>
      </c>
      <c r="L123" s="84">
        <v>0</v>
      </c>
      <c r="M123" s="84">
        <v>0</v>
      </c>
      <c r="N123" s="84">
        <v>0</v>
      </c>
      <c r="O123" s="84">
        <v>0</v>
      </c>
      <c r="P123" s="84">
        <v>0</v>
      </c>
      <c r="Q123" s="83" t="s">
        <v>47</v>
      </c>
      <c r="R123" s="83" t="s">
        <v>138</v>
      </c>
      <c r="S123" s="84">
        <v>0</v>
      </c>
      <c r="T123" s="20" t="s">
        <v>39</v>
      </c>
      <c r="U123" s="84">
        <v>0</v>
      </c>
      <c r="V123" s="84">
        <v>0</v>
      </c>
      <c r="W123" s="84">
        <v>0</v>
      </c>
      <c r="X123" s="86">
        <v>0</v>
      </c>
      <c r="Y123" s="83" t="s">
        <v>45</v>
      </c>
      <c r="Z123" s="83" t="s">
        <v>138</v>
      </c>
      <c r="AA123" s="84">
        <v>3</v>
      </c>
      <c r="AB123" s="84">
        <v>0</v>
      </c>
      <c r="AC123" s="84">
        <v>0</v>
      </c>
      <c r="AD123" s="84">
        <v>1</v>
      </c>
      <c r="AE123" s="84">
        <v>0</v>
      </c>
      <c r="AF123" s="84">
        <v>0</v>
      </c>
      <c r="AG123" s="83" t="s">
        <v>46</v>
      </c>
      <c r="AH123" s="83" t="s">
        <v>138</v>
      </c>
      <c r="AI123" s="84">
        <v>0</v>
      </c>
      <c r="AJ123" s="20" t="s">
        <v>39</v>
      </c>
      <c r="AK123" s="84">
        <v>0</v>
      </c>
      <c r="AL123" s="84">
        <v>0</v>
      </c>
      <c r="AM123" s="84">
        <v>0</v>
      </c>
      <c r="AN123" s="86">
        <v>0</v>
      </c>
      <c r="AO123" s="83" t="s">
        <v>48</v>
      </c>
      <c r="AP123" s="83" t="s">
        <v>138</v>
      </c>
      <c r="AQ123" s="84">
        <v>0</v>
      </c>
      <c r="AR123" s="20" t="s">
        <v>39</v>
      </c>
      <c r="AS123" s="84">
        <v>0</v>
      </c>
      <c r="AT123" s="84">
        <v>0</v>
      </c>
      <c r="AU123" s="84">
        <v>0</v>
      </c>
      <c r="AV123" s="86">
        <v>0</v>
      </c>
    </row>
    <row r="124" spans="1:48" x14ac:dyDescent="0.3">
      <c r="A124" s="83" t="s">
        <v>103</v>
      </c>
      <c r="B124" s="83" t="s">
        <v>139</v>
      </c>
      <c r="C124" s="84">
        <v>1</v>
      </c>
      <c r="D124" s="85">
        <v>0.5</v>
      </c>
      <c r="E124" s="84">
        <v>0</v>
      </c>
      <c r="F124" s="84">
        <v>1</v>
      </c>
      <c r="G124" s="84">
        <v>0</v>
      </c>
      <c r="H124" s="84">
        <v>0</v>
      </c>
      <c r="I124" s="83" t="s">
        <v>105</v>
      </c>
      <c r="J124" s="83" t="s">
        <v>139</v>
      </c>
      <c r="K124" s="84">
        <v>1</v>
      </c>
      <c r="L124" s="84">
        <v>1</v>
      </c>
      <c r="M124" s="84">
        <v>1</v>
      </c>
      <c r="N124" s="84">
        <v>0</v>
      </c>
      <c r="O124" s="84">
        <v>0</v>
      </c>
      <c r="P124" s="84">
        <v>0</v>
      </c>
      <c r="Q124" s="83" t="s">
        <v>47</v>
      </c>
      <c r="R124" s="83" t="s">
        <v>139</v>
      </c>
      <c r="S124" s="84">
        <v>1</v>
      </c>
      <c r="T124" s="84">
        <v>1</v>
      </c>
      <c r="U124" s="84">
        <v>1</v>
      </c>
      <c r="V124" s="84">
        <v>0</v>
      </c>
      <c r="W124" s="84">
        <v>0</v>
      </c>
      <c r="X124" s="86">
        <v>0</v>
      </c>
      <c r="Y124" s="83" t="s">
        <v>45</v>
      </c>
      <c r="Z124" s="83" t="s">
        <v>139</v>
      </c>
      <c r="AA124" s="84">
        <v>3</v>
      </c>
      <c r="AB124" s="85">
        <v>0.33329999999999999</v>
      </c>
      <c r="AC124" s="84">
        <v>0</v>
      </c>
      <c r="AD124" s="84">
        <v>2</v>
      </c>
      <c r="AE124" s="84">
        <v>0</v>
      </c>
      <c r="AF124" s="84">
        <v>0</v>
      </c>
      <c r="AG124" s="83" t="s">
        <v>46</v>
      </c>
      <c r="AH124" s="83" t="s">
        <v>139</v>
      </c>
      <c r="AI124" s="84">
        <v>5</v>
      </c>
      <c r="AJ124" s="85">
        <v>0.2</v>
      </c>
      <c r="AK124" s="84">
        <v>1</v>
      </c>
      <c r="AL124" s="84">
        <v>1</v>
      </c>
      <c r="AM124" s="84">
        <v>1</v>
      </c>
      <c r="AN124" s="86">
        <v>0</v>
      </c>
      <c r="AO124" s="83" t="s">
        <v>48</v>
      </c>
      <c r="AP124" s="83" t="s">
        <v>139</v>
      </c>
      <c r="AQ124" s="84">
        <v>0</v>
      </c>
      <c r="AR124" s="20" t="s">
        <v>39</v>
      </c>
      <c r="AS124" s="84">
        <v>0</v>
      </c>
      <c r="AT124" s="84">
        <v>0</v>
      </c>
      <c r="AU124" s="84">
        <v>0</v>
      </c>
      <c r="AV124" s="86">
        <v>0</v>
      </c>
    </row>
    <row r="125" spans="1:48" x14ac:dyDescent="0.3">
      <c r="A125" s="83" t="s">
        <v>103</v>
      </c>
      <c r="B125" s="88" t="s">
        <v>140</v>
      </c>
      <c r="C125" s="90">
        <v>0</v>
      </c>
      <c r="D125" s="89" t="s">
        <v>39</v>
      </c>
      <c r="E125" s="90">
        <v>0</v>
      </c>
      <c r="F125" s="90">
        <v>0</v>
      </c>
      <c r="G125" s="90">
        <v>0</v>
      </c>
      <c r="H125" s="90">
        <v>0</v>
      </c>
      <c r="I125" s="83" t="s">
        <v>105</v>
      </c>
      <c r="J125" s="88" t="s">
        <v>140</v>
      </c>
      <c r="K125" s="90">
        <v>0</v>
      </c>
      <c r="L125" s="89" t="s">
        <v>39</v>
      </c>
      <c r="M125" s="90">
        <v>0</v>
      </c>
      <c r="N125" s="90">
        <v>0</v>
      </c>
      <c r="O125" s="90">
        <v>0</v>
      </c>
      <c r="P125" s="90">
        <v>0</v>
      </c>
      <c r="Q125" s="83" t="s">
        <v>47</v>
      </c>
      <c r="R125" s="88" t="s">
        <v>140</v>
      </c>
      <c r="S125" s="90">
        <v>0</v>
      </c>
      <c r="T125" s="89" t="s">
        <v>39</v>
      </c>
      <c r="U125" s="90">
        <v>0</v>
      </c>
      <c r="V125" s="90">
        <v>0</v>
      </c>
      <c r="W125" s="90">
        <v>0</v>
      </c>
      <c r="X125" s="121">
        <v>0</v>
      </c>
      <c r="Y125" s="83" t="s">
        <v>45</v>
      </c>
      <c r="Z125" s="88" t="s">
        <v>140</v>
      </c>
      <c r="AA125" s="90">
        <v>1</v>
      </c>
      <c r="AB125" s="90">
        <v>0</v>
      </c>
      <c r="AC125" s="90">
        <v>0</v>
      </c>
      <c r="AD125" s="90">
        <v>0</v>
      </c>
      <c r="AE125" s="90">
        <v>0</v>
      </c>
      <c r="AF125" s="90">
        <v>0</v>
      </c>
      <c r="AG125" s="83" t="s">
        <v>46</v>
      </c>
      <c r="AH125" s="88" t="s">
        <v>140</v>
      </c>
      <c r="AI125" s="90">
        <v>7</v>
      </c>
      <c r="AJ125" s="122">
        <v>0.28570000000000001</v>
      </c>
      <c r="AK125" s="90">
        <v>2</v>
      </c>
      <c r="AL125" s="90">
        <v>1</v>
      </c>
      <c r="AM125" s="90">
        <v>0</v>
      </c>
      <c r="AN125" s="121">
        <v>0</v>
      </c>
      <c r="AO125" s="83" t="s">
        <v>48</v>
      </c>
      <c r="AP125" s="88" t="s">
        <v>140</v>
      </c>
      <c r="AQ125" s="90">
        <v>0</v>
      </c>
      <c r="AR125" s="89" t="s">
        <v>39</v>
      </c>
      <c r="AS125" s="90">
        <v>0</v>
      </c>
      <c r="AT125" s="90">
        <v>0</v>
      </c>
      <c r="AU125" s="90">
        <v>0</v>
      </c>
      <c r="AV125" s="121">
        <v>0</v>
      </c>
    </row>
  </sheetData>
  <mergeCells count="21">
    <mergeCell ref="A35:L35"/>
    <mergeCell ref="A66:L66"/>
    <mergeCell ref="N66:Y66"/>
    <mergeCell ref="A80:F80"/>
    <mergeCell ref="G80:L80"/>
    <mergeCell ref="N80:S80"/>
    <mergeCell ref="T80:Y80"/>
    <mergeCell ref="A12:A13"/>
    <mergeCell ref="M12:M13"/>
    <mergeCell ref="Y12:Y13"/>
    <mergeCell ref="AK12:AK13"/>
    <mergeCell ref="BJ17:BS17"/>
    <mergeCell ref="A20:L20"/>
    <mergeCell ref="A1:BH1"/>
    <mergeCell ref="A2:L2"/>
    <mergeCell ref="BJ2:BS2"/>
    <mergeCell ref="A4:A5"/>
    <mergeCell ref="M4:M5"/>
    <mergeCell ref="Y4:Y5"/>
    <mergeCell ref="AK4:AK5"/>
    <mergeCell ref="AW4:AW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CASLA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Damian Verdi</dc:creator>
  <cp:lastModifiedBy>Ignacio Damian Verdi</cp:lastModifiedBy>
  <dcterms:created xsi:type="dcterms:W3CDTF">2026-05-31T01:27:01Z</dcterms:created>
  <dcterms:modified xsi:type="dcterms:W3CDTF">2026-05-31T01:28:21Z</dcterms:modified>
</cp:coreProperties>
</file>