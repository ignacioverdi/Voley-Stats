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4C854F1C-6DFB-419B-85FC-EB9C3E485562}" xr6:coauthVersionLast="47" xr6:coauthVersionMax="47" xr10:uidLastSave="{00000000-0000-0000-0000-000000000000}"/>
  <bookViews>
    <workbookView xWindow="-108" yWindow="-108" windowWidth="23256" windowHeight="13896" tabRatio="500" activeTab="4" xr2:uid="{00000000-000D-0000-FFFF-FFFF00000000}"/>
  </bookViews>
  <sheets>
    <sheet name="EQUIPO" sheetId="1" r:id="rId1"/>
    <sheet name="GUIA" sheetId="12" r:id="rId2"/>
    <sheet name="CARGA" sheetId="3" r:id="rId3"/>
    <sheet name="BASE DE DATOS" sheetId="4" r:id="rId4"/>
    <sheet name="RESUMEN" sheetId="6" r:id="rId5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7" i="12" l="1"/>
  <c r="B118" i="12"/>
  <c r="D203" i="3"/>
  <c r="C203" i="3"/>
  <c r="D202" i="3"/>
  <c r="C202" i="3"/>
  <c r="D201" i="3"/>
  <c r="C201" i="3"/>
  <c r="D200" i="3"/>
  <c r="C200" i="3"/>
  <c r="D199" i="3"/>
  <c r="C199" i="3"/>
  <c r="D198" i="3"/>
  <c r="C198" i="3"/>
  <c r="D197" i="3"/>
  <c r="C197" i="3"/>
  <c r="D196" i="3"/>
  <c r="C196" i="3"/>
  <c r="D195" i="3"/>
  <c r="C195" i="3"/>
  <c r="D194" i="3"/>
  <c r="C194" i="3"/>
  <c r="D193" i="3"/>
  <c r="C193" i="3"/>
  <c r="D192" i="3"/>
  <c r="C192" i="3"/>
  <c r="D191" i="3"/>
  <c r="C191" i="3"/>
  <c r="D190" i="3"/>
  <c r="C190" i="3"/>
  <c r="D189" i="3"/>
  <c r="C189" i="3"/>
  <c r="D188" i="3"/>
  <c r="C188" i="3"/>
  <c r="D187" i="3"/>
  <c r="C187" i="3"/>
  <c r="D186" i="3"/>
  <c r="C186" i="3"/>
  <c r="D185" i="3"/>
  <c r="C185" i="3"/>
  <c r="D184" i="3"/>
  <c r="C184" i="3"/>
  <c r="D183" i="3"/>
  <c r="C183" i="3"/>
  <c r="D182" i="3"/>
  <c r="C182" i="3"/>
  <c r="D181" i="3"/>
  <c r="C181" i="3"/>
  <c r="D180" i="3"/>
  <c r="C180" i="3"/>
  <c r="D179" i="3"/>
  <c r="C179" i="3"/>
  <c r="D178" i="3"/>
  <c r="C178" i="3"/>
  <c r="D177" i="3"/>
  <c r="C177" i="3"/>
  <c r="D176" i="3"/>
  <c r="C176" i="3"/>
  <c r="D175" i="3"/>
  <c r="C175" i="3"/>
  <c r="D174" i="3"/>
  <c r="C174" i="3"/>
  <c r="D173" i="3"/>
  <c r="C173" i="3"/>
  <c r="D172" i="3"/>
  <c r="C172" i="3"/>
  <c r="D171" i="3"/>
  <c r="C171" i="3"/>
  <c r="D170" i="3"/>
  <c r="C170" i="3"/>
  <c r="D169" i="3"/>
  <c r="C169" i="3"/>
  <c r="D168" i="3"/>
  <c r="C168" i="3"/>
  <c r="D167" i="3"/>
  <c r="C167" i="3"/>
  <c r="D166" i="3"/>
  <c r="C166" i="3"/>
  <c r="D165" i="3"/>
  <c r="C165" i="3"/>
  <c r="D164" i="3"/>
  <c r="C164" i="3"/>
  <c r="D163" i="3"/>
  <c r="C163" i="3"/>
  <c r="D162" i="3"/>
  <c r="C162" i="3"/>
  <c r="D161" i="3"/>
  <c r="C161" i="3"/>
  <c r="D160" i="3"/>
  <c r="C160" i="3"/>
  <c r="D159" i="3"/>
  <c r="C159" i="3"/>
  <c r="D158" i="3"/>
  <c r="C158" i="3"/>
  <c r="D157" i="3"/>
  <c r="C157" i="3"/>
  <c r="D156" i="3"/>
  <c r="C156" i="3"/>
  <c r="D155" i="3"/>
  <c r="C155" i="3"/>
  <c r="D154" i="3"/>
  <c r="C154" i="3"/>
  <c r="D153" i="3"/>
  <c r="C153" i="3"/>
  <c r="D152" i="3"/>
  <c r="C152" i="3"/>
  <c r="D151" i="3"/>
  <c r="C151" i="3"/>
  <c r="D150" i="3"/>
  <c r="C150" i="3"/>
  <c r="D149" i="3"/>
  <c r="C149" i="3"/>
  <c r="D148" i="3"/>
  <c r="C148" i="3"/>
  <c r="D147" i="3"/>
  <c r="C147" i="3"/>
  <c r="D146" i="3"/>
  <c r="C146" i="3"/>
  <c r="D145" i="3"/>
  <c r="C145" i="3"/>
  <c r="D144" i="3"/>
  <c r="C144" i="3"/>
  <c r="D143" i="3"/>
  <c r="C143" i="3"/>
  <c r="D142" i="3"/>
  <c r="C142" i="3"/>
  <c r="D141" i="3"/>
  <c r="C141" i="3"/>
  <c r="D140" i="3"/>
  <c r="C140" i="3"/>
  <c r="D139" i="3"/>
  <c r="C139" i="3"/>
  <c r="D138" i="3"/>
  <c r="C138" i="3"/>
  <c r="D137" i="3"/>
  <c r="C137" i="3"/>
  <c r="D136" i="3"/>
  <c r="C136" i="3"/>
  <c r="D135" i="3"/>
  <c r="C135" i="3"/>
  <c r="D134" i="3"/>
  <c r="C134" i="3"/>
  <c r="D133" i="3"/>
  <c r="C133" i="3"/>
  <c r="D132" i="3"/>
  <c r="C132" i="3"/>
  <c r="D131" i="3"/>
  <c r="C131" i="3"/>
  <c r="D130" i="3"/>
  <c r="C130" i="3"/>
  <c r="D129" i="3"/>
  <c r="C129" i="3"/>
  <c r="D128" i="3"/>
  <c r="C128" i="3"/>
  <c r="D127" i="3"/>
  <c r="C127" i="3"/>
  <c r="D126" i="3"/>
  <c r="C126" i="3"/>
  <c r="D125" i="3"/>
  <c r="C125" i="3"/>
  <c r="D124" i="3"/>
  <c r="C124" i="3"/>
  <c r="D123" i="3"/>
  <c r="C123" i="3"/>
  <c r="D122" i="3"/>
  <c r="C122" i="3"/>
  <c r="D121" i="3"/>
  <c r="C121" i="3"/>
  <c r="D120" i="3"/>
  <c r="C120" i="3"/>
  <c r="D119" i="3"/>
  <c r="C119" i="3"/>
  <c r="D118" i="3"/>
  <c r="C118" i="3"/>
  <c r="D117" i="3"/>
  <c r="C117" i="3"/>
  <c r="D116" i="3"/>
  <c r="C116" i="3"/>
  <c r="D115" i="3"/>
  <c r="C115" i="3"/>
  <c r="D114" i="3"/>
  <c r="C114" i="3"/>
  <c r="D113" i="3"/>
  <c r="C113" i="3"/>
  <c r="D112" i="3"/>
  <c r="C112" i="3"/>
  <c r="D111" i="3"/>
  <c r="C111" i="3"/>
  <c r="D110" i="3"/>
  <c r="C110" i="3"/>
  <c r="D109" i="3"/>
  <c r="C109" i="3"/>
  <c r="D108" i="3"/>
  <c r="C108" i="3"/>
  <c r="D107" i="3"/>
  <c r="C107" i="3"/>
  <c r="D106" i="3"/>
  <c r="C106" i="3"/>
  <c r="D105" i="3"/>
  <c r="C105" i="3"/>
  <c r="D104" i="3"/>
  <c r="C104" i="3"/>
  <c r="D103" i="3"/>
  <c r="C103" i="3"/>
  <c r="D102" i="3"/>
  <c r="C102" i="3"/>
  <c r="D101" i="3"/>
  <c r="C101" i="3"/>
  <c r="D100" i="3"/>
  <c r="C100" i="3"/>
  <c r="D99" i="3"/>
  <c r="C99" i="3"/>
  <c r="D98" i="3"/>
  <c r="C98" i="3"/>
  <c r="D97" i="3"/>
  <c r="C97" i="3"/>
  <c r="D96" i="3"/>
  <c r="C96" i="3"/>
  <c r="D95" i="3"/>
  <c r="C95" i="3"/>
  <c r="D94" i="3"/>
  <c r="C94" i="3"/>
  <c r="D93" i="3"/>
  <c r="C93" i="3"/>
  <c r="D92" i="3"/>
  <c r="C92" i="3"/>
  <c r="D91" i="3"/>
  <c r="C91" i="3"/>
  <c r="D90" i="3"/>
  <c r="C90" i="3"/>
  <c r="D89" i="3"/>
  <c r="C89" i="3"/>
  <c r="D88" i="3"/>
  <c r="C88" i="3"/>
  <c r="D87" i="3"/>
  <c r="C87" i="3"/>
  <c r="D86" i="3"/>
  <c r="C86" i="3"/>
  <c r="D85" i="3"/>
  <c r="C85" i="3"/>
  <c r="D84" i="3"/>
  <c r="C84" i="3"/>
  <c r="D83" i="3"/>
  <c r="C83" i="3"/>
  <c r="D82" i="3"/>
  <c r="C82" i="3"/>
  <c r="D81" i="3"/>
  <c r="C81" i="3"/>
  <c r="D80" i="3"/>
  <c r="C80" i="3"/>
  <c r="D79" i="3"/>
  <c r="C79" i="3"/>
  <c r="D78" i="3"/>
  <c r="C78" i="3"/>
  <c r="D77" i="3"/>
  <c r="C77" i="3"/>
  <c r="D76" i="3"/>
  <c r="C76" i="3"/>
  <c r="D75" i="3"/>
  <c r="C75" i="3"/>
  <c r="D74" i="3"/>
  <c r="C74" i="3"/>
  <c r="D73" i="3"/>
  <c r="C73" i="3"/>
  <c r="D72" i="3"/>
  <c r="C72" i="3"/>
  <c r="D71" i="3"/>
  <c r="C71" i="3"/>
  <c r="D70" i="3"/>
  <c r="C70" i="3"/>
  <c r="D69" i="3"/>
  <c r="C69" i="3"/>
  <c r="D68" i="3"/>
  <c r="C68" i="3"/>
  <c r="D67" i="3"/>
  <c r="C67" i="3"/>
  <c r="D66" i="3"/>
  <c r="C66" i="3"/>
  <c r="D65" i="3"/>
  <c r="C65" i="3"/>
  <c r="D64" i="3"/>
  <c r="C64" i="3"/>
  <c r="D63" i="3"/>
  <c r="C63" i="3"/>
  <c r="D62" i="3"/>
  <c r="C62" i="3"/>
  <c r="D61" i="3"/>
  <c r="C61" i="3"/>
  <c r="D60" i="3"/>
  <c r="C60" i="3"/>
  <c r="D59" i="3"/>
  <c r="C59" i="3"/>
  <c r="D58" i="3"/>
  <c r="C58" i="3"/>
  <c r="D57" i="3"/>
  <c r="C57" i="3"/>
  <c r="D56" i="3"/>
  <c r="C56" i="3"/>
  <c r="D55" i="3"/>
  <c r="C55" i="3"/>
  <c r="D54" i="3"/>
  <c r="C54" i="3"/>
  <c r="D53" i="3"/>
  <c r="C53" i="3"/>
  <c r="D52" i="3"/>
  <c r="C52" i="3"/>
  <c r="D51" i="3"/>
  <c r="C51" i="3"/>
  <c r="D50" i="3"/>
  <c r="C50" i="3"/>
  <c r="D49" i="3"/>
  <c r="C49" i="3"/>
  <c r="D48" i="3"/>
  <c r="C48" i="3"/>
  <c r="D47" i="3"/>
  <c r="C47" i="3"/>
  <c r="D46" i="3"/>
  <c r="C46" i="3"/>
  <c r="D45" i="3"/>
  <c r="C45" i="3"/>
  <c r="D44" i="3"/>
  <c r="C44" i="3"/>
  <c r="D43" i="3"/>
  <c r="C43" i="3"/>
  <c r="D42" i="3"/>
  <c r="C42" i="3"/>
  <c r="D41" i="3"/>
  <c r="C41" i="3"/>
  <c r="D40" i="3"/>
  <c r="C40" i="3"/>
  <c r="D39" i="3"/>
  <c r="C39" i="3"/>
  <c r="D38" i="3"/>
  <c r="C38" i="3"/>
  <c r="D37" i="3"/>
  <c r="C37" i="3"/>
  <c r="D36" i="3"/>
  <c r="C36" i="3"/>
  <c r="D35" i="3"/>
  <c r="C35" i="3"/>
  <c r="D34" i="3"/>
  <c r="C34" i="3"/>
  <c r="D33" i="3"/>
  <c r="C33" i="3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5" i="3"/>
  <c r="C25" i="3"/>
  <c r="D24" i="3"/>
  <c r="C24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4" i="3"/>
  <c r="C14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4" i="3"/>
  <c r="C4" i="3"/>
</calcChain>
</file>

<file path=xl/sharedStrings.xml><?xml version="1.0" encoding="utf-8"?>
<sst xmlns="http://schemas.openxmlformats.org/spreadsheetml/2006/main" count="1879" uniqueCount="488">
  <si>
    <t>LISTA DEL EQUIPO</t>
  </si>
  <si>
    <t>Editá esta hoja para agregar, quitar o modificar jugadores. El resto del sistema se actualiza solo.</t>
  </si>
  <si>
    <t>CAMISETA</t>
  </si>
  <si>
    <t>NOMBRE</t>
  </si>
  <si>
    <t>ACTIVO</t>
  </si>
  <si>
    <t>NOTAS</t>
  </si>
  <si>
    <t>OJUEZ</t>
  </si>
  <si>
    <t>SI</t>
  </si>
  <si>
    <t>WINER</t>
  </si>
  <si>
    <t>VAZQUEZ</t>
  </si>
  <si>
    <t>RAMOS</t>
  </si>
  <si>
    <t>VILLARRUEL</t>
  </si>
  <si>
    <t>GODOY</t>
  </si>
  <si>
    <t>VIERA</t>
  </si>
  <si>
    <t>DURDOS</t>
  </si>
  <si>
    <t>ZANOTTI</t>
  </si>
  <si>
    <t>ROJAS CARUSO</t>
  </si>
  <si>
    <t>NIELSON</t>
  </si>
  <si>
    <t>ROTEZZI</t>
  </si>
  <si>
    <t>HERBSOMMER</t>
  </si>
  <si>
    <t>ACOSTA</t>
  </si>
  <si>
    <t>DIAZ BOLLI</t>
  </si>
  <si>
    <t>FREDDIE</t>
  </si>
  <si>
    <t>NO</t>
  </si>
  <si>
    <t>Maquina de saque — activar en Septiembre</t>
  </si>
  <si>
    <t>sm</t>
  </si>
  <si>
    <t>Flotado</t>
  </si>
  <si>
    <t>sq</t>
  </si>
  <si>
    <t>Potencia</t>
  </si>
  <si>
    <t>sf</t>
  </si>
  <si>
    <t>Alta</t>
  </si>
  <si>
    <t>Central</t>
  </si>
  <si>
    <t>1</t>
  </si>
  <si>
    <t>#</t>
  </si>
  <si>
    <t>b61</t>
  </si>
  <si>
    <t>2</t>
  </si>
  <si>
    <t>+</t>
  </si>
  <si>
    <t>4</t>
  </si>
  <si>
    <t>-</t>
  </si>
  <si>
    <t>6</t>
  </si>
  <si>
    <t>=</t>
  </si>
  <si>
    <t>3</t>
  </si>
  <si>
    <t>!</t>
  </si>
  <si>
    <t>5</t>
  </si>
  <si>
    <t>/</t>
  </si>
  <si>
    <t>CARGA DE DATOS EN VIVO</t>
  </si>
  <si>
    <t>Escribi el código en la columna CODIGO y presioná Enter. Seguí con la siguiente acción.</t>
  </si>
  <si>
    <t>CODIGO</t>
  </si>
  <si>
    <t>ESTADO</t>
  </si>
  <si>
    <t>HORA</t>
  </si>
  <si>
    <t>BASE DE DATOS — MOTOR DE ESTADISTICAS</t>
  </si>
  <si>
    <t>CAM</t>
  </si>
  <si>
    <t>JUGADOR</t>
  </si>
  <si>
    <t>FUND.</t>
  </si>
  <si>
    <t>TIPO</t>
  </si>
  <si>
    <t>TOTAL</t>
  </si>
  <si>
    <t>R</t>
  </si>
  <si>
    <t>M</t>
  </si>
  <si>
    <t>Q</t>
  </si>
  <si>
    <t>F</t>
  </si>
  <si>
    <t>S</t>
  </si>
  <si>
    <t>A</t>
  </si>
  <si>
    <t>X</t>
  </si>
  <si>
    <t>X-T</t>
  </si>
  <si>
    <t>V</t>
  </si>
  <si>
    <t>V-T</t>
  </si>
  <si>
    <t>C</t>
  </si>
  <si>
    <t>C-T</t>
  </si>
  <si>
    <t>TOTAL-T</t>
  </si>
  <si>
    <t>B</t>
  </si>
  <si>
    <t>TOTALES DEL EQUIPO</t>
  </si>
  <si>
    <t>TEAM</t>
  </si>
  <si>
    <t>R Flotado</t>
  </si>
  <si>
    <t>R Potencia</t>
  </si>
  <si>
    <t>R Freddie</t>
  </si>
  <si>
    <t>R Total</t>
  </si>
  <si>
    <t>S Flotado</t>
  </si>
  <si>
    <t>S Potencia</t>
  </si>
  <si>
    <t>S Freddie</t>
  </si>
  <si>
    <t>S Total</t>
  </si>
  <si>
    <t>A Rapida</t>
  </si>
  <si>
    <t>A Rapida Toque</t>
  </si>
  <si>
    <t>A Alta</t>
  </si>
  <si>
    <t>A Alta Toque</t>
  </si>
  <si>
    <t>A Central</t>
  </si>
  <si>
    <t>A Central Toque</t>
  </si>
  <si>
    <t>A Total</t>
  </si>
  <si>
    <t>A Total Toque</t>
  </si>
  <si>
    <t>B Total</t>
  </si>
  <si>
    <t>El saque no generó ventaja</t>
  </si>
  <si>
    <t>El saque generó una vendida</t>
  </si>
  <si>
    <t>El saque fue punto directo</t>
  </si>
  <si>
    <t>Bloqueo</t>
  </si>
  <si>
    <t>El saque complicó la recepción</t>
  </si>
  <si>
    <t>Rápida</t>
  </si>
  <si>
    <t>Error directo de saque del 14 — no necesita recepción</t>
  </si>
  <si>
    <t>RESUMEN GENERAL DE PERFORMANCE INDIVIDUAL</t>
  </si>
  <si>
    <t>Actualiza automaticamente con cada codigo ingresado en CARGA</t>
  </si>
  <si>
    <t>S A Q U E</t>
  </si>
  <si>
    <t>R E C E P C I O N</t>
  </si>
  <si>
    <t>A T A Q U E</t>
  </si>
  <si>
    <t>B L O Q U E O</t>
  </si>
  <si>
    <t>Total</t>
  </si>
  <si>
    <t># %</t>
  </si>
  <si>
    <t>+ %</t>
  </si>
  <si>
    <t>/ %</t>
  </si>
  <si>
    <t>! %</t>
  </si>
  <si>
    <t>- %</t>
  </si>
  <si>
    <t>= %</t>
  </si>
  <si>
    <t>TCQ</t>
  </si>
  <si>
    <t>T</t>
  </si>
  <si>
    <t>TOTALES EQUIPO</t>
  </si>
  <si>
    <t>ax14u</t>
  </si>
  <si>
    <t>X1</t>
  </si>
  <si>
    <t>G4</t>
  </si>
  <si>
    <t>W4</t>
  </si>
  <si>
    <t>CB</t>
  </si>
  <si>
    <t>V5</t>
  </si>
  <si>
    <t>W2</t>
  </si>
  <si>
    <t>J1</t>
  </si>
  <si>
    <t>XM</t>
  </si>
  <si>
    <t>G2</t>
  </si>
  <si>
    <t>Y8</t>
  </si>
  <si>
    <t>C5</t>
  </si>
  <si>
    <t>J4</t>
  </si>
  <si>
    <t>CASL Voley — Sistema de Stats v2 — caslavoley.netlify.app</t>
  </si>
  <si>
    <t>⑧ Formato viejo (ax14u) sigue siendo compatible — el sistema lo detecta automáticamente.</t>
  </si>
  <si>
    <t>⑦ Múltiples acciones en la misma jugada se separan con coma: sm1415,rm14u,aX114u7</t>
  </si>
  <si>
    <t>⑥ Error directo de saque: reemplazar zona destino por 'k'. Ej: sm14k.</t>
  </si>
  <si>
    <t>⑤ El toque (t) va ANTES de la zona de destino: aX114ut7 — solo válido cuando val=u(#).</t>
  </si>
  <si>
    <t>④ La zona de origen del ataque se DEDUCE automáticamente del código DV4 — no se tipea.</t>
  </si>
  <si>
    <t>③ La zona de destino del ataque (1-9) es el ÚLTIMO dígito del código completo.</t>
  </si>
  <si>
    <t>② El código DV4 de 2 letras va ENTRE la 'a' y la camiseta: aX114u7 (X1=DV4, 14=camiseta, u=val, 7=destino).</t>
  </si>
  <si>
    <t>① El saque NO necesita valoración — se calcula automáticamente desde la recepción siguiente.</t>
  </si>
  <si>
    <t>⑩ REGLAS DE ORO</t>
  </si>
  <si>
    <t>Sigue siendo válido</t>
  </si>
  <si>
    <t>14 ataca rápida, punto (formato viejo sin DV4)</t>
  </si>
  <si>
    <t>Compatible formato anterior</t>
  </si>
  <si>
    <t>Bloqueo punto directo del 6 (formato viejo con número)</t>
  </si>
  <si>
    <t>Rápida desde posición 8</t>
  </si>
  <si>
    <t>14 ataca XB (rápida, origen zona 8), punto a zona 1</t>
  </si>
  <si>
    <t>aXB14u1</t>
  </si>
  <si>
    <t>Alta desde posición 2</t>
  </si>
  <si>
    <t>14 ataca G2 (alta, origen zona 2), positivo, a zona 7</t>
  </si>
  <si>
    <t>aG214i7</t>
  </si>
  <si>
    <t>Solo código DV4 + destino</t>
  </si>
  <si>
    <t>14 ataca combinación CB, punto a zona 4 — origen zona 3 (central)</t>
  </si>
  <si>
    <t>aCB14u4</t>
  </si>
  <si>
    <t>Ataque + bloqueo juntos</t>
  </si>
  <si>
    <t>14 ataca W4 punto a zona 7 — bloqueo punto del 6 en misma jugada</t>
  </si>
  <si>
    <t>aW414u7,b6u</t>
  </si>
  <si>
    <t>k = error directo</t>
  </si>
  <si>
    <t>sm14k</t>
  </si>
  <si>
    <t>DV4 alta con destino</t>
  </si>
  <si>
    <t>6 saca potencia (z6→9) — 9 recibe positiva (saque=pos auto) — 14 ataca G4 punto a zona 3</t>
  </si>
  <si>
    <t>sq629,rm9i,aG414u3</t>
  </si>
  <si>
    <t>Toque = agregar 't' antes del destino</t>
  </si>
  <si>
    <t>Igual pero el ataque X1 fue PUNTO DE TOQUE a zona 7</t>
  </si>
  <si>
    <t>sm1415,rm14u,aX114ut7</t>
  </si>
  <si>
    <t>Acción completa con DV4 y zona destino</t>
  </si>
  <si>
    <t>14 saca flotado (zona1→5) — 14 recibe perfecta (saque=neg auto) — 14 ataca X1 punto a zona 7</t>
  </si>
  <si>
    <t>sm1415,rm14u,aX114u7</t>
  </si>
  <si>
    <t>DESCRIPCIÓN COMPLETA</t>
  </si>
  <si>
    <t>CÓDIGO</t>
  </si>
  <si>
    <t>⑨ EJEMPLOS DE ACCIONES COMPLETAS</t>
  </si>
  <si>
    <t>Sin eff única</t>
  </si>
  <si>
    <t>Total puntos y porcentaje positivo</t>
  </si>
  <si>
    <t># directos + % de (# + +)</t>
  </si>
  <si>
    <t>% eficiencia</t>
  </si>
  <si>
    <t>Puntos menos vendidas y errores</t>
  </si>
  <si>
    <t>(# − / − =) / Total × 100</t>
  </si>
  <si>
    <t>Ataque</t>
  </si>
  <si>
    <t>Pondera perfecta, positiva y errores</t>
  </si>
  <si>
    <t>(1×# + 0.5×+ − 0.5×/ − 1×=) / Total × 100</t>
  </si>
  <si>
    <t>Recepción</t>
  </si>
  <si>
    <t>Pondera punto, vendida, positivo y error</t>
  </si>
  <si>
    <t>(1×# + 0.5×/ + 0.25×+ − 1×=) / Total × 100</t>
  </si>
  <si>
    <t>Saque</t>
  </si>
  <si>
    <t>RESULTADO</t>
  </si>
  <si>
    <t>DESCRIPCIÓN</t>
  </si>
  <si>
    <t>FÓRMULA</t>
  </si>
  <si>
    <t>FUNDAMENTO</t>
  </si>
  <si>
    <t>⑧ FÓRMULAS DE EFICIENCIA</t>
  </si>
  <si>
    <t>5 | 6 | 1  (fondo)</t>
  </si>
  <si>
    <t>7 | 8 | 9  (medio)</t>
  </si>
  <si>
    <t>4 | 3 | 2  (frente — red)</t>
  </si>
  <si>
    <t>DIAGRAMA:</t>
  </si>
  <si>
    <t>Zona de destino del ataque / origen ALT/RAP</t>
  </si>
  <si>
    <t>Zona de destino del saque</t>
  </si>
  <si>
    <t>Medio derecha</t>
  </si>
  <si>
    <t>9</t>
  </si>
  <si>
    <t>Medio centro</t>
  </si>
  <si>
    <t>8</t>
  </si>
  <si>
    <t>Zona de destino del ataque</t>
  </si>
  <si>
    <t>Medio izquierda</t>
  </si>
  <si>
    <t>7</t>
  </si>
  <si>
    <t>Fondo centro</t>
  </si>
  <si>
    <t>Fondo izquierda</t>
  </si>
  <si>
    <t>Frente izquierda (junto a la red)</t>
  </si>
  <si>
    <t>Zona de destino del ataque / origen CENTRAL</t>
  </si>
  <si>
    <t>Frente centro (junto a la red)</t>
  </si>
  <si>
    <t>Frente derecha (junto a la red)</t>
  </si>
  <si>
    <t>Fondo derecha</t>
  </si>
  <si>
    <t>USO EN ATAQUE</t>
  </si>
  <si>
    <t>USO EN SAQUE</t>
  </si>
  <si>
    <t>POSICIÓN EN CANCHA</t>
  </si>
  <si>
    <t>ZONA</t>
  </si>
  <si>
    <t>⑦ MAPA DE ZONAS — Cancha rival (9 zonas)</t>
  </si>
  <si>
    <t>Solo son válidas las valoraciones u(#), i(+), o(-), k(=). Las letras p(!) y j(/) no aplican en bloqueo.</t>
  </si>
  <si>
    <t>b6k</t>
  </si>
  <si>
    <t>Punto del rival por nuestro bloqueo</t>
  </si>
  <si>
    <t>b6o</t>
  </si>
  <si>
    <t>El rival usa nuestro bloqueo</t>
  </si>
  <si>
    <t>- (o) — Negativo</t>
  </si>
  <si>
    <t>b6i</t>
  </si>
  <si>
    <t>Bloqueo favorable, no llega a punto</t>
  </si>
  <si>
    <t>+ (i) — Positivo</t>
  </si>
  <si>
    <t>b6u</t>
  </si>
  <si>
    <t>Bloqueo termina en punto directo</t>
  </si>
  <si>
    <t># (u) — Punto</t>
  </si>
  <si>
    <t>EJEMPLO</t>
  </si>
  <si>
    <t>VALORACIÓN</t>
  </si>
  <si>
    <t>⑥ BLOQUEO — b + camiseta + valoración</t>
  </si>
  <si>
    <t>ZONA DE ORIGEN: se deduce automáticamente del código DV4. Central=zona3, resto varía (ver tabla).</t>
  </si>
  <si>
    <t>ZONA DE DESTINO (1-9): último dígito del código. Cancha rival dividida en 9 zonas: 4|3|2 / 7|8|9 / 5|6|1</t>
  </si>
  <si>
    <t>Sin origen → Zona 5</t>
  </si>
  <si>
    <t>aC014u5</t>
  </si>
  <si>
    <t>Rápida C0 (sin zona origen)</t>
  </si>
  <si>
    <t>C0</t>
  </si>
  <si>
    <t>Sin origen → Zona 9</t>
  </si>
  <si>
    <t>aXT14u9</t>
  </si>
  <si>
    <t>Rápida XT (sin zona origen)</t>
  </si>
  <si>
    <t>XT</t>
  </si>
  <si>
    <t>Sin origen → Zona 3</t>
  </si>
  <si>
    <t>aPP14u3</t>
  </si>
  <si>
    <t>Rápida PP (sin zona origen)</t>
  </si>
  <si>
    <t>PP</t>
  </si>
  <si>
    <t>Sin origen → Zona 1</t>
  </si>
  <si>
    <t>aJJ14u1</t>
  </si>
  <si>
    <t>Rápida JJ (sin zona origen)</t>
  </si>
  <si>
    <t>JJ</t>
  </si>
  <si>
    <t>Sin origen → Zona 7</t>
  </si>
  <si>
    <t>aPR14u7</t>
  </si>
  <si>
    <t>Rápida PR (sin zona origen)</t>
  </si>
  <si>
    <t>PR</t>
  </si>
  <si>
    <t>Zona 9 → Zona 5</t>
  </si>
  <si>
    <t>aG914u5</t>
  </si>
  <si>
    <t>Rápida G9 (origen zona 9)</t>
  </si>
  <si>
    <t>G9</t>
  </si>
  <si>
    <t>Zona 9 → Zona 3</t>
  </si>
  <si>
    <t>aY914u3</t>
  </si>
  <si>
    <t>Rápida Y9 (origen zona 9)</t>
  </si>
  <si>
    <t>Y9</t>
  </si>
  <si>
    <t>Zona 9 → Zona 1</t>
  </si>
  <si>
    <t>aC814u1</t>
  </si>
  <si>
    <t>Rápida C8 (origen zona 9)</t>
  </si>
  <si>
    <t>C8</t>
  </si>
  <si>
    <t>Zona 9 → Zona 7</t>
  </si>
  <si>
    <t>aX814u7</t>
  </si>
  <si>
    <t>Rápida X8 (origen zona 9)</t>
  </si>
  <si>
    <t>X8</t>
  </si>
  <si>
    <t>Zona 8 → Zona 3</t>
  </si>
  <si>
    <t>aY814u3</t>
  </si>
  <si>
    <t>Rápida Y8 (origen zona 8)</t>
  </si>
  <si>
    <t>Zona 8 → Zona 9</t>
  </si>
  <si>
    <t>aXR14u9</t>
  </si>
  <si>
    <t>Rápida XR (origen zona 8)</t>
  </si>
  <si>
    <t>XR</t>
  </si>
  <si>
    <t>Zona 8 → Zona 1</t>
  </si>
  <si>
    <t>aXP14u1</t>
  </si>
  <si>
    <t>Rápida XP (origen zona 8)</t>
  </si>
  <si>
    <t>XP</t>
  </si>
  <si>
    <t>Zona 8 → Zona 7</t>
  </si>
  <si>
    <t>aXB14u7</t>
  </si>
  <si>
    <t>Rápida XB (origen zona 8)</t>
  </si>
  <si>
    <t>XB</t>
  </si>
  <si>
    <t>Zona 2 → Zona 9</t>
  </si>
  <si>
    <t>aX414u9</t>
  </si>
  <si>
    <t>Rápida X4 (origen zona 2)</t>
  </si>
  <si>
    <t>X4</t>
  </si>
  <si>
    <t>Zona 2 → Zona 5</t>
  </si>
  <si>
    <t>aX314u5</t>
  </si>
  <si>
    <t>Rápida X3 (origen zona 2)</t>
  </si>
  <si>
    <t>X3</t>
  </si>
  <si>
    <t>Zona 2 → Zona 3</t>
  </si>
  <si>
    <t>aC614u3</t>
  </si>
  <si>
    <t>Rápida C6 (origen zona 2)</t>
  </si>
  <si>
    <t>C6</t>
  </si>
  <si>
    <t>Zona 2 → Zona 7</t>
  </si>
  <si>
    <t>aX614u7</t>
  </si>
  <si>
    <t>Rápida X6 (origen zona 2)</t>
  </si>
  <si>
    <t>X6</t>
  </si>
  <si>
    <t>Zona 2 → Zona 1</t>
  </si>
  <si>
    <t>aW214u1</t>
  </si>
  <si>
    <t>Rápida W2 (origen zona 2)</t>
  </si>
  <si>
    <t>Zona 4 → Zona 7</t>
  </si>
  <si>
    <t>aX214u7</t>
  </si>
  <si>
    <t>Rápida X2 (origen zona 4)</t>
  </si>
  <si>
    <t>X2</t>
  </si>
  <si>
    <t>Zona 4 → Zona 5</t>
  </si>
  <si>
    <t>aX914u5</t>
  </si>
  <si>
    <t>Rápida X9 (origen zona 4)</t>
  </si>
  <si>
    <t>X9</t>
  </si>
  <si>
    <t>Zona 4 → Zona 9</t>
  </si>
  <si>
    <t>aC514u9</t>
  </si>
  <si>
    <t>Rápida C5 (origen zona 4)</t>
  </si>
  <si>
    <t>Zona 4 → Zona 3</t>
  </si>
  <si>
    <t>aX014u3</t>
  </si>
  <si>
    <t>Rápida X0 (origen zona 4)</t>
  </si>
  <si>
    <t>X0</t>
  </si>
  <si>
    <t>Zona 4 → Zona 1</t>
  </si>
  <si>
    <t>aX514u1</t>
  </si>
  <si>
    <t>Rápida X5 (origen zona 4)</t>
  </si>
  <si>
    <t>X5</t>
  </si>
  <si>
    <t>aW414u7</t>
  </si>
  <si>
    <t>Rápida W4 (origen zona 4)</t>
  </si>
  <si>
    <t>ORIGEN → DESTINO</t>
  </si>
  <si>
    <t>EJEMPLO COMPLETO</t>
  </si>
  <si>
    <t>CÓDIGO DV4</t>
  </si>
  <si>
    <t>RÁPIDA (X) — zona de origen varía por código</t>
  </si>
  <si>
    <t>aV314u3</t>
  </si>
  <si>
    <t>Alta 3 (origen zona 2)</t>
  </si>
  <si>
    <t>V3</t>
  </si>
  <si>
    <t>aV814u1</t>
  </si>
  <si>
    <t>Alta 8 (origen zona 9)</t>
  </si>
  <si>
    <t>V8</t>
  </si>
  <si>
    <t>aG914u7</t>
  </si>
  <si>
    <t>Alta zona 9 (origen zona 9)</t>
  </si>
  <si>
    <t>aVR14u9</t>
  </si>
  <si>
    <t>Alta R (origen zona 8)</t>
  </si>
  <si>
    <t>VR</t>
  </si>
  <si>
    <t>aVP14u1</t>
  </si>
  <si>
    <t>Alta P (origen zona 8)</t>
  </si>
  <si>
    <t>VP</t>
  </si>
  <si>
    <t>aVB14u7</t>
  </si>
  <si>
    <t>Alta B (origen zona 8)</t>
  </si>
  <si>
    <t>VB</t>
  </si>
  <si>
    <t>Zona 8 → Zona 2</t>
  </si>
  <si>
    <t>aG814u2</t>
  </si>
  <si>
    <t>Alta zona 8 (origen zona 8)</t>
  </si>
  <si>
    <t>G8</t>
  </si>
  <si>
    <t>aX414u5</t>
  </si>
  <si>
    <t>Alta 4 (origen zona 2)</t>
  </si>
  <si>
    <t>aX314u3</t>
  </si>
  <si>
    <t>aV214u9</t>
  </si>
  <si>
    <t>Alta 2 (origen zona 2)</t>
  </si>
  <si>
    <t>V2</t>
  </si>
  <si>
    <t>aV614u1</t>
  </si>
  <si>
    <t>Alta zona 6 (origen zona 2)</t>
  </si>
  <si>
    <t>V6</t>
  </si>
  <si>
    <t>aG214u7</t>
  </si>
  <si>
    <t>Alta zona 2 (origen zona 2)</t>
  </si>
  <si>
    <t>aV414u5</t>
  </si>
  <si>
    <t>Alta 4 (origen zona 4)</t>
  </si>
  <si>
    <t>V4</t>
  </si>
  <si>
    <t>aV014u3</t>
  </si>
  <si>
    <t>Alta zona 0 (origen zona 4)</t>
  </si>
  <si>
    <t>V0</t>
  </si>
  <si>
    <t>aV514u1</t>
  </si>
  <si>
    <t>Alta zona 5 (origen zona 4)</t>
  </si>
  <si>
    <t>aG414u7</t>
  </si>
  <si>
    <t>Alta zona 4 (origen zona 4)</t>
  </si>
  <si>
    <t>ALTA (V) — zona de origen varía por código</t>
  </si>
  <si>
    <t>Zona 3 → Zona 9</t>
  </si>
  <si>
    <t>aJ514u9</t>
  </si>
  <si>
    <t>Japón 5</t>
  </si>
  <si>
    <t>J5</t>
  </si>
  <si>
    <t>Zona 3 → Zona 5</t>
  </si>
  <si>
    <t>aJ314u5</t>
  </si>
  <si>
    <t>Japón 3</t>
  </si>
  <si>
    <t>J3</t>
  </si>
  <si>
    <t>Zona 3 → Zona 1</t>
  </si>
  <si>
    <t>aJ214u1</t>
  </si>
  <si>
    <t>Japón 2</t>
  </si>
  <si>
    <t>J2</t>
  </si>
  <si>
    <t>Zona 3 → Zona 3</t>
  </si>
  <si>
    <t>aJ414u3</t>
  </si>
  <si>
    <t>Japón 4</t>
  </si>
  <si>
    <t>Zona 3 → Zona 7</t>
  </si>
  <si>
    <t>aJ114u7</t>
  </si>
  <si>
    <t>Japón 1</t>
  </si>
  <si>
    <t>Zona 3 → Zona 6</t>
  </si>
  <si>
    <t>aCD14u6</t>
  </si>
  <si>
    <t>Combinación D central</t>
  </si>
  <si>
    <t>CD</t>
  </si>
  <si>
    <t>aCF14u9</t>
  </si>
  <si>
    <t>Combinación F central</t>
  </si>
  <si>
    <t>CF</t>
  </si>
  <si>
    <t>Zona 3 → Zona 4</t>
  </si>
  <si>
    <t>Combinación B central</t>
  </si>
  <si>
    <t>Zona 3 → Zona 8</t>
  </si>
  <si>
    <t>aX714u8</t>
  </si>
  <si>
    <t>Central zona 7</t>
  </si>
  <si>
    <t>X7</t>
  </si>
  <si>
    <t>aXD14u1</t>
  </si>
  <si>
    <t>Central diagonal</t>
  </si>
  <si>
    <t>XD</t>
  </si>
  <si>
    <t>Zona 3 → Zona 2</t>
  </si>
  <si>
    <t>aXC14u2</t>
  </si>
  <si>
    <t>Central cruzada</t>
  </si>
  <si>
    <t>XC</t>
  </si>
  <si>
    <t>aXG14u5</t>
  </si>
  <si>
    <t>Central zona G</t>
  </si>
  <si>
    <t>XG</t>
  </si>
  <si>
    <t>aXM14u3</t>
  </si>
  <si>
    <t>Central media</t>
  </si>
  <si>
    <t>aX114u7</t>
  </si>
  <si>
    <t>Central rápida zona 1</t>
  </si>
  <si>
    <t>CENTRAL (C) — zona de origen: 3 (centro de red)</t>
  </si>
  <si>
    <t>Ejemplo: aX114u7 = ataque combinación X1, camiseta 14, punto, cayó en zona 7 del campo rival</t>
  </si>
  <si>
    <t>ESTRUCTURA: a + CÓDIGO_DV4 + camiseta + valoración + zona_destino</t>
  </si>
  <si>
    <t>⑤ ATAQUE DV4 — Nuevo sistema con combinación + destino</t>
  </si>
  <si>
    <t>Formato viejo compatible: a + tipo(x/v/c) + camiseta + valoración. Sigue funcionando.</t>
  </si>
  <si>
    <t>ax14ut</t>
  </si>
  <si>
    <t>Ataque rápida punto de TOQUE (agregar t solo si val=u)</t>
  </si>
  <si>
    <t>Rápida + TOQUE</t>
  </si>
  <si>
    <t>ac14u</t>
  </si>
  <si>
    <t>14 ataca pelota central, punto</t>
  </si>
  <si>
    <t>av14u</t>
  </si>
  <si>
    <t>14 ataca pelota alta, punto</t>
  </si>
  <si>
    <t>14 ataca pelota rápida, punto</t>
  </si>
  <si>
    <t>④ ATAQUE — Formato simple (sin código DV4)</t>
  </si>
  <si>
    <t>Formato: r + tipo(m/q/f) + camiseta + valoración letra. Ej: rm14u = flotado del 14, perfecta</t>
  </si>
  <si>
    <t>rf14k</t>
  </si>
  <si>
    <t>14 recibe máquina, error</t>
  </si>
  <si>
    <t>Máquina — error (=)</t>
  </si>
  <si>
    <t>rq14i</t>
  </si>
  <si>
    <t>14 recibe potencia, positiva</t>
  </si>
  <si>
    <t>Potencia — positiva (+)</t>
  </si>
  <si>
    <t>rm14u</t>
  </si>
  <si>
    <t>14 recibe saque flotado, perfecta</t>
  </si>
  <si>
    <t>Flotado — perfecta (#)</t>
  </si>
  <si>
    <t>③ RECEPCIÓN — r + tipo + camiseta + valoración</t>
  </si>
  <si>
    <t># (u) Punto/Ace</t>
  </si>
  <si>
    <t>/ (j) Vendida</t>
  </si>
  <si>
    <t>/ (j) vendida</t>
  </si>
  <si>
    <t>+ (i) Positivo</t>
  </si>
  <si>
    <t>- (o) negativa</t>
  </si>
  <si>
    <t>Saque con algo de presión</t>
  </si>
  <si>
    <t>! (p) Admiración</t>
  </si>
  <si>
    <t>! (p) admirable</t>
  </si>
  <si>
    <t>- (o) Negativo</t>
  </si>
  <si>
    <t>+ (i) positiva</t>
  </si>
  <si>
    <t>El saque no complicó nada</t>
  </si>
  <si>
    <t># (u) perfecta</t>
  </si>
  <si>
    <t>LÓGICA</t>
  </si>
  <si>
    <t>SAQUE DEDUCE</t>
  </si>
  <si>
    <t>RECEPCIÓN →</t>
  </si>
  <si>
    <t>VALORACIÓN DEL SAQUE: se deduce AUTOMÁTICAMENTE de la recepción siguiente. No se tipea.</t>
  </si>
  <si>
    <t>ERROR DIRECTO: reemplazar zona destino por 'k'. Ej: sm14k = flotado del 14, error directo (fuera/red)</t>
  </si>
  <si>
    <t>DIRECCIÓN: últimos 2 dígitos = zona origen → zona destino. sm1415 = saque flotado del 14, desde zona 1 a zona 5</t>
  </si>
  <si>
    <t>sf2015</t>
  </si>
  <si>
    <t>Máquina/Freddie — + zona origen + zona destino</t>
  </si>
  <si>
    <t>Máquina</t>
  </si>
  <si>
    <t>sq1415</t>
  </si>
  <si>
    <t>Saque potente/en salto — + zona origen + zona destino</t>
  </si>
  <si>
    <t>sm1415</t>
  </si>
  <si>
    <t>Saque flotante — camiseta + zona origen + zona destino</t>
  </si>
  <si>
    <t>② SAQUE — s + tipo + camiseta + dirección</t>
  </si>
  <si>
    <t>★ Las letras reemplazan los números para tipear más rápido. El sistema las convierte internamente.</t>
  </si>
  <si>
    <t>Error no forzado</t>
  </si>
  <si>
    <t>k</t>
  </si>
  <si>
    <t>ax14j</t>
  </si>
  <si>
    <t>Acción negativa grave</t>
  </si>
  <si>
    <t>/ (5) — Vendida/Bloqueada</t>
  </si>
  <si>
    <t>j</t>
  </si>
  <si>
    <t>rm14o</t>
  </si>
  <si>
    <t>Acción negativa</t>
  </si>
  <si>
    <t>- (4) — Negativo</t>
  </si>
  <si>
    <t>o</t>
  </si>
  <si>
    <t>rm14p</t>
  </si>
  <si>
    <t>Acción neutra/aceptable</t>
  </si>
  <si>
    <t>! (3) — Admiración</t>
  </si>
  <si>
    <t>p</t>
  </si>
  <si>
    <t>rm14i</t>
  </si>
  <si>
    <t>Acción positiva</t>
  </si>
  <si>
    <t>+ (2) — Positivo</t>
  </si>
  <si>
    <t>i</t>
  </si>
  <si>
    <t>Acción perfecta o punto directo</t>
  </si>
  <si>
    <t># (1) — Perfecto/Punto</t>
  </si>
  <si>
    <t>u</t>
  </si>
  <si>
    <t>EQUIVALE A</t>
  </si>
  <si>
    <t>LETRA</t>
  </si>
  <si>
    <t>① VALORACIONES — LETRAS (nuevo sistema)</t>
  </si>
  <si>
    <t>Regla general: fundamento + tipo + camiseta + valoración, separados por coma. Una acción por código.</t>
  </si>
  <si>
    <t>GUÍA DE CODIFICACIÓN — STATS VOLEY CASL</t>
  </si>
  <si>
    <t>TIPO:</t>
  </si>
  <si>
    <t>ENTRENAMIENTO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</si>
</sst>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i/>
      <sz val="10"/>
      <color rgb="FF5F5E5A"/>
      <name val="Arial"/>
      <family val="2"/>
    </font>
    <font>
      <b/>
      <sz val="11"/>
      <color rgb="FFFFFFFF"/>
      <name val="Arial"/>
      <family val="2"/>
    </font>
    <font>
      <b/>
      <sz val="12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27500A"/>
      <name val="Arial"/>
      <family val="2"/>
    </font>
    <font>
      <b/>
      <sz val="11"/>
      <color rgb="FFA32D2D"/>
      <name val="Arial"/>
      <family val="2"/>
    </font>
    <font>
      <b/>
      <sz val="15"/>
      <color rgb="FFFFFFFF"/>
      <name val="Arial"/>
      <family val="2"/>
    </font>
    <font>
      <b/>
      <sz val="11"/>
      <color rgb="FF000000"/>
      <name val="Arial"/>
      <family val="2"/>
    </font>
    <font>
      <sz val="11"/>
      <color rgb="FF444441"/>
      <name val="Arial"/>
      <family val="2"/>
    </font>
    <font>
      <b/>
      <sz val="11"/>
      <color rgb="FF534AB7"/>
      <name val="Arial"/>
      <family val="2"/>
    </font>
    <font>
      <sz val="10"/>
      <color rgb="FFB4B2A9"/>
      <name val="Arial"/>
      <family val="2"/>
    </font>
    <font>
      <b/>
      <sz val="12"/>
      <color rgb="FF0F3460"/>
      <name val="Arial"/>
      <family val="2"/>
    </font>
    <font>
      <b/>
      <sz val="10"/>
      <color rgb="FF27500A"/>
      <name val="Arial"/>
      <family val="2"/>
    </font>
    <font>
      <sz val="10"/>
      <color rgb="FF888780"/>
      <name val="Arial"/>
      <family val="2"/>
    </font>
    <font>
      <sz val="11"/>
      <color rgb="FF1A1A2E"/>
      <name val="Arial"/>
      <family val="2"/>
    </font>
    <font>
      <sz val="10"/>
      <color rgb="FF5F5E5A"/>
      <name val="Arial"/>
      <family val="2"/>
    </font>
    <font>
      <b/>
      <sz val="11"/>
      <color rgb="FF1A1A2E"/>
      <name val="Arial"/>
      <family val="2"/>
    </font>
    <font>
      <b/>
      <sz val="10"/>
      <color rgb="FF5F5E5A"/>
      <name val="Arial"/>
      <family val="2"/>
    </font>
    <font>
      <sz val="11"/>
      <color rgb="FF534AB7"/>
      <name val="Arial"/>
      <family val="2"/>
    </font>
    <font>
      <sz val="10"/>
      <color rgb="FF534AB7"/>
      <name val="Arial"/>
      <family val="2"/>
    </font>
    <font>
      <b/>
      <sz val="10"/>
      <color rgb="FF534AB7"/>
      <name val="Arial"/>
      <family val="2"/>
    </font>
    <font>
      <b/>
      <sz val="12"/>
      <color rgb="FFFFFFFF"/>
      <name val="Arial"/>
      <family val="2"/>
    </font>
    <font>
      <sz val="11"/>
      <color rgb="FF27500A"/>
      <name val="Arial"/>
      <family val="2"/>
    </font>
    <font>
      <b/>
      <sz val="11"/>
      <color rgb="FFC62828"/>
      <name val="Calibri"/>
      <family val="2"/>
    </font>
    <font>
      <sz val="11"/>
      <color rgb="FFFFFFFF"/>
      <name val="Calibri"/>
      <family val="2"/>
      <charset val="1"/>
    </font>
    <font>
      <b/>
      <sz val="11"/>
      <color rgb="FFFFFFFF"/>
      <name val="Calibri"/>
      <family val="2"/>
    </font>
    <font>
      <b/>
      <sz val="16"/>
      <color rgb="FFFFFFFF"/>
      <name val="Calibri"/>
      <family val="2"/>
    </font>
    <font>
      <i/>
      <sz val="10"/>
      <color rgb="FF5F5E5A"/>
      <name val="Calibri"/>
      <family val="2"/>
    </font>
    <font>
      <b/>
      <sz val="13"/>
      <color rgb="FFFFFFFF"/>
      <name val="Calibri"/>
      <family val="2"/>
    </font>
    <font>
      <b/>
      <sz val="11"/>
      <color theme="1"/>
      <name val="Calibri"/>
      <family val="2"/>
    </font>
    <font>
      <b/>
      <sz val="11"/>
      <color rgb="FFBA7517"/>
      <name val="Calibri"/>
      <family val="2"/>
    </font>
    <font>
      <b/>
      <sz val="11"/>
      <color rgb="FF27500A"/>
      <name val="Calibri"/>
      <family val="2"/>
    </font>
    <font>
      <b/>
      <sz val="11"/>
      <color rgb="FFA32D2D"/>
      <name val="Calibri"/>
      <family val="2"/>
    </font>
    <font>
      <b/>
      <sz val="11"/>
      <color rgb="FF185FA5"/>
      <name val="Calibri"/>
      <family val="2"/>
    </font>
    <font>
      <b/>
      <sz val="11"/>
      <color rgb="FF534AB7"/>
      <name val="Calibri"/>
      <family val="2"/>
    </font>
    <font>
      <b/>
      <sz val="12"/>
      <color rgb="FFFFFFFF"/>
      <name val="Calibri"/>
      <family val="2"/>
    </font>
    <font>
      <b/>
      <sz val="12"/>
      <color rgb="FF000000"/>
      <name val="Calibri"/>
      <family val="2"/>
    </font>
    <font>
      <i/>
      <sz val="9"/>
      <color rgb="FF334155"/>
      <name val="Calibri"/>
      <family val="2"/>
    </font>
    <font>
      <sz val="10"/>
      <color rgb="FFE2E8F0"/>
      <name val="Calibri"/>
      <family val="2"/>
    </font>
    <font>
      <b/>
      <sz val="11"/>
      <color rgb="FFFCD34D"/>
      <name val="Calibri"/>
      <family val="2"/>
    </font>
    <font>
      <sz val="10"/>
      <color rgb="FF0F172A"/>
      <name val="Calibri"/>
      <family val="2"/>
    </font>
    <font>
      <b/>
      <sz val="9"/>
      <color rgb="FFFFFFFF"/>
      <name val="Calibri"/>
      <family val="2"/>
    </font>
    <font>
      <b/>
      <sz val="11"/>
      <color rgb="FFFFFFFF"/>
      <name val="Calibri"/>
      <family val="2"/>
    </font>
    <font>
      <b/>
      <sz val="9"/>
      <color rgb="FF99F6E4"/>
      <name val="Calibri"/>
      <family val="2"/>
    </font>
    <font>
      <b/>
      <sz val="11"/>
      <color rgb="FF99F6E4"/>
      <name val="Calibri"/>
      <family val="2"/>
    </font>
    <font>
      <sz val="10"/>
      <color rgb="FF94A3B8"/>
      <name val="Calibri"/>
      <family val="2"/>
    </font>
    <font>
      <b/>
      <sz val="10"/>
      <color rgb="FFFCD34D"/>
      <name val="Calibri"/>
      <family val="2"/>
    </font>
    <font>
      <b/>
      <sz val="9"/>
      <color rgb="FFFCD34D"/>
      <name val="Calibri"/>
      <family val="2"/>
    </font>
    <font>
      <i/>
      <sz val="9"/>
      <color rgb="FF713F12"/>
      <name val="Calibri"/>
      <family val="2"/>
    </font>
    <font>
      <b/>
      <sz val="10"/>
      <color rgb="FFFDBA74"/>
      <name val="Calibri"/>
      <family val="2"/>
    </font>
    <font>
      <b/>
      <sz val="10"/>
      <color rgb="FF86EFAC"/>
      <name val="Calibri"/>
      <family val="2"/>
    </font>
    <font>
      <b/>
      <sz val="10"/>
      <color rgb="FFA5B4FC"/>
      <name val="Calibri"/>
      <family val="2"/>
    </font>
    <font>
      <i/>
      <sz val="9"/>
      <color rgb="FFC7D2FE"/>
      <name val="Calibri"/>
      <family val="2"/>
    </font>
    <font>
      <b/>
      <sz val="11"/>
      <color rgb="FFA5B4FC"/>
      <name val="Calibri"/>
      <family val="2"/>
    </font>
    <font>
      <b/>
      <sz val="9"/>
      <color rgb="FF92400E"/>
      <name val="Calibri"/>
      <family val="2"/>
    </font>
    <font>
      <i/>
      <sz val="9"/>
      <color rgb="FF94A3B8"/>
      <name val="Calibri"/>
      <family val="2"/>
    </font>
    <font>
      <b/>
      <sz val="14"/>
      <color rgb="FFFFFFFF"/>
      <name val="Calibri"/>
      <family val="2"/>
    </font>
    <font>
      <b/>
      <sz val="10"/>
      <color rgb="FF94A3B8"/>
      <name val="Calibri"/>
      <family val="2"/>
    </font>
    <font>
      <b/>
      <sz val="12"/>
      <color rgb="FF0F346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1A1A2E"/>
        <bgColor rgb="FF16213E"/>
      </patternFill>
    </fill>
    <fill>
      <patternFill patternType="solid">
        <fgColor rgb="FFF1EFE8"/>
        <bgColor rgb="FFEAF3DE"/>
      </patternFill>
    </fill>
    <fill>
      <patternFill patternType="solid">
        <fgColor rgb="FFFFFFFF"/>
        <bgColor rgb="FFFAFAFA"/>
      </patternFill>
    </fill>
    <fill>
      <patternFill patternType="solid">
        <fgColor rgb="FFEAF3DE"/>
        <bgColor rgb="FFE8F5E9"/>
      </patternFill>
    </fill>
    <fill>
      <patternFill patternType="solid">
        <fgColor rgb="FFFAFAFA"/>
        <bgColor rgb="FFFFFFFF"/>
      </patternFill>
    </fill>
    <fill>
      <patternFill patternType="solid">
        <fgColor rgb="FFFAEEDA"/>
        <bgColor rgb="FFFFF3E0"/>
      </patternFill>
    </fill>
    <fill>
      <patternFill patternType="solid">
        <fgColor rgb="FFFCEBEB"/>
        <bgColor rgb="FFFFEBEE"/>
      </patternFill>
    </fill>
    <fill>
      <patternFill patternType="solid">
        <fgColor rgb="FFF3F0FD"/>
        <bgColor rgb="FFF1EFE8"/>
      </patternFill>
    </fill>
    <fill>
      <patternFill patternType="solid">
        <fgColor rgb="FF16213E"/>
        <bgColor rgb="FF1A1A2E"/>
      </patternFill>
    </fill>
    <fill>
      <patternFill patternType="solid">
        <fgColor rgb="FFD3D1C7"/>
        <bgColor rgb="FFEAF3DE"/>
      </patternFill>
    </fill>
    <fill>
      <patternFill patternType="solid">
        <fgColor rgb="FFFFFFFF"/>
      </patternFill>
    </fill>
    <fill>
      <patternFill patternType="solid">
        <fgColor rgb="FF1A1A2E"/>
        <bgColor indexed="64"/>
      </patternFill>
    </fill>
    <fill>
      <patternFill patternType="solid">
        <fgColor rgb="FFF1EFE8"/>
        <bgColor indexed="64"/>
      </patternFill>
    </fill>
    <fill>
      <patternFill patternType="solid">
        <fgColor rgb="FFBA7517"/>
        <bgColor indexed="64"/>
      </patternFill>
    </fill>
    <fill>
      <patternFill patternType="solid">
        <fgColor rgb="FF27500A"/>
        <bgColor indexed="64"/>
      </patternFill>
    </fill>
    <fill>
      <patternFill patternType="solid">
        <fgColor rgb="FF185FA5"/>
        <bgColor indexed="64"/>
      </patternFill>
    </fill>
    <fill>
      <patternFill patternType="solid">
        <fgColor rgb="FF534AB7"/>
        <bgColor indexed="64"/>
      </patternFill>
    </fill>
    <fill>
      <patternFill patternType="solid">
        <fgColor rgb="FFFAEEDA"/>
        <bgColor indexed="64"/>
      </patternFill>
    </fill>
    <fill>
      <patternFill patternType="solid">
        <fgColor rgb="FFEAF3DE"/>
        <bgColor indexed="64"/>
      </patternFill>
    </fill>
    <fill>
      <patternFill patternType="solid">
        <fgColor rgb="FFE6F1FB"/>
        <bgColor indexed="64"/>
      </patternFill>
    </fill>
    <fill>
      <patternFill patternType="solid">
        <fgColor rgb="FFF3F0FD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0D1B2A"/>
      </patternFill>
    </fill>
    <fill>
      <patternFill patternType="solid">
        <fgColor rgb="FF1E293B"/>
      </patternFill>
    </fill>
    <fill>
      <patternFill patternType="solid">
        <fgColor rgb="FF0F172A"/>
      </patternFill>
    </fill>
    <fill>
      <patternFill patternType="solid">
        <fgColor rgb="FFF1F5F9"/>
      </patternFill>
    </fill>
    <fill>
      <patternFill patternType="solid">
        <fgColor rgb="FF1C1917"/>
      </patternFill>
    </fill>
    <fill>
      <patternFill patternType="solid">
        <fgColor rgb="FF134E4A"/>
      </patternFill>
    </fill>
    <fill>
      <patternFill patternType="solid">
        <fgColor rgb="FFFEF9C3"/>
      </patternFill>
    </fill>
    <fill>
      <patternFill patternType="solid">
        <fgColor rgb="FF6B21A8"/>
      </patternFill>
    </fill>
    <fill>
      <patternFill patternType="solid">
        <fgColor rgb="FF7C2D12"/>
      </patternFill>
    </fill>
    <fill>
      <patternFill patternType="solid">
        <fgColor rgb="FF14532D"/>
      </patternFill>
    </fill>
    <fill>
      <patternFill patternType="solid">
        <fgColor rgb="FF312E81"/>
      </patternFill>
    </fill>
    <fill>
      <patternFill patternType="solid">
        <fgColor rgb="FF1E1B4B"/>
      </patternFill>
    </fill>
    <fill>
      <patternFill patternType="solid">
        <fgColor rgb="FF3730A3"/>
      </patternFill>
    </fill>
    <fill>
      <patternFill patternType="solid">
        <fgColor rgb="FF166534"/>
      </patternFill>
    </fill>
    <fill>
      <patternFill patternType="solid">
        <fgColor rgb="FFFEF3C7"/>
      </patternFill>
    </fill>
    <fill>
      <patternFill patternType="solid">
        <fgColor rgb="FFB45309"/>
      </patternFill>
    </fill>
    <fill>
      <patternFill patternType="solid">
        <fgColor rgb="FF1E3A5F"/>
      </patternFill>
    </fill>
  </fills>
  <borders count="19">
    <border>
      <left/>
      <right/>
      <top/>
      <bottom/>
      <diagonal/>
    </border>
    <border>
      <left style="thin">
        <color rgb="FFD3D1C7"/>
      </left>
      <right style="thin">
        <color rgb="FFD3D1C7"/>
      </right>
      <top style="thin">
        <color rgb="FFD3D1C7"/>
      </top>
      <bottom style="thin">
        <color rgb="FFD3D1C7"/>
      </bottom>
      <diagonal/>
    </border>
    <border>
      <left style="medium">
        <color rgb="FFBA7517"/>
      </left>
      <right/>
      <top/>
      <bottom/>
      <diagonal/>
    </border>
    <border>
      <left style="medium">
        <color rgb="FF27500A"/>
      </left>
      <right/>
      <top/>
      <bottom/>
      <diagonal/>
    </border>
    <border>
      <left style="medium">
        <color rgb="FF185FA5"/>
      </left>
      <right/>
      <top/>
      <bottom/>
      <diagonal/>
    </border>
    <border>
      <left style="medium">
        <color rgb="FF534AB7"/>
      </left>
      <right/>
      <top/>
      <bottom/>
      <diagonal/>
    </border>
    <border>
      <left/>
      <right/>
      <top style="thin">
        <color rgb="FFC8C8D7"/>
      </top>
      <bottom style="thin">
        <color rgb="FFC8C8D7"/>
      </bottom>
      <diagonal/>
    </border>
    <border>
      <left style="medium">
        <color rgb="FFBA7517"/>
      </left>
      <right/>
      <top style="thin">
        <color rgb="FFC8C8D7"/>
      </top>
      <bottom style="thin">
        <color rgb="FFC8C8D7"/>
      </bottom>
      <diagonal/>
    </border>
    <border>
      <left style="medium">
        <color rgb="FF27500A"/>
      </left>
      <right/>
      <top style="thin">
        <color rgb="FFC8C8D7"/>
      </top>
      <bottom style="thin">
        <color rgb="FFC8C8D7"/>
      </bottom>
      <diagonal/>
    </border>
    <border>
      <left style="medium">
        <color rgb="FF185FA5"/>
      </left>
      <right/>
      <top style="thin">
        <color rgb="FFC8C8D7"/>
      </top>
      <bottom style="thin">
        <color rgb="FFC8C8D7"/>
      </bottom>
      <diagonal/>
    </border>
    <border>
      <left style="medium">
        <color rgb="FF534AB7"/>
      </left>
      <right/>
      <top style="thin">
        <color rgb="FFC8C8D7"/>
      </top>
      <bottom style="thin">
        <color rgb="FFC8C8D7"/>
      </bottom>
      <diagonal/>
    </border>
    <border>
      <left/>
      <right/>
      <top style="thin">
        <color rgb="FFC8C8D7"/>
      </top>
      <bottom/>
      <diagonal/>
    </border>
    <border>
      <left style="medium">
        <color rgb="FFBA7517"/>
      </left>
      <right/>
      <top style="thin">
        <color rgb="FFC8C8D7"/>
      </top>
      <bottom/>
      <diagonal/>
    </border>
    <border>
      <left style="medium">
        <color rgb="FF27500A"/>
      </left>
      <right/>
      <top style="thin">
        <color rgb="FFC8C8D7"/>
      </top>
      <bottom/>
      <diagonal/>
    </border>
    <border>
      <left style="medium">
        <color rgb="FF185FA5"/>
      </left>
      <right/>
      <top style="thin">
        <color rgb="FFC8C8D7"/>
      </top>
      <bottom/>
      <diagonal/>
    </border>
    <border>
      <left style="medium">
        <color rgb="FF534AB7"/>
      </left>
      <right/>
      <top style="thin">
        <color rgb="FFC8C8D7"/>
      </top>
      <bottom/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" fillId="0" borderId="0"/>
  </cellStyleXfs>
  <cellXfs count="164">
    <xf numFmtId="0" fontId="0" fillId="0" borderId="0" xfId="0"/>
    <xf numFmtId="0" fontId="9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5" fillId="7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left" vertical="center"/>
    </xf>
    <xf numFmtId="0" fontId="8" fillId="8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left" vertical="center"/>
    </xf>
    <xf numFmtId="0" fontId="15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left" vertical="center"/>
    </xf>
    <xf numFmtId="0" fontId="15" fillId="6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6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left" vertical="center"/>
    </xf>
    <xf numFmtId="0" fontId="10" fillId="9" borderId="1" xfId="0" applyFont="1" applyFill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left" vertical="center"/>
    </xf>
    <xf numFmtId="0" fontId="1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19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2" borderId="1" xfId="0" applyFill="1" applyBorder="1"/>
    <xf numFmtId="0" fontId="24" fillId="2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27" fillId="13" borderId="0" xfId="0" applyFont="1" applyFill="1"/>
    <xf numFmtId="0" fontId="29" fillId="13" borderId="0" xfId="0" applyFont="1" applyFill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8" fillId="13" borderId="0" xfId="0" applyFont="1" applyFill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38" fillId="13" borderId="11" xfId="0" applyFont="1" applyFill="1" applyBorder="1" applyAlignment="1">
      <alignment horizontal="center" vertical="center"/>
    </xf>
    <xf numFmtId="0" fontId="32" fillId="24" borderId="11" xfId="0" applyFont="1" applyFill="1" applyBorder="1" applyAlignment="1">
      <alignment horizontal="center" vertical="center"/>
    </xf>
    <xf numFmtId="0" fontId="32" fillId="23" borderId="6" xfId="0" applyFont="1" applyFill="1" applyBorder="1" applyAlignment="1">
      <alignment horizontal="center" vertical="center"/>
    </xf>
    <xf numFmtId="0" fontId="32" fillId="23" borderId="11" xfId="0" applyFont="1" applyFill="1" applyBorder="1" applyAlignment="1">
      <alignment horizontal="center" vertical="center"/>
    </xf>
    <xf numFmtId="9" fontId="38" fillId="13" borderId="0" xfId="0" applyNumberFormat="1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/>
    </xf>
    <xf numFmtId="0" fontId="31" fillId="16" borderId="0" xfId="0" applyFont="1" applyFill="1" applyAlignment="1">
      <alignment horizontal="center" vertical="center"/>
    </xf>
    <xf numFmtId="0" fontId="31" fillId="17" borderId="0" xfId="0" applyFont="1" applyFill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28" fillId="13" borderId="0" xfId="0" applyFont="1" applyFill="1" applyAlignment="1">
      <alignment horizontal="center"/>
    </xf>
    <xf numFmtId="0" fontId="33" fillId="19" borderId="0" xfId="0" applyFont="1" applyFill="1" applyAlignment="1">
      <alignment horizontal="center"/>
    </xf>
    <xf numFmtId="0" fontId="34" fillId="19" borderId="0" xfId="0" applyFont="1" applyFill="1" applyAlignment="1">
      <alignment horizontal="center"/>
    </xf>
    <xf numFmtId="0" fontId="35" fillId="19" borderId="0" xfId="0" applyFont="1" applyFill="1" applyAlignment="1">
      <alignment horizontal="center"/>
    </xf>
    <xf numFmtId="49" fontId="35" fillId="19" borderId="0" xfId="0" applyNumberFormat="1" applyFont="1" applyFill="1" applyAlignment="1">
      <alignment horizontal="center"/>
    </xf>
    <xf numFmtId="0" fontId="34" fillId="20" borderId="0" xfId="0" applyFont="1" applyFill="1" applyAlignment="1">
      <alignment horizontal="center"/>
    </xf>
    <xf numFmtId="0" fontId="33" fillId="20" borderId="0" xfId="0" applyFont="1" applyFill="1" applyAlignment="1">
      <alignment horizontal="center"/>
    </xf>
    <xf numFmtId="0" fontId="35" fillId="20" borderId="0" xfId="0" applyFont="1" applyFill="1" applyAlignment="1">
      <alignment horizontal="center"/>
    </xf>
    <xf numFmtId="49" fontId="35" fillId="20" borderId="0" xfId="0" applyNumberFormat="1" applyFont="1" applyFill="1" applyAlignment="1">
      <alignment horizontal="center"/>
    </xf>
    <xf numFmtId="0" fontId="36" fillId="21" borderId="0" xfId="0" applyFont="1" applyFill="1" applyAlignment="1">
      <alignment horizontal="center"/>
    </xf>
    <xf numFmtId="0" fontId="34" fillId="21" borderId="0" xfId="0" applyFont="1" applyFill="1" applyAlignment="1">
      <alignment horizontal="center"/>
    </xf>
    <xf numFmtId="0" fontId="33" fillId="21" borderId="0" xfId="0" applyFont="1" applyFill="1" applyAlignment="1">
      <alignment horizontal="center"/>
    </xf>
    <xf numFmtId="0" fontId="35" fillId="21" borderId="0" xfId="0" applyFont="1" applyFill="1" applyAlignment="1">
      <alignment horizontal="center"/>
    </xf>
    <xf numFmtId="49" fontId="35" fillId="21" borderId="0" xfId="0" applyNumberFormat="1" applyFont="1" applyFill="1" applyAlignment="1">
      <alignment horizontal="center"/>
    </xf>
    <xf numFmtId="0" fontId="37" fillId="22" borderId="0" xfId="0" applyFont="1" applyFill="1" applyAlignment="1">
      <alignment horizontal="center"/>
    </xf>
    <xf numFmtId="0" fontId="34" fillId="22" borderId="0" xfId="0" applyFont="1" applyFill="1" applyAlignment="1">
      <alignment horizontal="center"/>
    </xf>
    <xf numFmtId="0" fontId="35" fillId="22" borderId="0" xfId="0" applyFont="1" applyFill="1" applyAlignment="1">
      <alignment horizontal="center"/>
    </xf>
    <xf numFmtId="49" fontId="35" fillId="22" borderId="0" xfId="0" applyNumberFormat="1" applyFont="1" applyFill="1" applyAlignment="1">
      <alignment horizontal="center"/>
    </xf>
    <xf numFmtId="0" fontId="1" fillId="0" borderId="0" xfId="1"/>
    <xf numFmtId="0" fontId="1" fillId="0" borderId="0" xfId="1" applyAlignment="1">
      <alignment horizontal="center"/>
    </xf>
    <xf numFmtId="0" fontId="43" fillId="28" borderId="18" xfId="1" applyFont="1" applyFill="1" applyBorder="1" applyAlignment="1">
      <alignment horizontal="center" vertical="center" wrapText="1"/>
    </xf>
    <xf numFmtId="0" fontId="43" fillId="12" borderId="18" xfId="1" applyFont="1" applyFill="1" applyBorder="1" applyAlignment="1">
      <alignment horizontal="center" vertical="center" wrapText="1"/>
    </xf>
    <xf numFmtId="0" fontId="44" fillId="29" borderId="18" xfId="1" applyFont="1" applyFill="1" applyBorder="1" applyAlignment="1">
      <alignment horizontal="center" vertical="center"/>
    </xf>
    <xf numFmtId="0" fontId="46" fillId="30" borderId="18" xfId="1" applyFont="1" applyFill="1" applyBorder="1" applyAlignment="1">
      <alignment horizontal="center" vertical="center"/>
    </xf>
    <xf numFmtId="0" fontId="48" fillId="26" borderId="18" xfId="1" applyFont="1" applyFill="1" applyBorder="1" applyAlignment="1">
      <alignment horizontal="center" vertical="center"/>
    </xf>
    <xf numFmtId="0" fontId="49" fillId="26" borderId="18" xfId="1" applyFont="1" applyFill="1" applyBorder="1" applyAlignment="1">
      <alignment horizontal="center" vertical="center"/>
    </xf>
    <xf numFmtId="0" fontId="50" fillId="26" borderId="18" xfId="1" applyFont="1" applyFill="1" applyBorder="1" applyAlignment="1">
      <alignment horizontal="center" vertical="center"/>
    </xf>
    <xf numFmtId="0" fontId="44" fillId="32" borderId="18" xfId="1" applyFont="1" applyFill="1" applyBorder="1" applyAlignment="1">
      <alignment horizontal="center" vertical="center"/>
    </xf>
    <xf numFmtId="0" fontId="44" fillId="33" borderId="18" xfId="1" applyFont="1" applyFill="1" applyBorder="1" applyAlignment="1">
      <alignment horizontal="center" vertical="center"/>
    </xf>
    <xf numFmtId="0" fontId="44" fillId="34" borderId="18" xfId="1" applyFont="1" applyFill="1" applyBorder="1" applyAlignment="1">
      <alignment horizontal="center" vertical="center"/>
    </xf>
    <xf numFmtId="0" fontId="44" fillId="35" borderId="18" xfId="1" applyFont="1" applyFill="1" applyBorder="1" applyAlignment="1">
      <alignment horizontal="center" vertical="center"/>
    </xf>
    <xf numFmtId="0" fontId="44" fillId="37" borderId="18" xfId="1" applyFont="1" applyFill="1" applyBorder="1" applyAlignment="1">
      <alignment horizontal="center" vertical="center"/>
    </xf>
    <xf numFmtId="0" fontId="44" fillId="38" borderId="18" xfId="1" applyFont="1" applyFill="1" applyBorder="1" applyAlignment="1">
      <alignment horizontal="center" vertical="center"/>
    </xf>
    <xf numFmtId="0" fontId="57" fillId="39" borderId="18" xfId="1" applyFont="1" applyFill="1" applyBorder="1" applyAlignment="1">
      <alignment horizontal="center" vertical="center"/>
    </xf>
    <xf numFmtId="0" fontId="44" fillId="40" borderId="18" xfId="1" applyFont="1" applyFill="1" applyBorder="1" applyAlignment="1">
      <alignment horizontal="center" vertical="center"/>
    </xf>
    <xf numFmtId="0" fontId="44" fillId="41" borderId="18" xfId="1" applyFont="1" applyFill="1" applyBorder="1" applyAlignment="1">
      <alignment horizontal="center" vertical="center"/>
    </xf>
    <xf numFmtId="0" fontId="50" fillId="41" borderId="18" xfId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60" fillId="0" borderId="0" xfId="0" applyFont="1" applyAlignment="1">
      <alignment horizontal="right" vertical="center"/>
    </xf>
    <xf numFmtId="0" fontId="61" fillId="4" borderId="1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0" fillId="25" borderId="18" xfId="1" applyFont="1" applyFill="1" applyBorder="1" applyAlignment="1">
      <alignment horizontal="center" vertical="center"/>
    </xf>
    <xf numFmtId="0" fontId="1" fillId="0" borderId="17" xfId="1" applyBorder="1" applyAlignment="1">
      <alignment horizontal="center"/>
    </xf>
    <xf numFmtId="0" fontId="1" fillId="0" borderId="16" xfId="1" applyBorder="1" applyAlignment="1">
      <alignment horizontal="center"/>
    </xf>
    <xf numFmtId="0" fontId="51" fillId="31" borderId="18" xfId="1" applyFont="1" applyFill="1" applyBorder="1" applyAlignment="1">
      <alignment horizontal="center" vertical="center"/>
    </xf>
    <xf numFmtId="0" fontId="45" fillId="37" borderId="18" xfId="1" applyFont="1" applyFill="1" applyBorder="1" applyAlignment="1">
      <alignment horizontal="center" vertical="center"/>
    </xf>
    <xf numFmtId="0" fontId="41" fillId="26" borderId="18" xfId="1" applyFont="1" applyFill="1" applyBorder="1" applyAlignment="1">
      <alignment horizontal="center" vertical="center" wrapText="1"/>
    </xf>
    <xf numFmtId="0" fontId="47" fillId="30" borderId="18" xfId="1" applyFont="1" applyFill="1" applyBorder="1" applyAlignment="1">
      <alignment horizontal="center" vertical="center"/>
    </xf>
    <xf numFmtId="0" fontId="41" fillId="27" borderId="18" xfId="1" applyFont="1" applyFill="1" applyBorder="1" applyAlignment="1">
      <alignment horizontal="center" vertical="center" wrapText="1"/>
    </xf>
    <xf numFmtId="0" fontId="45" fillId="40" borderId="18" xfId="1" applyFont="1" applyFill="1" applyBorder="1" applyAlignment="1">
      <alignment horizontal="center" vertical="center"/>
    </xf>
    <xf numFmtId="0" fontId="56" fillId="37" borderId="18" xfId="1" applyFont="1" applyFill="1" applyBorder="1" applyAlignment="1">
      <alignment horizontal="center" vertical="center"/>
    </xf>
    <xf numFmtId="0" fontId="45" fillId="29" borderId="18" xfId="1" applyFont="1" applyFill="1" applyBorder="1" applyAlignment="1">
      <alignment horizontal="center" vertical="center"/>
    </xf>
    <xf numFmtId="0" fontId="54" fillId="35" borderId="18" xfId="1" applyFont="1" applyFill="1" applyBorder="1" applyAlignment="1">
      <alignment horizontal="center" vertical="center"/>
    </xf>
    <xf numFmtId="0" fontId="45" fillId="38" borderId="18" xfId="1" applyFont="1" applyFill="1" applyBorder="1" applyAlignment="1">
      <alignment horizontal="center" vertical="center"/>
    </xf>
    <xf numFmtId="0" fontId="53" fillId="34" borderId="18" xfId="1" applyFont="1" applyFill="1" applyBorder="1" applyAlignment="1">
      <alignment horizontal="center" vertical="center"/>
    </xf>
    <xf numFmtId="0" fontId="55" fillId="36" borderId="18" xfId="1" applyFont="1" applyFill="1" applyBorder="1" applyAlignment="1">
      <alignment horizontal="center" vertical="center"/>
    </xf>
    <xf numFmtId="0" fontId="52" fillId="33" borderId="18" xfId="1" applyFont="1" applyFill="1" applyBorder="1" applyAlignment="1">
      <alignment horizontal="center" vertical="center"/>
    </xf>
    <xf numFmtId="0" fontId="45" fillId="32" borderId="18" xfId="1" applyFont="1" applyFill="1" applyBorder="1" applyAlignment="1">
      <alignment horizontal="center" vertical="center"/>
    </xf>
    <xf numFmtId="0" fontId="42" fillId="25" borderId="18" xfId="1" applyFont="1" applyFill="1" applyBorder="1" applyAlignment="1">
      <alignment horizontal="center" vertical="center"/>
    </xf>
    <xf numFmtId="0" fontId="42" fillId="27" borderId="18" xfId="1" applyFont="1" applyFill="1" applyBorder="1" applyAlignment="1">
      <alignment horizontal="center" vertical="center"/>
    </xf>
    <xf numFmtId="0" fontId="59" fillId="25" borderId="18" xfId="1" applyFont="1" applyFill="1" applyBorder="1" applyAlignment="1">
      <alignment horizontal="center" vertical="center"/>
    </xf>
    <xf numFmtId="0" fontId="54" fillId="36" borderId="18" xfId="1" applyFont="1" applyFill="1" applyBorder="1" applyAlignment="1">
      <alignment horizontal="center" vertical="center"/>
    </xf>
    <xf numFmtId="0" fontId="45" fillId="41" borderId="18" xfId="1" applyFont="1" applyFill="1" applyBorder="1" applyAlignment="1">
      <alignment horizontal="center" vertical="center"/>
    </xf>
    <xf numFmtId="0" fontId="58" fillId="26" borderId="18" xfId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0" borderId="0" xfId="0" applyFont="1"/>
    <xf numFmtId="0" fontId="0" fillId="14" borderId="0" xfId="0" applyFont="1" applyFill="1"/>
    <xf numFmtId="0" fontId="0" fillId="13" borderId="0" xfId="0" applyFont="1" applyFill="1" applyAlignment="1">
      <alignment horizontal="center" vertical="center"/>
    </xf>
    <xf numFmtId="0" fontId="38" fillId="13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0" fillId="23" borderId="2" xfId="0" applyFont="1" applyFill="1" applyBorder="1" applyAlignment="1">
      <alignment horizontal="center" vertical="center"/>
    </xf>
    <xf numFmtId="0" fontId="0" fillId="23" borderId="0" xfId="0" applyFont="1" applyFill="1" applyBorder="1" applyAlignment="1">
      <alignment horizontal="center" vertical="center"/>
    </xf>
    <xf numFmtId="0" fontId="0" fillId="23" borderId="3" xfId="0" applyFont="1" applyFill="1" applyBorder="1" applyAlignment="1">
      <alignment horizontal="center" vertical="center"/>
    </xf>
    <xf numFmtId="0" fontId="0" fillId="23" borderId="4" xfId="0" applyFont="1" applyFill="1" applyBorder="1" applyAlignment="1">
      <alignment horizontal="center" vertical="center"/>
    </xf>
    <xf numFmtId="0" fontId="0" fillId="23" borderId="5" xfId="0" applyFont="1" applyFill="1" applyBorder="1" applyAlignment="1">
      <alignment horizontal="center" vertical="center"/>
    </xf>
    <xf numFmtId="0" fontId="0" fillId="24" borderId="12" xfId="0" applyFont="1" applyFill="1" applyBorder="1" applyAlignment="1">
      <alignment horizontal="center" vertical="center"/>
    </xf>
    <xf numFmtId="0" fontId="0" fillId="24" borderId="11" xfId="0" applyFont="1" applyFill="1" applyBorder="1" applyAlignment="1">
      <alignment horizontal="center" vertical="center"/>
    </xf>
    <xf numFmtId="0" fontId="0" fillId="24" borderId="13" xfId="0" applyFont="1" applyFill="1" applyBorder="1" applyAlignment="1">
      <alignment horizontal="center" vertical="center"/>
    </xf>
    <xf numFmtId="0" fontId="0" fillId="24" borderId="14" xfId="0" applyFont="1" applyFill="1" applyBorder="1" applyAlignment="1">
      <alignment horizontal="center" vertical="center"/>
    </xf>
    <xf numFmtId="0" fontId="0" fillId="24" borderId="15" xfId="0" applyFont="1" applyFill="1" applyBorder="1" applyAlignment="1">
      <alignment horizontal="center" vertical="center"/>
    </xf>
    <xf numFmtId="0" fontId="0" fillId="23" borderId="6" xfId="0" applyFont="1" applyFill="1" applyBorder="1" applyAlignment="1">
      <alignment horizontal="center" vertical="center"/>
    </xf>
    <xf numFmtId="0" fontId="0" fillId="23" borderId="7" xfId="0" applyFont="1" applyFill="1" applyBorder="1" applyAlignment="1">
      <alignment horizontal="center" vertical="center"/>
    </xf>
    <xf numFmtId="0" fontId="0" fillId="23" borderId="8" xfId="0" applyFont="1" applyFill="1" applyBorder="1" applyAlignment="1">
      <alignment horizontal="center" vertical="center"/>
    </xf>
    <xf numFmtId="0" fontId="0" fillId="23" borderId="9" xfId="0" applyFont="1" applyFill="1" applyBorder="1" applyAlignment="1">
      <alignment horizontal="center" vertical="center"/>
    </xf>
    <xf numFmtId="0" fontId="0" fillId="23" borderId="10" xfId="0" applyFont="1" applyFill="1" applyBorder="1" applyAlignment="1">
      <alignment horizontal="center" vertical="center"/>
    </xf>
    <xf numFmtId="0" fontId="0" fillId="23" borderId="12" xfId="0" applyFont="1" applyFill="1" applyBorder="1" applyAlignment="1">
      <alignment horizontal="center" vertical="center"/>
    </xf>
    <xf numFmtId="0" fontId="0" fillId="23" borderId="11" xfId="0" applyFont="1" applyFill="1" applyBorder="1" applyAlignment="1">
      <alignment horizontal="center" vertical="center"/>
    </xf>
    <xf numFmtId="0" fontId="0" fillId="23" borderId="13" xfId="0" applyFont="1" applyFill="1" applyBorder="1" applyAlignment="1">
      <alignment horizontal="center" vertical="center"/>
    </xf>
    <xf numFmtId="0" fontId="0" fillId="23" borderId="14" xfId="0" applyFont="1" applyFill="1" applyBorder="1" applyAlignment="1">
      <alignment horizontal="center" vertical="center"/>
    </xf>
    <xf numFmtId="0" fontId="0" fillId="23" borderId="15" xfId="0" applyFont="1" applyFill="1" applyBorder="1" applyAlignment="1">
      <alignment horizontal="center" vertical="center"/>
    </xf>
    <xf numFmtId="9" fontId="0" fillId="23" borderId="11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1239AE3A-980F-4351-96F9-DFBB04143CDA}"/>
  </cellStyles>
  <dxfs count="2">
    <dxf>
      <font>
        <b/>
        <i val="0"/>
        <color rgb="FFFDBA74"/>
      </font>
      <fill>
        <patternFill>
          <bgColor rgb="FF78350F"/>
        </patternFill>
      </fill>
    </dxf>
    <dxf>
      <font>
        <b/>
        <i val="0"/>
        <color rgb="FF86EFAC"/>
      </font>
      <fill>
        <patternFill>
          <bgColor rgb="FF14532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3E0"/>
      <rgbColor rgb="FFFF00FF"/>
      <rgbColor rgb="FF00FFFF"/>
      <rgbColor rgb="FF800000"/>
      <rgbColor rgb="FF008000"/>
      <rgbColor rgb="FF1A1A2E"/>
      <rgbColor rgb="FF7A5C00"/>
      <rgbColor rgb="FF800080"/>
      <rgbColor rgb="FF008080"/>
      <rgbColor rgb="FFB4B2A9"/>
      <rgbColor rgb="FF888780"/>
      <rgbColor rgb="FFF3F0FD"/>
      <rgbColor rgb="FFC62828"/>
      <rgbColor rgb="FFFFF8E1"/>
      <rgbColor rgb="FFE6F1FB"/>
      <rgbColor rgb="FF660066"/>
      <rgbColor rgb="FFFF8080"/>
      <rgbColor rgb="FF185FA5"/>
      <rgbColor rgb="FFD3D1C7"/>
      <rgbColor rgb="FF000080"/>
      <rgbColor rgb="FFFF00FF"/>
      <rgbColor rgb="FFFAFAFA"/>
      <rgbColor rgb="FF00FFFF"/>
      <rgbColor rgb="FF800080"/>
      <rgbColor rgb="FF800000"/>
      <rgbColor rgb="FF008080"/>
      <rgbColor rgb="FF0000FF"/>
      <rgbColor rgb="FF00CCFF"/>
      <rgbColor rgb="FFE8F5E9"/>
      <rgbColor rgb="FFEAF3DE"/>
      <rgbColor rgb="FFFFF3CD"/>
      <rgbColor rgb="FFF1EFE8"/>
      <rgbColor rgb="FFFCEBEB"/>
      <rgbColor rgb="FFFFEBEE"/>
      <rgbColor rgb="FFFAEEDA"/>
      <rgbColor rgb="FF3366FF"/>
      <rgbColor rgb="FF33CCCC"/>
      <rgbColor rgb="FF99CC00"/>
      <rgbColor rgb="FFFFCC00"/>
      <rgbColor rgb="FFBA7517"/>
      <rgbColor rgb="FFF57F17"/>
      <rgbColor rgb="FF5F5E5A"/>
      <rgbColor rgb="FF969696"/>
      <rgbColor rgb="FF0F3460"/>
      <rgbColor rgb="FF2E7D32"/>
      <rgbColor rgb="FF16213E"/>
      <rgbColor rgb="FF27500A"/>
      <rgbColor rgb="FFA32D2D"/>
      <rgbColor rgb="FF993366"/>
      <rgbColor rgb="FF534AB7"/>
      <rgbColor rgb="FF444441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0</xdr:row>
          <xdr:rowOff>45720</xdr:rowOff>
        </xdr:from>
        <xdr:to>
          <xdr:col>8</xdr:col>
          <xdr:colOff>0</xdr:colOff>
          <xdr:row>0</xdr:row>
          <xdr:rowOff>449580</xdr:rowOff>
        </xdr:to>
        <xdr:sp macro="" textlink="">
          <xdr:nvSpPr>
            <xdr:cNvPr id="3073" name="Button 1" descr="RESETEAR STAT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C62828"/>
                  </a:solidFill>
                  <a:latin typeface="Calibri"/>
                  <a:ea typeface="Calibri"/>
                  <a:cs typeface="Calibri"/>
                </a:rPr>
                <a:t>RESETEAR STATS</a:t>
              </a:r>
            </a:p>
            <a:p>
              <a:pPr algn="ctr" rtl="0">
                <a:defRPr sz="1000"/>
              </a:pPr>
              <a:endParaRPr lang="es-AR" sz="1100" b="1" i="0" u="none" strike="noStrike" baseline="0">
                <a:solidFill>
                  <a:srgbClr val="C62828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38100</xdr:rowOff>
        </xdr:from>
        <xdr:to>
          <xdr:col>8</xdr:col>
          <xdr:colOff>0</xdr:colOff>
          <xdr:row>2</xdr:row>
          <xdr:rowOff>213360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ENTRENAMIENTO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9"/>
  <sheetViews>
    <sheetView zoomScaleNormal="100" workbookViewId="0">
      <selection activeCell="D20" sqref="D20"/>
    </sheetView>
  </sheetViews>
  <sheetFormatPr baseColWidth="10" defaultColWidth="8.6640625" defaultRowHeight="14.4" x14ac:dyDescent="0.3"/>
  <cols>
    <col min="1" max="1" width="12" customWidth="1"/>
    <col min="2" max="2" width="22" customWidth="1"/>
    <col min="3" max="3" width="14" customWidth="1"/>
    <col min="4" max="4" width="38.44140625" bestFit="1" customWidth="1"/>
  </cols>
  <sheetData>
    <row r="1" spans="1:4" ht="36" customHeight="1" x14ac:dyDescent="0.3">
      <c r="A1" s="112" t="s">
        <v>0</v>
      </c>
      <c r="B1" s="112"/>
      <c r="C1" s="112"/>
      <c r="D1" s="112"/>
    </row>
    <row r="2" spans="1:4" ht="21.75" customHeight="1" x14ac:dyDescent="0.3">
      <c r="A2" s="113" t="s">
        <v>1</v>
      </c>
      <c r="B2" s="113"/>
      <c r="C2" s="113"/>
      <c r="D2" s="113"/>
    </row>
    <row r="3" spans="1:4" ht="27.75" customHeight="1" x14ac:dyDescent="0.3">
      <c r="A3" s="2" t="s">
        <v>2</v>
      </c>
      <c r="B3" s="2" t="s">
        <v>3</v>
      </c>
      <c r="C3" s="2" t="s">
        <v>4</v>
      </c>
      <c r="D3" s="2" t="s">
        <v>5</v>
      </c>
    </row>
    <row r="4" spans="1:4" ht="21.75" customHeight="1" x14ac:dyDescent="0.3">
      <c r="A4" s="3">
        <v>2</v>
      </c>
      <c r="B4" s="4" t="s">
        <v>6</v>
      </c>
      <c r="C4" s="5" t="s">
        <v>7</v>
      </c>
      <c r="D4" s="6"/>
    </row>
    <row r="5" spans="1:4" ht="21.75" customHeight="1" x14ac:dyDescent="0.3">
      <c r="A5" s="7">
        <v>3</v>
      </c>
      <c r="B5" s="8" t="s">
        <v>8</v>
      </c>
      <c r="C5" s="5" t="s">
        <v>7</v>
      </c>
      <c r="D5" s="9"/>
    </row>
    <row r="6" spans="1:4" ht="21.75" customHeight="1" x14ac:dyDescent="0.3">
      <c r="A6" s="3">
        <v>4</v>
      </c>
      <c r="B6" s="4" t="s">
        <v>9</v>
      </c>
      <c r="C6" s="5" t="s">
        <v>7</v>
      </c>
      <c r="D6" s="6"/>
    </row>
    <row r="7" spans="1:4" ht="21.75" customHeight="1" x14ac:dyDescent="0.3">
      <c r="A7" s="7">
        <v>5</v>
      </c>
      <c r="B7" s="8" t="s">
        <v>10</v>
      </c>
      <c r="C7" s="5" t="s">
        <v>7</v>
      </c>
      <c r="D7" s="9"/>
    </row>
    <row r="8" spans="1:4" ht="21.75" customHeight="1" x14ac:dyDescent="0.3">
      <c r="A8" s="3">
        <v>6</v>
      </c>
      <c r="B8" s="4" t="s">
        <v>11</v>
      </c>
      <c r="C8" s="5" t="s">
        <v>7</v>
      </c>
      <c r="D8" s="6"/>
    </row>
    <row r="9" spans="1:4" ht="21.75" customHeight="1" x14ac:dyDescent="0.3">
      <c r="A9" s="7">
        <v>9</v>
      </c>
      <c r="B9" s="8" t="s">
        <v>12</v>
      </c>
      <c r="C9" s="5" t="s">
        <v>7</v>
      </c>
      <c r="D9" s="9"/>
    </row>
    <row r="10" spans="1:4" ht="21.75" customHeight="1" x14ac:dyDescent="0.3">
      <c r="A10" s="3">
        <v>10</v>
      </c>
      <c r="B10" s="4" t="s">
        <v>13</v>
      </c>
      <c r="C10" s="5" t="s">
        <v>7</v>
      </c>
      <c r="D10" s="6"/>
    </row>
    <row r="11" spans="1:4" ht="21.75" customHeight="1" x14ac:dyDescent="0.3">
      <c r="A11" s="7">
        <v>11</v>
      </c>
      <c r="B11" s="8" t="s">
        <v>14</v>
      </c>
      <c r="C11" s="5" t="s">
        <v>7</v>
      </c>
      <c r="D11" s="9"/>
    </row>
    <row r="12" spans="1:4" ht="21.75" customHeight="1" x14ac:dyDescent="0.3">
      <c r="A12" s="3">
        <v>12</v>
      </c>
      <c r="B12" s="4" t="s">
        <v>15</v>
      </c>
      <c r="C12" s="5" t="s">
        <v>7</v>
      </c>
      <c r="D12" s="6"/>
    </row>
    <row r="13" spans="1:4" ht="21.75" customHeight="1" x14ac:dyDescent="0.3">
      <c r="A13" s="7">
        <v>13</v>
      </c>
      <c r="B13" s="8" t="s">
        <v>16</v>
      </c>
      <c r="C13" s="5" t="s">
        <v>7</v>
      </c>
      <c r="D13" s="9"/>
    </row>
    <row r="14" spans="1:4" ht="21.75" customHeight="1" x14ac:dyDescent="0.3">
      <c r="A14" s="3">
        <v>14</v>
      </c>
      <c r="B14" s="4" t="s">
        <v>17</v>
      </c>
      <c r="C14" s="5" t="s">
        <v>7</v>
      </c>
      <c r="D14" s="6"/>
    </row>
    <row r="15" spans="1:4" ht="21.75" customHeight="1" x14ac:dyDescent="0.3">
      <c r="A15" s="7">
        <v>15</v>
      </c>
      <c r="B15" s="8" t="s">
        <v>18</v>
      </c>
      <c r="C15" s="5" t="s">
        <v>7</v>
      </c>
      <c r="D15" s="9"/>
    </row>
    <row r="16" spans="1:4" ht="21.75" customHeight="1" x14ac:dyDescent="0.3">
      <c r="A16" s="3">
        <v>17</v>
      </c>
      <c r="B16" s="4" t="s">
        <v>19</v>
      </c>
      <c r="C16" s="5" t="s">
        <v>7</v>
      </c>
      <c r="D16" s="6"/>
    </row>
    <row r="17" spans="1:4" ht="21.75" customHeight="1" x14ac:dyDescent="0.3">
      <c r="A17" s="7">
        <v>18</v>
      </c>
      <c r="B17" s="8" t="s">
        <v>20</v>
      </c>
      <c r="C17" s="5" t="s">
        <v>7</v>
      </c>
      <c r="D17" s="9"/>
    </row>
    <row r="18" spans="1:4" ht="21.75" customHeight="1" x14ac:dyDescent="0.3">
      <c r="A18" s="3">
        <v>19</v>
      </c>
      <c r="B18" s="4" t="s">
        <v>21</v>
      </c>
      <c r="C18" s="5" t="s">
        <v>7</v>
      </c>
      <c r="D18" s="6"/>
    </row>
    <row r="19" spans="1:4" ht="21.75" customHeight="1" x14ac:dyDescent="0.3">
      <c r="A19" s="10">
        <v>20</v>
      </c>
      <c r="B19" s="11" t="s">
        <v>22</v>
      </c>
      <c r="C19" s="12" t="s">
        <v>23</v>
      </c>
      <c r="D19" s="13" t="s">
        <v>24</v>
      </c>
    </row>
  </sheetData>
  <mergeCells count="2">
    <mergeCell ref="A1:D1"/>
    <mergeCell ref="A2:D2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0F950-7259-4F04-A53B-C3DC757543B2}">
  <sheetPr codeName="Hoja6"/>
  <dimension ref="A1:D166"/>
  <sheetViews>
    <sheetView workbookViewId="0">
      <selection sqref="A1:D1048576"/>
    </sheetView>
  </sheetViews>
  <sheetFormatPr baseColWidth="10" defaultColWidth="8.88671875" defaultRowHeight="14.4" x14ac:dyDescent="0.3"/>
  <cols>
    <col min="1" max="1" width="21.21875" style="91" bestFit="1" customWidth="1"/>
    <col min="2" max="2" width="76.77734375" style="91" bestFit="1" customWidth="1"/>
    <col min="3" max="3" width="44.77734375" style="91" bestFit="1" customWidth="1"/>
    <col min="4" max="4" width="36.21875" style="91" bestFit="1" customWidth="1"/>
    <col min="5" max="16384" width="8.88671875" style="90"/>
  </cols>
  <sheetData>
    <row r="1" spans="1:4" ht="36" customHeight="1" x14ac:dyDescent="0.3">
      <c r="A1" s="133" t="s">
        <v>485</v>
      </c>
      <c r="B1" s="115"/>
      <c r="C1" s="115"/>
      <c r="D1" s="116"/>
    </row>
    <row r="2" spans="1:4" ht="16.05" customHeight="1" x14ac:dyDescent="0.3">
      <c r="A2" s="136" t="s">
        <v>484</v>
      </c>
      <c r="B2" s="115"/>
      <c r="C2" s="115"/>
      <c r="D2" s="116"/>
    </row>
    <row r="3" spans="1:4" ht="22.05" customHeight="1" x14ac:dyDescent="0.3">
      <c r="A3" s="135" t="s">
        <v>483</v>
      </c>
      <c r="B3" s="115"/>
      <c r="C3" s="115"/>
      <c r="D3" s="116"/>
    </row>
    <row r="4" spans="1:4" ht="18" customHeight="1" x14ac:dyDescent="0.3">
      <c r="A4" s="108" t="s">
        <v>482</v>
      </c>
      <c r="B4" s="107" t="s">
        <v>481</v>
      </c>
      <c r="C4" s="107" t="s">
        <v>179</v>
      </c>
      <c r="D4" s="107" t="s">
        <v>220</v>
      </c>
    </row>
    <row r="5" spans="1:4" ht="16.95" customHeight="1" x14ac:dyDescent="0.3">
      <c r="A5" s="93" t="s">
        <v>480</v>
      </c>
      <c r="B5" s="93" t="s">
        <v>479</v>
      </c>
      <c r="C5" s="93" t="s">
        <v>478</v>
      </c>
      <c r="D5" s="93" t="s">
        <v>112</v>
      </c>
    </row>
    <row r="6" spans="1:4" ht="16.95" customHeight="1" x14ac:dyDescent="0.3">
      <c r="A6" s="92" t="s">
        <v>477</v>
      </c>
      <c r="B6" s="92" t="s">
        <v>476</v>
      </c>
      <c r="C6" s="92" t="s">
        <v>475</v>
      </c>
      <c r="D6" s="92" t="s">
        <v>474</v>
      </c>
    </row>
    <row r="7" spans="1:4" ht="16.95" customHeight="1" x14ac:dyDescent="0.3">
      <c r="A7" s="93" t="s">
        <v>473</v>
      </c>
      <c r="B7" s="93" t="s">
        <v>472</v>
      </c>
      <c r="C7" s="93" t="s">
        <v>471</v>
      </c>
      <c r="D7" s="93" t="s">
        <v>470</v>
      </c>
    </row>
    <row r="8" spans="1:4" ht="16.95" customHeight="1" x14ac:dyDescent="0.3">
      <c r="A8" s="92" t="s">
        <v>469</v>
      </c>
      <c r="B8" s="92" t="s">
        <v>468</v>
      </c>
      <c r="C8" s="92" t="s">
        <v>467</v>
      </c>
      <c r="D8" s="92" t="s">
        <v>466</v>
      </c>
    </row>
    <row r="9" spans="1:4" ht="16.95" customHeight="1" x14ac:dyDescent="0.3">
      <c r="A9" s="93" t="s">
        <v>465</v>
      </c>
      <c r="B9" s="93" t="s">
        <v>464</v>
      </c>
      <c r="C9" s="93" t="s">
        <v>463</v>
      </c>
      <c r="D9" s="93" t="s">
        <v>462</v>
      </c>
    </row>
    <row r="10" spans="1:4" ht="16.95" customHeight="1" x14ac:dyDescent="0.3">
      <c r="A10" s="92" t="s">
        <v>461</v>
      </c>
      <c r="B10" s="92"/>
      <c r="C10" s="92" t="s">
        <v>460</v>
      </c>
      <c r="D10" s="92" t="s">
        <v>152</v>
      </c>
    </row>
    <row r="11" spans="1:4" ht="16.95" customHeight="1" x14ac:dyDescent="0.3">
      <c r="A11" s="117" t="s">
        <v>459</v>
      </c>
      <c r="B11" s="115"/>
      <c r="C11" s="115"/>
      <c r="D11" s="116"/>
    </row>
    <row r="13" spans="1:4" ht="22.05" customHeight="1" x14ac:dyDescent="0.3">
      <c r="A13" s="122" t="s">
        <v>458</v>
      </c>
      <c r="B13" s="115"/>
      <c r="C13" s="115"/>
      <c r="D13" s="116"/>
    </row>
    <row r="14" spans="1:4" ht="18" customHeight="1" x14ac:dyDescent="0.3">
      <c r="A14" s="106" t="s">
        <v>163</v>
      </c>
      <c r="B14" s="106" t="s">
        <v>54</v>
      </c>
      <c r="C14" s="106" t="s">
        <v>179</v>
      </c>
      <c r="D14" s="106" t="s">
        <v>220</v>
      </c>
    </row>
    <row r="15" spans="1:4" ht="16.95" customHeight="1" x14ac:dyDescent="0.3">
      <c r="A15" s="93" t="s">
        <v>25</v>
      </c>
      <c r="B15" s="93" t="s">
        <v>26</v>
      </c>
      <c r="C15" s="93" t="s">
        <v>457</v>
      </c>
      <c r="D15" s="93" t="s">
        <v>456</v>
      </c>
    </row>
    <row r="16" spans="1:4" ht="16.95" customHeight="1" x14ac:dyDescent="0.3">
      <c r="A16" s="92" t="s">
        <v>27</v>
      </c>
      <c r="B16" s="92" t="s">
        <v>28</v>
      </c>
      <c r="C16" s="92" t="s">
        <v>455</v>
      </c>
      <c r="D16" s="92" t="s">
        <v>454</v>
      </c>
    </row>
    <row r="17" spans="1:4" ht="16.95" customHeight="1" x14ac:dyDescent="0.3">
      <c r="A17" s="93" t="s">
        <v>29</v>
      </c>
      <c r="B17" s="93" t="s">
        <v>453</v>
      </c>
      <c r="C17" s="93" t="s">
        <v>452</v>
      </c>
      <c r="D17" s="93" t="s">
        <v>451</v>
      </c>
    </row>
    <row r="18" spans="1:4" ht="16.95" customHeight="1" x14ac:dyDescent="0.3">
      <c r="A18" s="117" t="s">
        <v>450</v>
      </c>
      <c r="B18" s="115"/>
      <c r="C18" s="115"/>
      <c r="D18" s="116"/>
    </row>
    <row r="19" spans="1:4" ht="16.95" customHeight="1" x14ac:dyDescent="0.3">
      <c r="A19" s="117" t="s">
        <v>449</v>
      </c>
      <c r="B19" s="115"/>
      <c r="C19" s="115"/>
      <c r="D19" s="116"/>
    </row>
    <row r="20" spans="1:4" ht="16.95" customHeight="1" x14ac:dyDescent="0.3">
      <c r="A20" s="117" t="s">
        <v>448</v>
      </c>
      <c r="B20" s="115"/>
      <c r="C20" s="115"/>
      <c r="D20" s="116"/>
    </row>
    <row r="21" spans="1:4" ht="16.05" customHeight="1" x14ac:dyDescent="0.3">
      <c r="A21" s="105" t="s">
        <v>447</v>
      </c>
      <c r="B21" s="105" t="s">
        <v>446</v>
      </c>
      <c r="C21" s="105" t="s">
        <v>445</v>
      </c>
      <c r="D21" s="105"/>
    </row>
    <row r="22" spans="1:4" ht="16.95" customHeight="1" x14ac:dyDescent="0.3">
      <c r="A22" s="93" t="s">
        <v>444</v>
      </c>
      <c r="B22" s="93" t="s">
        <v>441</v>
      </c>
      <c r="C22" s="93" t="s">
        <v>443</v>
      </c>
      <c r="D22" s="93"/>
    </row>
    <row r="23" spans="1:4" ht="16.95" customHeight="1" x14ac:dyDescent="0.3">
      <c r="A23" s="92" t="s">
        <v>442</v>
      </c>
      <c r="B23" s="92" t="s">
        <v>441</v>
      </c>
      <c r="C23" s="92" t="s">
        <v>89</v>
      </c>
      <c r="D23" s="92"/>
    </row>
    <row r="24" spans="1:4" ht="16.95" customHeight="1" x14ac:dyDescent="0.3">
      <c r="A24" s="93" t="s">
        <v>440</v>
      </c>
      <c r="B24" s="93" t="s">
        <v>439</v>
      </c>
      <c r="C24" s="93" t="s">
        <v>438</v>
      </c>
      <c r="D24" s="93"/>
    </row>
    <row r="25" spans="1:4" ht="16.95" customHeight="1" x14ac:dyDescent="0.3">
      <c r="A25" s="92" t="s">
        <v>437</v>
      </c>
      <c r="B25" s="92" t="s">
        <v>436</v>
      </c>
      <c r="C25" s="92" t="s">
        <v>93</v>
      </c>
      <c r="D25" s="92"/>
    </row>
    <row r="26" spans="1:4" ht="16.95" customHeight="1" x14ac:dyDescent="0.3">
      <c r="A26" s="93" t="s">
        <v>435</v>
      </c>
      <c r="B26" s="93" t="s">
        <v>434</v>
      </c>
      <c r="C26" s="93" t="s">
        <v>90</v>
      </c>
      <c r="D26" s="93"/>
    </row>
    <row r="27" spans="1:4" ht="16.95" customHeight="1" x14ac:dyDescent="0.3">
      <c r="A27" s="92" t="e">
        <f>(k) error rec.</f>
        <v>#NAME?</v>
      </c>
      <c r="B27" s="92" t="s">
        <v>433</v>
      </c>
      <c r="C27" s="92" t="s">
        <v>91</v>
      </c>
      <c r="D27" s="92"/>
    </row>
    <row r="29" spans="1:4" ht="22.05" customHeight="1" x14ac:dyDescent="0.3">
      <c r="A29" s="126" t="s">
        <v>432</v>
      </c>
      <c r="B29" s="115"/>
      <c r="C29" s="115"/>
      <c r="D29" s="116"/>
    </row>
    <row r="30" spans="1:4" ht="18" customHeight="1" x14ac:dyDescent="0.3">
      <c r="A30" s="104" t="s">
        <v>163</v>
      </c>
      <c r="B30" s="104" t="s">
        <v>54</v>
      </c>
      <c r="C30" s="104" t="s">
        <v>179</v>
      </c>
      <c r="D30" s="104" t="s">
        <v>220</v>
      </c>
    </row>
    <row r="31" spans="1:4" ht="16.95" customHeight="1" x14ac:dyDescent="0.3">
      <c r="A31" s="93" t="s">
        <v>429</v>
      </c>
      <c r="B31" s="93" t="s">
        <v>431</v>
      </c>
      <c r="C31" s="93" t="s">
        <v>430</v>
      </c>
      <c r="D31" s="93" t="s">
        <v>429</v>
      </c>
    </row>
    <row r="32" spans="1:4" ht="16.95" customHeight="1" x14ac:dyDescent="0.3">
      <c r="A32" s="92" t="s">
        <v>426</v>
      </c>
      <c r="B32" s="92" t="s">
        <v>428</v>
      </c>
      <c r="C32" s="92" t="s">
        <v>427</v>
      </c>
      <c r="D32" s="92" t="s">
        <v>426</v>
      </c>
    </row>
    <row r="33" spans="1:4" ht="16.95" customHeight="1" x14ac:dyDescent="0.3">
      <c r="A33" s="93" t="s">
        <v>423</v>
      </c>
      <c r="B33" s="93" t="s">
        <v>425</v>
      </c>
      <c r="C33" s="93" t="s">
        <v>424</v>
      </c>
      <c r="D33" s="93" t="s">
        <v>423</v>
      </c>
    </row>
    <row r="34" spans="1:4" ht="16.95" customHeight="1" x14ac:dyDescent="0.3">
      <c r="A34" s="117" t="s">
        <v>422</v>
      </c>
      <c r="B34" s="115"/>
      <c r="C34" s="115"/>
      <c r="D34" s="116"/>
    </row>
    <row r="36" spans="1:4" ht="22.05" customHeight="1" x14ac:dyDescent="0.3">
      <c r="A36" s="118" t="s">
        <v>421</v>
      </c>
      <c r="B36" s="115"/>
      <c r="C36" s="115"/>
      <c r="D36" s="116"/>
    </row>
    <row r="37" spans="1:4" ht="18" customHeight="1" x14ac:dyDescent="0.3">
      <c r="A37" s="103" t="s">
        <v>163</v>
      </c>
      <c r="B37" s="103" t="s">
        <v>54</v>
      </c>
      <c r="C37" s="103" t="s">
        <v>179</v>
      </c>
      <c r="D37" s="103" t="s">
        <v>220</v>
      </c>
    </row>
    <row r="38" spans="1:4" ht="16.95" customHeight="1" x14ac:dyDescent="0.3">
      <c r="A38" s="93" t="s">
        <v>112</v>
      </c>
      <c r="B38" s="93" t="s">
        <v>94</v>
      </c>
      <c r="C38" s="93" t="s">
        <v>420</v>
      </c>
      <c r="D38" s="93" t="s">
        <v>112</v>
      </c>
    </row>
    <row r="39" spans="1:4" ht="16.95" customHeight="1" x14ac:dyDescent="0.3">
      <c r="A39" s="92" t="s">
        <v>418</v>
      </c>
      <c r="B39" s="92" t="s">
        <v>30</v>
      </c>
      <c r="C39" s="92" t="s">
        <v>419</v>
      </c>
      <c r="D39" s="92" t="s">
        <v>418</v>
      </c>
    </row>
    <row r="40" spans="1:4" ht="16.95" customHeight="1" x14ac:dyDescent="0.3">
      <c r="A40" s="93" t="s">
        <v>416</v>
      </c>
      <c r="B40" s="93" t="s">
        <v>31</v>
      </c>
      <c r="C40" s="93" t="s">
        <v>417</v>
      </c>
      <c r="D40" s="93" t="s">
        <v>416</v>
      </c>
    </row>
    <row r="41" spans="1:4" ht="16.95" customHeight="1" x14ac:dyDescent="0.3">
      <c r="A41" s="92" t="s">
        <v>413</v>
      </c>
      <c r="B41" s="92" t="s">
        <v>415</v>
      </c>
      <c r="C41" s="92" t="s">
        <v>414</v>
      </c>
      <c r="D41" s="92" t="s">
        <v>413</v>
      </c>
    </row>
    <row r="42" spans="1:4" ht="16.95" customHeight="1" x14ac:dyDescent="0.3">
      <c r="A42" s="117" t="s">
        <v>412</v>
      </c>
      <c r="B42" s="115"/>
      <c r="C42" s="115"/>
      <c r="D42" s="116"/>
    </row>
    <row r="44" spans="1:4" ht="22.05" customHeight="1" x14ac:dyDescent="0.3">
      <c r="A44" s="123" t="s">
        <v>411</v>
      </c>
      <c r="B44" s="115"/>
      <c r="C44" s="115"/>
      <c r="D44" s="116"/>
    </row>
    <row r="45" spans="1:4" ht="16.95" customHeight="1" x14ac:dyDescent="0.3">
      <c r="A45" s="134" t="s">
        <v>410</v>
      </c>
      <c r="B45" s="115"/>
      <c r="C45" s="115"/>
      <c r="D45" s="116"/>
    </row>
    <row r="46" spans="1:4" x14ac:dyDescent="0.3">
      <c r="A46" s="128" t="s">
        <v>409</v>
      </c>
      <c r="B46" s="115"/>
      <c r="C46" s="115"/>
      <c r="D46" s="116"/>
    </row>
    <row r="48" spans="1:4" ht="18" customHeight="1" x14ac:dyDescent="0.3">
      <c r="A48" s="125" t="s">
        <v>408</v>
      </c>
      <c r="B48" s="115"/>
      <c r="C48" s="115"/>
      <c r="D48" s="116"/>
    </row>
    <row r="49" spans="1:4" ht="18" customHeight="1" x14ac:dyDescent="0.3">
      <c r="A49" s="102" t="s">
        <v>318</v>
      </c>
      <c r="B49" s="102" t="s">
        <v>179</v>
      </c>
      <c r="C49" s="102" t="s">
        <v>317</v>
      </c>
      <c r="D49" s="102" t="s">
        <v>316</v>
      </c>
    </row>
    <row r="50" spans="1:4" ht="16.95" customHeight="1" x14ac:dyDescent="0.3">
      <c r="A50" s="93" t="s">
        <v>113</v>
      </c>
      <c r="B50" s="93" t="s">
        <v>407</v>
      </c>
      <c r="C50" s="93" t="s">
        <v>406</v>
      </c>
      <c r="D50" s="93" t="s">
        <v>378</v>
      </c>
    </row>
    <row r="51" spans="1:4" ht="16.95" customHeight="1" x14ac:dyDescent="0.3">
      <c r="A51" s="92" t="s">
        <v>120</v>
      </c>
      <c r="B51" s="92" t="s">
        <v>405</v>
      </c>
      <c r="C51" s="92" t="s">
        <v>404</v>
      </c>
      <c r="D51" s="92" t="s">
        <v>375</v>
      </c>
    </row>
    <row r="52" spans="1:4" ht="16.95" customHeight="1" x14ac:dyDescent="0.3">
      <c r="A52" s="93" t="s">
        <v>403</v>
      </c>
      <c r="B52" s="93" t="s">
        <v>402</v>
      </c>
      <c r="C52" s="93" t="s">
        <v>401</v>
      </c>
      <c r="D52" s="93" t="s">
        <v>367</v>
      </c>
    </row>
    <row r="53" spans="1:4" ht="16.95" customHeight="1" x14ac:dyDescent="0.3">
      <c r="A53" s="92" t="s">
        <v>400</v>
      </c>
      <c r="B53" s="92" t="s">
        <v>399</v>
      </c>
      <c r="C53" s="92" t="s">
        <v>398</v>
      </c>
      <c r="D53" s="92" t="s">
        <v>397</v>
      </c>
    </row>
    <row r="54" spans="1:4" ht="16.95" customHeight="1" x14ac:dyDescent="0.3">
      <c r="A54" s="93" t="s">
        <v>396</v>
      </c>
      <c r="B54" s="93" t="s">
        <v>395</v>
      </c>
      <c r="C54" s="93" t="s">
        <v>394</v>
      </c>
      <c r="D54" s="93" t="s">
        <v>371</v>
      </c>
    </row>
    <row r="55" spans="1:4" ht="16.95" customHeight="1" x14ac:dyDescent="0.3">
      <c r="A55" s="92" t="s">
        <v>393</v>
      </c>
      <c r="B55" s="92" t="s">
        <v>392</v>
      </c>
      <c r="C55" s="92" t="s">
        <v>391</v>
      </c>
      <c r="D55" s="92" t="s">
        <v>390</v>
      </c>
    </row>
    <row r="56" spans="1:4" ht="16.95" customHeight="1" x14ac:dyDescent="0.3">
      <c r="A56" s="93" t="s">
        <v>116</v>
      </c>
      <c r="B56" s="93" t="s">
        <v>389</v>
      </c>
      <c r="C56" s="93" t="s">
        <v>147</v>
      </c>
      <c r="D56" s="93" t="s">
        <v>388</v>
      </c>
    </row>
    <row r="57" spans="1:4" ht="16.95" customHeight="1" x14ac:dyDescent="0.3">
      <c r="A57" s="92" t="s">
        <v>387</v>
      </c>
      <c r="B57" s="92" t="s">
        <v>386</v>
      </c>
      <c r="C57" s="92" t="s">
        <v>385</v>
      </c>
      <c r="D57" s="92" t="s">
        <v>363</v>
      </c>
    </row>
    <row r="58" spans="1:4" ht="16.95" customHeight="1" x14ac:dyDescent="0.3">
      <c r="A58" s="93" t="s">
        <v>384</v>
      </c>
      <c r="B58" s="93" t="s">
        <v>383</v>
      </c>
      <c r="C58" s="93" t="s">
        <v>382</v>
      </c>
      <c r="D58" s="93" t="s">
        <v>381</v>
      </c>
    </row>
    <row r="59" spans="1:4" ht="16.95" customHeight="1" x14ac:dyDescent="0.3">
      <c r="A59" s="92" t="s">
        <v>119</v>
      </c>
      <c r="B59" s="92" t="s">
        <v>380</v>
      </c>
      <c r="C59" s="92" t="s">
        <v>379</v>
      </c>
      <c r="D59" s="92" t="s">
        <v>378</v>
      </c>
    </row>
    <row r="60" spans="1:4" ht="16.95" customHeight="1" x14ac:dyDescent="0.3">
      <c r="A60" s="93" t="s">
        <v>124</v>
      </c>
      <c r="B60" s="93" t="s">
        <v>377</v>
      </c>
      <c r="C60" s="93" t="s">
        <v>376</v>
      </c>
      <c r="D60" s="93" t="s">
        <v>375</v>
      </c>
    </row>
    <row r="61" spans="1:4" ht="16.95" customHeight="1" x14ac:dyDescent="0.3">
      <c r="A61" s="92" t="s">
        <v>374</v>
      </c>
      <c r="B61" s="92" t="s">
        <v>373</v>
      </c>
      <c r="C61" s="92" t="s">
        <v>372</v>
      </c>
      <c r="D61" s="92" t="s">
        <v>371</v>
      </c>
    </row>
    <row r="62" spans="1:4" ht="16.95" customHeight="1" x14ac:dyDescent="0.3">
      <c r="A62" s="93" t="s">
        <v>370</v>
      </c>
      <c r="B62" s="93" t="s">
        <v>369</v>
      </c>
      <c r="C62" s="93" t="s">
        <v>368</v>
      </c>
      <c r="D62" s="93" t="s">
        <v>367</v>
      </c>
    </row>
    <row r="63" spans="1:4" ht="16.95" customHeight="1" x14ac:dyDescent="0.3">
      <c r="A63" s="92" t="s">
        <v>366</v>
      </c>
      <c r="B63" s="92" t="s">
        <v>365</v>
      </c>
      <c r="C63" s="92" t="s">
        <v>364</v>
      </c>
      <c r="D63" s="92" t="s">
        <v>363</v>
      </c>
    </row>
    <row r="65" spans="1:4" ht="18" customHeight="1" x14ac:dyDescent="0.3">
      <c r="A65" s="127" t="s">
        <v>362</v>
      </c>
      <c r="B65" s="115"/>
      <c r="C65" s="115"/>
      <c r="D65" s="116"/>
    </row>
    <row r="66" spans="1:4" ht="18" customHeight="1" x14ac:dyDescent="0.3">
      <c r="A66" s="101" t="s">
        <v>318</v>
      </c>
      <c r="B66" s="101" t="s">
        <v>179</v>
      </c>
      <c r="C66" s="101" t="s">
        <v>317</v>
      </c>
      <c r="D66" s="101" t="s">
        <v>316</v>
      </c>
    </row>
    <row r="67" spans="1:4" ht="16.95" customHeight="1" x14ac:dyDescent="0.3">
      <c r="A67" s="93" t="s">
        <v>114</v>
      </c>
      <c r="B67" s="93" t="s">
        <v>361</v>
      </c>
      <c r="C67" s="93" t="s">
        <v>360</v>
      </c>
      <c r="D67" s="93" t="s">
        <v>295</v>
      </c>
    </row>
    <row r="68" spans="1:4" ht="16.95" customHeight="1" x14ac:dyDescent="0.3">
      <c r="A68" s="92" t="s">
        <v>117</v>
      </c>
      <c r="B68" s="92" t="s">
        <v>359</v>
      </c>
      <c r="C68" s="92" t="s">
        <v>358</v>
      </c>
      <c r="D68" s="92" t="s">
        <v>310</v>
      </c>
    </row>
    <row r="69" spans="1:4" ht="16.95" customHeight="1" x14ac:dyDescent="0.3">
      <c r="A69" s="93" t="s">
        <v>357</v>
      </c>
      <c r="B69" s="93" t="s">
        <v>356</v>
      </c>
      <c r="C69" s="93" t="s">
        <v>355</v>
      </c>
      <c r="D69" s="93" t="s">
        <v>306</v>
      </c>
    </row>
    <row r="70" spans="1:4" ht="16.95" customHeight="1" x14ac:dyDescent="0.3">
      <c r="A70" s="92" t="s">
        <v>354</v>
      </c>
      <c r="B70" s="92" t="s">
        <v>353</v>
      </c>
      <c r="C70" s="92" t="s">
        <v>352</v>
      </c>
      <c r="D70" s="92" t="s">
        <v>299</v>
      </c>
    </row>
    <row r="71" spans="1:4" ht="16.95" customHeight="1" x14ac:dyDescent="0.3">
      <c r="A71" s="93" t="s">
        <v>121</v>
      </c>
      <c r="B71" s="93" t="s">
        <v>351</v>
      </c>
      <c r="C71" s="93" t="s">
        <v>350</v>
      </c>
      <c r="D71" s="93" t="s">
        <v>288</v>
      </c>
    </row>
    <row r="72" spans="1:4" ht="16.95" customHeight="1" x14ac:dyDescent="0.3">
      <c r="A72" s="92" t="s">
        <v>349</v>
      </c>
      <c r="B72" s="92" t="s">
        <v>348</v>
      </c>
      <c r="C72" s="92" t="s">
        <v>347</v>
      </c>
      <c r="D72" s="92" t="s">
        <v>292</v>
      </c>
    </row>
    <row r="73" spans="1:4" ht="16.95" customHeight="1" x14ac:dyDescent="0.3">
      <c r="A73" s="93" t="s">
        <v>346</v>
      </c>
      <c r="B73" s="93" t="s">
        <v>345</v>
      </c>
      <c r="C73" s="93" t="s">
        <v>344</v>
      </c>
      <c r="D73" s="93" t="s">
        <v>276</v>
      </c>
    </row>
    <row r="74" spans="1:4" ht="16.95" customHeight="1" x14ac:dyDescent="0.3">
      <c r="A74" s="92" t="s">
        <v>283</v>
      </c>
      <c r="B74" s="92" t="s">
        <v>321</v>
      </c>
      <c r="C74" s="92" t="s">
        <v>343</v>
      </c>
      <c r="D74" s="92" t="s">
        <v>284</v>
      </c>
    </row>
    <row r="75" spans="1:4" ht="16.95" customHeight="1" x14ac:dyDescent="0.3">
      <c r="A75" s="93" t="s">
        <v>279</v>
      </c>
      <c r="B75" s="93" t="s">
        <v>342</v>
      </c>
      <c r="C75" s="93" t="s">
        <v>341</v>
      </c>
      <c r="D75" s="93" t="s">
        <v>280</v>
      </c>
    </row>
    <row r="76" spans="1:4" ht="16.95" customHeight="1" x14ac:dyDescent="0.3">
      <c r="A76" s="92" t="s">
        <v>340</v>
      </c>
      <c r="B76" s="92" t="s">
        <v>339</v>
      </c>
      <c r="C76" s="92" t="s">
        <v>338</v>
      </c>
      <c r="D76" s="92" t="s">
        <v>337</v>
      </c>
    </row>
    <row r="77" spans="1:4" ht="16.95" customHeight="1" x14ac:dyDescent="0.3">
      <c r="A77" s="93" t="s">
        <v>336</v>
      </c>
      <c r="B77" s="93" t="s">
        <v>335</v>
      </c>
      <c r="C77" s="93" t="s">
        <v>334</v>
      </c>
      <c r="D77" s="93" t="s">
        <v>272</v>
      </c>
    </row>
    <row r="78" spans="1:4" ht="16.95" customHeight="1" x14ac:dyDescent="0.3">
      <c r="A78" s="92" t="s">
        <v>333</v>
      </c>
      <c r="B78" s="92" t="s">
        <v>332</v>
      </c>
      <c r="C78" s="92" t="s">
        <v>331</v>
      </c>
      <c r="D78" s="92" t="s">
        <v>268</v>
      </c>
    </row>
    <row r="79" spans="1:4" ht="16.95" customHeight="1" x14ac:dyDescent="0.3">
      <c r="A79" s="93" t="s">
        <v>330</v>
      </c>
      <c r="B79" s="93" t="s">
        <v>329</v>
      </c>
      <c r="C79" s="93" t="s">
        <v>328</v>
      </c>
      <c r="D79" s="93" t="s">
        <v>264</v>
      </c>
    </row>
    <row r="80" spans="1:4" ht="16.95" customHeight="1" x14ac:dyDescent="0.3">
      <c r="A80" s="92" t="s">
        <v>248</v>
      </c>
      <c r="B80" s="92" t="s">
        <v>327</v>
      </c>
      <c r="C80" s="92" t="s">
        <v>326</v>
      </c>
      <c r="D80" s="92" t="s">
        <v>257</v>
      </c>
    </row>
    <row r="81" spans="1:4" ht="16.95" customHeight="1" x14ac:dyDescent="0.3">
      <c r="A81" s="93" t="s">
        <v>325</v>
      </c>
      <c r="B81" s="93" t="s">
        <v>324</v>
      </c>
      <c r="C81" s="93" t="s">
        <v>323</v>
      </c>
      <c r="D81" s="93" t="s">
        <v>253</v>
      </c>
    </row>
    <row r="82" spans="1:4" ht="16.95" customHeight="1" x14ac:dyDescent="0.3">
      <c r="A82" s="92" t="s">
        <v>322</v>
      </c>
      <c r="B82" s="92" t="s">
        <v>321</v>
      </c>
      <c r="C82" s="92" t="s">
        <v>320</v>
      </c>
      <c r="D82" s="92" t="s">
        <v>284</v>
      </c>
    </row>
    <row r="84" spans="1:4" ht="18" customHeight="1" x14ac:dyDescent="0.3">
      <c r="A84" s="129" t="s">
        <v>319</v>
      </c>
      <c r="B84" s="115"/>
      <c r="C84" s="115"/>
      <c r="D84" s="116"/>
    </row>
    <row r="85" spans="1:4" ht="18" customHeight="1" x14ac:dyDescent="0.3">
      <c r="A85" s="100" t="s">
        <v>318</v>
      </c>
      <c r="B85" s="100" t="s">
        <v>179</v>
      </c>
      <c r="C85" s="100" t="s">
        <v>317</v>
      </c>
      <c r="D85" s="100" t="s">
        <v>316</v>
      </c>
    </row>
    <row r="86" spans="1:4" ht="16.95" customHeight="1" x14ac:dyDescent="0.3">
      <c r="A86" s="93" t="s">
        <v>115</v>
      </c>
      <c r="B86" s="93" t="s">
        <v>315</v>
      </c>
      <c r="C86" s="93" t="s">
        <v>314</v>
      </c>
      <c r="D86" s="93" t="s">
        <v>295</v>
      </c>
    </row>
    <row r="87" spans="1:4" ht="16.95" customHeight="1" x14ac:dyDescent="0.3">
      <c r="A87" s="92" t="s">
        <v>313</v>
      </c>
      <c r="B87" s="92" t="s">
        <v>312</v>
      </c>
      <c r="C87" s="92" t="s">
        <v>311</v>
      </c>
      <c r="D87" s="92" t="s">
        <v>310</v>
      </c>
    </row>
    <row r="88" spans="1:4" ht="16.95" customHeight="1" x14ac:dyDescent="0.3">
      <c r="A88" s="93" t="s">
        <v>309</v>
      </c>
      <c r="B88" s="93" t="s">
        <v>308</v>
      </c>
      <c r="C88" s="93" t="s">
        <v>307</v>
      </c>
      <c r="D88" s="93" t="s">
        <v>306</v>
      </c>
    </row>
    <row r="89" spans="1:4" ht="16.95" customHeight="1" x14ac:dyDescent="0.3">
      <c r="A89" s="92" t="s">
        <v>123</v>
      </c>
      <c r="B89" s="92" t="s">
        <v>305</v>
      </c>
      <c r="C89" s="92" t="s">
        <v>304</v>
      </c>
      <c r="D89" s="92" t="s">
        <v>303</v>
      </c>
    </row>
    <row r="90" spans="1:4" ht="16.95" customHeight="1" x14ac:dyDescent="0.3">
      <c r="A90" s="93" t="s">
        <v>302</v>
      </c>
      <c r="B90" s="93" t="s">
        <v>301</v>
      </c>
      <c r="C90" s="93" t="s">
        <v>300</v>
      </c>
      <c r="D90" s="93" t="s">
        <v>299</v>
      </c>
    </row>
    <row r="91" spans="1:4" ht="16.95" customHeight="1" x14ac:dyDescent="0.3">
      <c r="A91" s="92" t="s">
        <v>298</v>
      </c>
      <c r="B91" s="92" t="s">
        <v>297</v>
      </c>
      <c r="C91" s="92" t="s">
        <v>296</v>
      </c>
      <c r="D91" s="92" t="s">
        <v>295</v>
      </c>
    </row>
    <row r="92" spans="1:4" ht="16.95" customHeight="1" x14ac:dyDescent="0.3">
      <c r="A92" s="93" t="s">
        <v>118</v>
      </c>
      <c r="B92" s="93" t="s">
        <v>294</v>
      </c>
      <c r="C92" s="93" t="s">
        <v>293</v>
      </c>
      <c r="D92" s="93" t="s">
        <v>292</v>
      </c>
    </row>
    <row r="93" spans="1:4" ht="16.95" customHeight="1" x14ac:dyDescent="0.3">
      <c r="A93" s="92" t="s">
        <v>291</v>
      </c>
      <c r="B93" s="92" t="s">
        <v>290</v>
      </c>
      <c r="C93" s="92" t="s">
        <v>289</v>
      </c>
      <c r="D93" s="92" t="s">
        <v>288</v>
      </c>
    </row>
    <row r="94" spans="1:4" ht="16.95" customHeight="1" x14ac:dyDescent="0.3">
      <c r="A94" s="93" t="s">
        <v>287</v>
      </c>
      <c r="B94" s="93" t="s">
        <v>286</v>
      </c>
      <c r="C94" s="93" t="s">
        <v>285</v>
      </c>
      <c r="D94" s="93" t="s">
        <v>284</v>
      </c>
    </row>
    <row r="95" spans="1:4" ht="16.95" customHeight="1" x14ac:dyDescent="0.3">
      <c r="A95" s="92" t="s">
        <v>283</v>
      </c>
      <c r="B95" s="92" t="s">
        <v>282</v>
      </c>
      <c r="C95" s="92" t="s">
        <v>281</v>
      </c>
      <c r="D95" s="92" t="s">
        <v>280</v>
      </c>
    </row>
    <row r="96" spans="1:4" ht="16.95" customHeight="1" x14ac:dyDescent="0.3">
      <c r="A96" s="93" t="s">
        <v>279</v>
      </c>
      <c r="B96" s="93" t="s">
        <v>278</v>
      </c>
      <c r="C96" s="93" t="s">
        <v>277</v>
      </c>
      <c r="D96" s="93" t="s">
        <v>276</v>
      </c>
    </row>
    <row r="97" spans="1:4" ht="16.95" customHeight="1" x14ac:dyDescent="0.3">
      <c r="A97" s="92" t="s">
        <v>275</v>
      </c>
      <c r="B97" s="92" t="s">
        <v>274</v>
      </c>
      <c r="C97" s="92" t="s">
        <v>273</v>
      </c>
      <c r="D97" s="92" t="s">
        <v>272</v>
      </c>
    </row>
    <row r="98" spans="1:4" ht="16.95" customHeight="1" x14ac:dyDescent="0.3">
      <c r="A98" s="93" t="s">
        <v>271</v>
      </c>
      <c r="B98" s="93" t="s">
        <v>270</v>
      </c>
      <c r="C98" s="93" t="s">
        <v>269</v>
      </c>
      <c r="D98" s="93" t="s">
        <v>268</v>
      </c>
    </row>
    <row r="99" spans="1:4" ht="16.95" customHeight="1" x14ac:dyDescent="0.3">
      <c r="A99" s="92" t="s">
        <v>267</v>
      </c>
      <c r="B99" s="92" t="s">
        <v>266</v>
      </c>
      <c r="C99" s="92" t="s">
        <v>265</v>
      </c>
      <c r="D99" s="92" t="s">
        <v>264</v>
      </c>
    </row>
    <row r="100" spans="1:4" ht="16.95" customHeight="1" x14ac:dyDescent="0.3">
      <c r="A100" s="93" t="s">
        <v>122</v>
      </c>
      <c r="B100" s="93" t="s">
        <v>263</v>
      </c>
      <c r="C100" s="93" t="s">
        <v>262</v>
      </c>
      <c r="D100" s="93" t="s">
        <v>261</v>
      </c>
    </row>
    <row r="101" spans="1:4" ht="16.95" customHeight="1" x14ac:dyDescent="0.3">
      <c r="A101" s="92" t="s">
        <v>260</v>
      </c>
      <c r="B101" s="92" t="s">
        <v>259</v>
      </c>
      <c r="C101" s="92" t="s">
        <v>258</v>
      </c>
      <c r="D101" s="92" t="s">
        <v>257</v>
      </c>
    </row>
    <row r="102" spans="1:4" ht="16.95" customHeight="1" x14ac:dyDescent="0.3">
      <c r="A102" s="93" t="s">
        <v>256</v>
      </c>
      <c r="B102" s="93" t="s">
        <v>255</v>
      </c>
      <c r="C102" s="93" t="s">
        <v>254</v>
      </c>
      <c r="D102" s="93" t="s">
        <v>253</v>
      </c>
    </row>
    <row r="103" spans="1:4" ht="16.95" customHeight="1" x14ac:dyDescent="0.3">
      <c r="A103" s="92" t="s">
        <v>252</v>
      </c>
      <c r="B103" s="92" t="s">
        <v>251</v>
      </c>
      <c r="C103" s="92" t="s">
        <v>250</v>
      </c>
      <c r="D103" s="92" t="s">
        <v>249</v>
      </c>
    </row>
    <row r="104" spans="1:4" ht="16.95" customHeight="1" x14ac:dyDescent="0.3">
      <c r="A104" s="93" t="s">
        <v>248</v>
      </c>
      <c r="B104" s="93" t="s">
        <v>247</v>
      </c>
      <c r="C104" s="93" t="s">
        <v>246</v>
      </c>
      <c r="D104" s="93" t="s">
        <v>245</v>
      </c>
    </row>
    <row r="105" spans="1:4" ht="16.95" customHeight="1" x14ac:dyDescent="0.3">
      <c r="A105" s="92" t="s">
        <v>244</v>
      </c>
      <c r="B105" s="92" t="s">
        <v>243</v>
      </c>
      <c r="C105" s="92" t="s">
        <v>242</v>
      </c>
      <c r="D105" s="92" t="s">
        <v>241</v>
      </c>
    </row>
    <row r="106" spans="1:4" ht="16.95" customHeight="1" x14ac:dyDescent="0.3">
      <c r="A106" s="93" t="s">
        <v>240</v>
      </c>
      <c r="B106" s="93" t="s">
        <v>239</v>
      </c>
      <c r="C106" s="93" t="s">
        <v>238</v>
      </c>
      <c r="D106" s="93" t="s">
        <v>237</v>
      </c>
    </row>
    <row r="107" spans="1:4" ht="16.95" customHeight="1" x14ac:dyDescent="0.3">
      <c r="A107" s="92" t="s">
        <v>236</v>
      </c>
      <c r="B107" s="92" t="s">
        <v>235</v>
      </c>
      <c r="C107" s="92" t="s">
        <v>234</v>
      </c>
      <c r="D107" s="92" t="s">
        <v>233</v>
      </c>
    </row>
    <row r="108" spans="1:4" ht="16.95" customHeight="1" x14ac:dyDescent="0.3">
      <c r="A108" s="93" t="s">
        <v>232</v>
      </c>
      <c r="B108" s="93" t="s">
        <v>231</v>
      </c>
      <c r="C108" s="93" t="s">
        <v>230</v>
      </c>
      <c r="D108" s="93" t="s">
        <v>229</v>
      </c>
    </row>
    <row r="109" spans="1:4" ht="16.95" customHeight="1" x14ac:dyDescent="0.3">
      <c r="A109" s="92" t="s">
        <v>228</v>
      </c>
      <c r="B109" s="92" t="s">
        <v>227</v>
      </c>
      <c r="C109" s="92" t="s">
        <v>226</v>
      </c>
      <c r="D109" s="92" t="s">
        <v>225</v>
      </c>
    </row>
    <row r="110" spans="1:4" ht="16.95" customHeight="1" x14ac:dyDescent="0.3">
      <c r="A110" s="117" t="s">
        <v>224</v>
      </c>
      <c r="B110" s="115"/>
      <c r="C110" s="115"/>
      <c r="D110" s="116"/>
    </row>
    <row r="111" spans="1:4" ht="16.95" customHeight="1" x14ac:dyDescent="0.3">
      <c r="A111" s="117" t="s">
        <v>223</v>
      </c>
      <c r="B111" s="115"/>
      <c r="C111" s="115"/>
      <c r="D111" s="116"/>
    </row>
    <row r="113" spans="1:4" ht="22.05" customHeight="1" x14ac:dyDescent="0.3">
      <c r="A113" s="130" t="s">
        <v>222</v>
      </c>
      <c r="B113" s="115"/>
      <c r="C113" s="115"/>
      <c r="D113" s="116"/>
    </row>
    <row r="114" spans="1:4" ht="18" customHeight="1" x14ac:dyDescent="0.3">
      <c r="A114" s="99" t="s">
        <v>163</v>
      </c>
      <c r="B114" s="99" t="s">
        <v>221</v>
      </c>
      <c r="C114" s="99" t="s">
        <v>179</v>
      </c>
      <c r="D114" s="99" t="s">
        <v>220</v>
      </c>
    </row>
    <row r="115" spans="1:4" ht="16.95" customHeight="1" x14ac:dyDescent="0.3">
      <c r="A115" s="93" t="s">
        <v>217</v>
      </c>
      <c r="B115" s="93" t="s">
        <v>219</v>
      </c>
      <c r="C115" s="93" t="s">
        <v>218</v>
      </c>
      <c r="D115" s="93" t="s">
        <v>217</v>
      </c>
    </row>
    <row r="116" spans="1:4" ht="16.95" customHeight="1" x14ac:dyDescent="0.3">
      <c r="A116" s="92" t="s">
        <v>214</v>
      </c>
      <c r="B116" s="92" t="s">
        <v>216</v>
      </c>
      <c r="C116" s="92" t="s">
        <v>215</v>
      </c>
      <c r="D116" s="92" t="s">
        <v>214</v>
      </c>
    </row>
    <row r="117" spans="1:4" ht="16.95" customHeight="1" x14ac:dyDescent="0.3">
      <c r="A117" s="93" t="s">
        <v>211</v>
      </c>
      <c r="B117" s="93" t="s">
        <v>213</v>
      </c>
      <c r="C117" s="93" t="s">
        <v>212</v>
      </c>
      <c r="D117" s="93" t="s">
        <v>211</v>
      </c>
    </row>
    <row r="118" spans="1:4" ht="16.95" customHeight="1" x14ac:dyDescent="0.3">
      <c r="A118" s="92" t="s">
        <v>209</v>
      </c>
      <c r="B118" s="92" t="e">
        <f>(k) — error</f>
        <v>#NAME?</v>
      </c>
      <c r="C118" s="92" t="s">
        <v>210</v>
      </c>
      <c r="D118" s="92" t="s">
        <v>209</v>
      </c>
    </row>
    <row r="119" spans="1:4" ht="16.95" customHeight="1" x14ac:dyDescent="0.3">
      <c r="A119" s="117" t="s">
        <v>208</v>
      </c>
      <c r="B119" s="115"/>
      <c r="C119" s="115"/>
      <c r="D119" s="116"/>
    </row>
    <row r="121" spans="1:4" ht="22.05" customHeight="1" x14ac:dyDescent="0.3">
      <c r="A121" s="132" t="s">
        <v>207</v>
      </c>
      <c r="B121" s="115"/>
      <c r="C121" s="115"/>
      <c r="D121" s="116"/>
    </row>
    <row r="122" spans="1:4" ht="16.95" customHeight="1" x14ac:dyDescent="0.3">
      <c r="A122" s="98" t="s">
        <v>206</v>
      </c>
      <c r="B122" s="98" t="s">
        <v>205</v>
      </c>
      <c r="C122" s="98" t="s">
        <v>204</v>
      </c>
      <c r="D122" s="98" t="s">
        <v>203</v>
      </c>
    </row>
    <row r="123" spans="1:4" ht="16.95" customHeight="1" x14ac:dyDescent="0.3">
      <c r="A123" s="93" t="s">
        <v>32</v>
      </c>
      <c r="B123" s="93" t="s">
        <v>202</v>
      </c>
      <c r="C123" s="93" t="s">
        <v>188</v>
      </c>
      <c r="D123" s="93" t="s">
        <v>193</v>
      </c>
    </row>
    <row r="124" spans="1:4" ht="16.95" customHeight="1" x14ac:dyDescent="0.3">
      <c r="A124" s="92" t="s">
        <v>35</v>
      </c>
      <c r="B124" s="92" t="s">
        <v>201</v>
      </c>
      <c r="C124" s="92" t="s">
        <v>188</v>
      </c>
      <c r="D124" s="92" t="s">
        <v>193</v>
      </c>
    </row>
    <row r="125" spans="1:4" ht="16.95" customHeight="1" x14ac:dyDescent="0.3">
      <c r="A125" s="93" t="s">
        <v>41</v>
      </c>
      <c r="B125" s="93" t="s">
        <v>200</v>
      </c>
      <c r="C125" s="93" t="s">
        <v>188</v>
      </c>
      <c r="D125" s="93" t="s">
        <v>199</v>
      </c>
    </row>
    <row r="126" spans="1:4" ht="16.95" customHeight="1" x14ac:dyDescent="0.3">
      <c r="A126" s="92" t="s">
        <v>37</v>
      </c>
      <c r="B126" s="92" t="s">
        <v>198</v>
      </c>
      <c r="C126" s="92" t="s">
        <v>188</v>
      </c>
      <c r="D126" s="92" t="s">
        <v>187</v>
      </c>
    </row>
    <row r="127" spans="1:4" ht="16.95" customHeight="1" x14ac:dyDescent="0.3">
      <c r="A127" s="93" t="s">
        <v>43</v>
      </c>
      <c r="B127" s="93" t="s">
        <v>197</v>
      </c>
      <c r="C127" s="93" t="s">
        <v>188</v>
      </c>
      <c r="D127" s="93" t="s">
        <v>193</v>
      </c>
    </row>
    <row r="128" spans="1:4" ht="16.95" customHeight="1" x14ac:dyDescent="0.3">
      <c r="A128" s="92" t="s">
        <v>39</v>
      </c>
      <c r="B128" s="92" t="s">
        <v>196</v>
      </c>
      <c r="C128" s="92" t="s">
        <v>188</v>
      </c>
      <c r="D128" s="92" t="s">
        <v>193</v>
      </c>
    </row>
    <row r="129" spans="1:4" ht="16.95" customHeight="1" x14ac:dyDescent="0.3">
      <c r="A129" s="93" t="s">
        <v>195</v>
      </c>
      <c r="B129" s="93" t="s">
        <v>194</v>
      </c>
      <c r="C129" s="93" t="s">
        <v>188</v>
      </c>
      <c r="D129" s="93" t="s">
        <v>193</v>
      </c>
    </row>
    <row r="130" spans="1:4" ht="16.95" customHeight="1" x14ac:dyDescent="0.3">
      <c r="A130" s="92" t="s">
        <v>192</v>
      </c>
      <c r="B130" s="92" t="s">
        <v>191</v>
      </c>
      <c r="C130" s="92" t="s">
        <v>188</v>
      </c>
      <c r="D130" s="92" t="s">
        <v>187</v>
      </c>
    </row>
    <row r="131" spans="1:4" ht="16.95" customHeight="1" x14ac:dyDescent="0.3">
      <c r="A131" s="93" t="s">
        <v>190</v>
      </c>
      <c r="B131" s="93" t="s">
        <v>189</v>
      </c>
      <c r="C131" s="93" t="s">
        <v>188</v>
      </c>
      <c r="D131" s="93" t="s">
        <v>187</v>
      </c>
    </row>
    <row r="132" spans="1:4" ht="16.95" customHeight="1" x14ac:dyDescent="0.3">
      <c r="A132" s="97" t="s">
        <v>186</v>
      </c>
      <c r="B132" s="97" t="s">
        <v>185</v>
      </c>
      <c r="C132" s="97"/>
      <c r="D132" s="97"/>
    </row>
    <row r="133" spans="1:4" x14ac:dyDescent="0.3">
      <c r="A133" s="96"/>
      <c r="B133" s="96" t="s">
        <v>184</v>
      </c>
      <c r="C133" s="96"/>
      <c r="D133" s="96"/>
    </row>
    <row r="134" spans="1:4" x14ac:dyDescent="0.3">
      <c r="A134" s="96"/>
      <c r="B134" s="96" t="s">
        <v>183</v>
      </c>
      <c r="C134" s="96"/>
      <c r="D134" s="96"/>
    </row>
    <row r="136" spans="1:4" ht="22.05" customHeight="1" x14ac:dyDescent="0.3">
      <c r="A136" s="120" t="s">
        <v>182</v>
      </c>
      <c r="B136" s="115"/>
      <c r="C136" s="115"/>
      <c r="D136" s="116"/>
    </row>
    <row r="137" spans="1:4" ht="18" customHeight="1" x14ac:dyDescent="0.3">
      <c r="A137" s="95" t="s">
        <v>181</v>
      </c>
      <c r="B137" s="95" t="s">
        <v>180</v>
      </c>
      <c r="C137" s="95" t="s">
        <v>179</v>
      </c>
      <c r="D137" s="95" t="s">
        <v>178</v>
      </c>
    </row>
    <row r="138" spans="1:4" ht="16.95" customHeight="1" x14ac:dyDescent="0.3">
      <c r="A138" s="93" t="s">
        <v>177</v>
      </c>
      <c r="B138" s="93" t="s">
        <v>176</v>
      </c>
      <c r="C138" s="93" t="s">
        <v>175</v>
      </c>
      <c r="D138" s="93" t="s">
        <v>168</v>
      </c>
    </row>
    <row r="139" spans="1:4" ht="16.95" customHeight="1" x14ac:dyDescent="0.3">
      <c r="A139" s="92" t="s">
        <v>174</v>
      </c>
      <c r="B139" s="92" t="s">
        <v>173</v>
      </c>
      <c r="C139" s="92" t="s">
        <v>172</v>
      </c>
      <c r="D139" s="92" t="s">
        <v>168</v>
      </c>
    </row>
    <row r="140" spans="1:4" ht="16.95" customHeight="1" x14ac:dyDescent="0.3">
      <c r="A140" s="93" t="s">
        <v>171</v>
      </c>
      <c r="B140" s="93" t="s">
        <v>170</v>
      </c>
      <c r="C140" s="93" t="s">
        <v>169</v>
      </c>
      <c r="D140" s="93" t="s">
        <v>168</v>
      </c>
    </row>
    <row r="141" spans="1:4" ht="16.95" customHeight="1" x14ac:dyDescent="0.3">
      <c r="A141" s="92" t="s">
        <v>92</v>
      </c>
      <c r="B141" s="92" t="s">
        <v>167</v>
      </c>
      <c r="C141" s="92" t="s">
        <v>166</v>
      </c>
      <c r="D141" s="92" t="s">
        <v>165</v>
      </c>
    </row>
    <row r="143" spans="1:4" ht="22.05" customHeight="1" x14ac:dyDescent="0.3">
      <c r="A143" s="124" t="s">
        <v>164</v>
      </c>
      <c r="B143" s="115"/>
      <c r="C143" s="115"/>
      <c r="D143" s="116"/>
    </row>
    <row r="144" spans="1:4" ht="18" customHeight="1" x14ac:dyDescent="0.3">
      <c r="A144" s="94" t="s">
        <v>163</v>
      </c>
      <c r="B144" s="94" t="s">
        <v>162</v>
      </c>
      <c r="C144" s="94" t="s">
        <v>5</v>
      </c>
      <c r="D144" s="94"/>
    </row>
    <row r="145" spans="1:4" ht="16.95" customHeight="1" x14ac:dyDescent="0.3">
      <c r="A145" s="93" t="s">
        <v>161</v>
      </c>
      <c r="B145" s="93" t="s">
        <v>160</v>
      </c>
      <c r="C145" s="93" t="s">
        <v>159</v>
      </c>
      <c r="D145" s="93"/>
    </row>
    <row r="146" spans="1:4" ht="16.95" customHeight="1" x14ac:dyDescent="0.3">
      <c r="A146" s="92" t="s">
        <v>158</v>
      </c>
      <c r="B146" s="92" t="s">
        <v>157</v>
      </c>
      <c r="C146" s="92" t="s">
        <v>156</v>
      </c>
      <c r="D146" s="92"/>
    </row>
    <row r="147" spans="1:4" ht="16.95" customHeight="1" x14ac:dyDescent="0.3">
      <c r="A147" s="93" t="s">
        <v>155</v>
      </c>
      <c r="B147" s="93" t="s">
        <v>154</v>
      </c>
      <c r="C147" s="93" t="s">
        <v>153</v>
      </c>
      <c r="D147" s="93"/>
    </row>
    <row r="148" spans="1:4" ht="16.95" customHeight="1" x14ac:dyDescent="0.3">
      <c r="A148" s="92" t="s">
        <v>152</v>
      </c>
      <c r="B148" s="92" t="s">
        <v>95</v>
      </c>
      <c r="C148" s="92" t="s">
        <v>151</v>
      </c>
      <c r="D148" s="92"/>
    </row>
    <row r="149" spans="1:4" ht="16.95" customHeight="1" x14ac:dyDescent="0.3">
      <c r="A149" s="93" t="s">
        <v>150</v>
      </c>
      <c r="B149" s="93" t="s">
        <v>149</v>
      </c>
      <c r="C149" s="93" t="s">
        <v>148</v>
      </c>
      <c r="D149" s="93"/>
    </row>
    <row r="150" spans="1:4" ht="16.95" customHeight="1" x14ac:dyDescent="0.3">
      <c r="A150" s="92" t="s">
        <v>147</v>
      </c>
      <c r="B150" s="92" t="s">
        <v>146</v>
      </c>
      <c r="C150" s="92" t="s">
        <v>145</v>
      </c>
      <c r="D150" s="92"/>
    </row>
    <row r="151" spans="1:4" ht="16.95" customHeight="1" x14ac:dyDescent="0.3">
      <c r="A151" s="93" t="s">
        <v>144</v>
      </c>
      <c r="B151" s="93" t="s">
        <v>143</v>
      </c>
      <c r="C151" s="93" t="s">
        <v>142</v>
      </c>
      <c r="D151" s="93"/>
    </row>
    <row r="152" spans="1:4" ht="16.95" customHeight="1" x14ac:dyDescent="0.3">
      <c r="A152" s="92" t="s">
        <v>141</v>
      </c>
      <c r="B152" s="92" t="s">
        <v>140</v>
      </c>
      <c r="C152" s="92" t="s">
        <v>139</v>
      </c>
      <c r="D152" s="92"/>
    </row>
    <row r="153" spans="1:4" ht="16.95" customHeight="1" x14ac:dyDescent="0.3">
      <c r="A153" s="93" t="s">
        <v>34</v>
      </c>
      <c r="B153" s="93" t="s">
        <v>138</v>
      </c>
      <c r="C153" s="93" t="s">
        <v>137</v>
      </c>
      <c r="D153" s="93"/>
    </row>
    <row r="154" spans="1:4" ht="16.95" customHeight="1" x14ac:dyDescent="0.3">
      <c r="A154" s="92" t="s">
        <v>112</v>
      </c>
      <c r="B154" s="92" t="s">
        <v>136</v>
      </c>
      <c r="C154" s="92" t="s">
        <v>135</v>
      </c>
      <c r="D154" s="92"/>
    </row>
    <row r="156" spans="1:4" ht="22.05" customHeight="1" x14ac:dyDescent="0.3">
      <c r="A156" s="131" t="s">
        <v>134</v>
      </c>
      <c r="B156" s="115"/>
      <c r="C156" s="115"/>
      <c r="D156" s="116"/>
    </row>
    <row r="157" spans="1:4" ht="18" customHeight="1" x14ac:dyDescent="0.3">
      <c r="A157" s="121" t="s">
        <v>133</v>
      </c>
      <c r="B157" s="115"/>
      <c r="C157" s="115"/>
      <c r="D157" s="116"/>
    </row>
    <row r="158" spans="1:4" ht="18" customHeight="1" x14ac:dyDescent="0.3">
      <c r="A158" s="119" t="s">
        <v>132</v>
      </c>
      <c r="B158" s="115"/>
      <c r="C158" s="115"/>
      <c r="D158" s="116"/>
    </row>
    <row r="159" spans="1:4" ht="18" customHeight="1" x14ac:dyDescent="0.3">
      <c r="A159" s="121" t="s">
        <v>131</v>
      </c>
      <c r="B159" s="115"/>
      <c r="C159" s="115"/>
      <c r="D159" s="116"/>
    </row>
    <row r="160" spans="1:4" ht="18" customHeight="1" x14ac:dyDescent="0.3">
      <c r="A160" s="119" t="s">
        <v>130</v>
      </c>
      <c r="B160" s="115"/>
      <c r="C160" s="115"/>
      <c r="D160" s="116"/>
    </row>
    <row r="161" spans="1:4" ht="18" customHeight="1" x14ac:dyDescent="0.3">
      <c r="A161" s="121" t="s">
        <v>129</v>
      </c>
      <c r="B161" s="115"/>
      <c r="C161" s="115"/>
      <c r="D161" s="116"/>
    </row>
    <row r="162" spans="1:4" ht="18" customHeight="1" x14ac:dyDescent="0.3">
      <c r="A162" s="119" t="s">
        <v>128</v>
      </c>
      <c r="B162" s="115"/>
      <c r="C162" s="115"/>
      <c r="D162" s="116"/>
    </row>
    <row r="163" spans="1:4" ht="18" customHeight="1" x14ac:dyDescent="0.3">
      <c r="A163" s="121" t="s">
        <v>127</v>
      </c>
      <c r="B163" s="115"/>
      <c r="C163" s="115"/>
      <c r="D163" s="116"/>
    </row>
    <row r="164" spans="1:4" ht="18" customHeight="1" x14ac:dyDescent="0.3">
      <c r="A164" s="119" t="s">
        <v>126</v>
      </c>
      <c r="B164" s="115"/>
      <c r="C164" s="115"/>
      <c r="D164" s="116"/>
    </row>
    <row r="166" spans="1:4" ht="16.05" customHeight="1" x14ac:dyDescent="0.3">
      <c r="A166" s="114" t="s">
        <v>125</v>
      </c>
      <c r="B166" s="115"/>
      <c r="C166" s="115"/>
      <c r="D166" s="116"/>
    </row>
  </sheetData>
  <mergeCells count="35">
    <mergeCell ref="A1:D1"/>
    <mergeCell ref="A45:D45"/>
    <mergeCell ref="A110:D110"/>
    <mergeCell ref="A119:D119"/>
    <mergeCell ref="A3:D3"/>
    <mergeCell ref="A2:D2"/>
    <mergeCell ref="A162:D162"/>
    <mergeCell ref="A65:D65"/>
    <mergeCell ref="A46:D46"/>
    <mergeCell ref="A84:D84"/>
    <mergeCell ref="A18:D18"/>
    <mergeCell ref="A158:D158"/>
    <mergeCell ref="A113:D113"/>
    <mergeCell ref="A160:D160"/>
    <mergeCell ref="A42:D42"/>
    <mergeCell ref="A161:D161"/>
    <mergeCell ref="A156:D156"/>
    <mergeCell ref="A19:D19"/>
    <mergeCell ref="A121:D121"/>
    <mergeCell ref="A166:D166"/>
    <mergeCell ref="A11:D11"/>
    <mergeCell ref="A36:D36"/>
    <mergeCell ref="A164:D164"/>
    <mergeCell ref="A136:D136"/>
    <mergeCell ref="A163:D163"/>
    <mergeCell ref="A13:D13"/>
    <mergeCell ref="A111:D111"/>
    <mergeCell ref="A44:D44"/>
    <mergeCell ref="A34:D34"/>
    <mergeCell ref="A143:D143"/>
    <mergeCell ref="A48:D48"/>
    <mergeCell ref="A157:D157"/>
    <mergeCell ref="A159:D159"/>
    <mergeCell ref="A20:D20"/>
    <mergeCell ref="A29:D29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K203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1" sqref="K1"/>
    </sheetView>
  </sheetViews>
  <sheetFormatPr baseColWidth="10" defaultColWidth="8.6640625" defaultRowHeight="14.4" x14ac:dyDescent="0.3"/>
  <cols>
    <col min="1" max="1" width="8" customWidth="1"/>
    <col min="2" max="2" width="45" customWidth="1"/>
    <col min="3" max="4" width="20" customWidth="1"/>
    <col min="9" max="9" width="1.6640625" customWidth="1"/>
    <col min="10" max="10" width="8.109375" customWidth="1"/>
    <col min="11" max="11" width="16.88671875" customWidth="1"/>
  </cols>
  <sheetData>
    <row r="1" spans="1:11" ht="36" customHeight="1" x14ac:dyDescent="0.3">
      <c r="A1" s="137" t="s">
        <v>45</v>
      </c>
      <c r="B1" s="137"/>
      <c r="C1" s="137"/>
      <c r="D1" s="137"/>
      <c r="I1">
        <v>0</v>
      </c>
      <c r="J1" s="110" t="s">
        <v>486</v>
      </c>
      <c r="K1" s="109" t="s">
        <v>487</v>
      </c>
    </row>
    <row r="2" spans="1:11" ht="19.5" customHeight="1" x14ac:dyDescent="0.3">
      <c r="A2" s="113" t="s">
        <v>46</v>
      </c>
      <c r="B2" s="113"/>
      <c r="C2" s="113"/>
      <c r="D2" s="113"/>
    </row>
    <row r="3" spans="1:11" ht="25.5" customHeight="1" x14ac:dyDescent="0.3">
      <c r="A3" s="15" t="s">
        <v>33</v>
      </c>
      <c r="B3" s="2" t="s">
        <v>47</v>
      </c>
      <c r="C3" s="15" t="s">
        <v>48</v>
      </c>
      <c r="D3" s="15" t="s">
        <v>49</v>
      </c>
    </row>
    <row r="4" spans="1:11" ht="19.5" customHeight="1" x14ac:dyDescent="0.3">
      <c r="A4" s="16">
        <v>1</v>
      </c>
      <c r="C4" s="18" t="str">
        <f t="shared" ref="C4:C35" si="0">IF(B4="","",IF(OR(LEFT(LOWER(B4),1)="s",LEFT(LOWER(B4),1)="r",LEFT(LOWER(B4),1)="a",LEFT(LOWER(B4),1)="b"),"OK","REVISAR"))</f>
        <v/>
      </c>
      <c r="D4" s="19" t="str">
        <f t="shared" ref="D4:D35" ca="1" si="1">IF(B4&lt;&gt;"",TEXT(NOW(),"HH:MM:SS"),"")</f>
        <v/>
      </c>
    </row>
    <row r="5" spans="1:11" ht="19.5" customHeight="1" x14ac:dyDescent="0.3">
      <c r="A5" s="20">
        <v>2</v>
      </c>
      <c r="C5" s="22" t="str">
        <f t="shared" si="0"/>
        <v/>
      </c>
      <c r="D5" s="23" t="str">
        <f t="shared" ca="1" si="1"/>
        <v/>
      </c>
    </row>
    <row r="6" spans="1:11" ht="19.5" customHeight="1" x14ac:dyDescent="0.3">
      <c r="A6" s="16">
        <v>3</v>
      </c>
      <c r="C6" s="18" t="str">
        <f t="shared" si="0"/>
        <v/>
      </c>
      <c r="D6" s="19" t="str">
        <f t="shared" ca="1" si="1"/>
        <v/>
      </c>
    </row>
    <row r="7" spans="1:11" ht="19.5" customHeight="1" x14ac:dyDescent="0.3">
      <c r="A7" s="20">
        <v>4</v>
      </c>
      <c r="C7" s="22" t="str">
        <f t="shared" si="0"/>
        <v/>
      </c>
      <c r="D7" s="23" t="str">
        <f t="shared" ca="1" si="1"/>
        <v/>
      </c>
    </row>
    <row r="8" spans="1:11" ht="19.5" customHeight="1" x14ac:dyDescent="0.3">
      <c r="A8" s="16">
        <v>5</v>
      </c>
      <c r="C8" s="18" t="str">
        <f t="shared" si="0"/>
        <v/>
      </c>
      <c r="D8" s="19" t="str">
        <f t="shared" ca="1" si="1"/>
        <v/>
      </c>
    </row>
    <row r="9" spans="1:11" ht="19.5" customHeight="1" x14ac:dyDescent="0.3">
      <c r="A9" s="20">
        <v>6</v>
      </c>
      <c r="B9" s="21"/>
      <c r="C9" s="22" t="str">
        <f t="shared" si="0"/>
        <v/>
      </c>
      <c r="D9" s="23" t="str">
        <f t="shared" ca="1" si="1"/>
        <v/>
      </c>
    </row>
    <row r="10" spans="1:11" ht="19.5" customHeight="1" x14ac:dyDescent="0.3">
      <c r="A10" s="16">
        <v>7</v>
      </c>
      <c r="B10" s="17"/>
      <c r="C10" s="18" t="str">
        <f t="shared" si="0"/>
        <v/>
      </c>
      <c r="D10" s="19" t="str">
        <f t="shared" ca="1" si="1"/>
        <v/>
      </c>
    </row>
    <row r="11" spans="1:11" ht="19.5" customHeight="1" x14ac:dyDescent="0.3">
      <c r="A11" s="20">
        <v>8</v>
      </c>
      <c r="B11" s="21"/>
      <c r="C11" s="22" t="str">
        <f t="shared" si="0"/>
        <v/>
      </c>
      <c r="D11" s="23" t="str">
        <f t="shared" ca="1" si="1"/>
        <v/>
      </c>
    </row>
    <row r="12" spans="1:11" ht="19.5" customHeight="1" x14ac:dyDescent="0.3">
      <c r="A12" s="16">
        <v>9</v>
      </c>
      <c r="B12" s="17"/>
      <c r="C12" s="18" t="str">
        <f t="shared" si="0"/>
        <v/>
      </c>
      <c r="D12" s="19" t="str">
        <f t="shared" ca="1" si="1"/>
        <v/>
      </c>
    </row>
    <row r="13" spans="1:11" ht="19.5" customHeight="1" x14ac:dyDescent="0.3">
      <c r="A13" s="20">
        <v>10</v>
      </c>
      <c r="B13" s="21"/>
      <c r="C13" s="22" t="str">
        <f t="shared" si="0"/>
        <v/>
      </c>
      <c r="D13" s="23" t="str">
        <f t="shared" ca="1" si="1"/>
        <v/>
      </c>
    </row>
    <row r="14" spans="1:11" ht="19.5" customHeight="1" x14ac:dyDescent="0.3">
      <c r="A14" s="16">
        <v>11</v>
      </c>
      <c r="B14" s="17"/>
      <c r="C14" s="18" t="str">
        <f t="shared" si="0"/>
        <v/>
      </c>
      <c r="D14" s="19" t="str">
        <f t="shared" ca="1" si="1"/>
        <v/>
      </c>
    </row>
    <row r="15" spans="1:11" ht="19.5" customHeight="1" x14ac:dyDescent="0.3">
      <c r="A15" s="20">
        <v>12</v>
      </c>
      <c r="B15" s="21"/>
      <c r="C15" s="22" t="str">
        <f t="shared" si="0"/>
        <v/>
      </c>
      <c r="D15" s="23" t="str">
        <f t="shared" ca="1" si="1"/>
        <v/>
      </c>
    </row>
    <row r="16" spans="1:11" ht="19.5" customHeight="1" x14ac:dyDescent="0.3">
      <c r="A16" s="16">
        <v>13</v>
      </c>
      <c r="B16" s="17"/>
      <c r="C16" s="18" t="str">
        <f t="shared" si="0"/>
        <v/>
      </c>
      <c r="D16" s="19" t="str">
        <f t="shared" ca="1" si="1"/>
        <v/>
      </c>
    </row>
    <row r="17" spans="1:4" ht="19.5" customHeight="1" x14ac:dyDescent="0.3">
      <c r="A17" s="20">
        <v>14</v>
      </c>
      <c r="B17" s="21"/>
      <c r="C17" s="22" t="str">
        <f t="shared" si="0"/>
        <v/>
      </c>
      <c r="D17" s="23" t="str">
        <f t="shared" ca="1" si="1"/>
        <v/>
      </c>
    </row>
    <row r="18" spans="1:4" ht="19.5" customHeight="1" x14ac:dyDescent="0.3">
      <c r="A18" s="16">
        <v>15</v>
      </c>
      <c r="B18" s="17"/>
      <c r="C18" s="18" t="str">
        <f t="shared" si="0"/>
        <v/>
      </c>
      <c r="D18" s="19" t="str">
        <f t="shared" ca="1" si="1"/>
        <v/>
      </c>
    </row>
    <row r="19" spans="1:4" ht="19.5" customHeight="1" x14ac:dyDescent="0.3">
      <c r="A19" s="20">
        <v>16</v>
      </c>
      <c r="B19" s="21"/>
      <c r="C19" s="22" t="str">
        <f t="shared" si="0"/>
        <v/>
      </c>
      <c r="D19" s="23" t="str">
        <f t="shared" ca="1" si="1"/>
        <v/>
      </c>
    </row>
    <row r="20" spans="1:4" ht="19.5" customHeight="1" x14ac:dyDescent="0.3">
      <c r="A20" s="16">
        <v>17</v>
      </c>
      <c r="B20" s="17"/>
      <c r="C20" s="18" t="str">
        <f t="shared" si="0"/>
        <v/>
      </c>
      <c r="D20" s="19" t="str">
        <f t="shared" ca="1" si="1"/>
        <v/>
      </c>
    </row>
    <row r="21" spans="1:4" ht="19.5" customHeight="1" x14ac:dyDescent="0.3">
      <c r="A21" s="20">
        <v>18</v>
      </c>
      <c r="B21" s="21"/>
      <c r="C21" s="22" t="str">
        <f t="shared" si="0"/>
        <v/>
      </c>
      <c r="D21" s="23" t="str">
        <f t="shared" ca="1" si="1"/>
        <v/>
      </c>
    </row>
    <row r="22" spans="1:4" ht="19.5" customHeight="1" x14ac:dyDescent="0.3">
      <c r="A22" s="16">
        <v>19</v>
      </c>
      <c r="B22" s="17"/>
      <c r="C22" s="18" t="str">
        <f t="shared" si="0"/>
        <v/>
      </c>
      <c r="D22" s="19" t="str">
        <f t="shared" ca="1" si="1"/>
        <v/>
      </c>
    </row>
    <row r="23" spans="1:4" ht="19.5" customHeight="1" x14ac:dyDescent="0.3">
      <c r="A23" s="20">
        <v>20</v>
      </c>
      <c r="B23" s="21"/>
      <c r="C23" s="22" t="str">
        <f t="shared" si="0"/>
        <v/>
      </c>
      <c r="D23" s="23" t="str">
        <f t="shared" ca="1" si="1"/>
        <v/>
      </c>
    </row>
    <row r="24" spans="1:4" ht="19.5" customHeight="1" x14ac:dyDescent="0.3">
      <c r="A24" s="16">
        <v>21</v>
      </c>
      <c r="B24" s="111"/>
      <c r="C24" s="18" t="str">
        <f t="shared" si="0"/>
        <v/>
      </c>
      <c r="D24" s="19" t="str">
        <f t="shared" ca="1" si="1"/>
        <v/>
      </c>
    </row>
    <row r="25" spans="1:4" ht="19.5" customHeight="1" x14ac:dyDescent="0.3">
      <c r="A25" s="20">
        <v>22</v>
      </c>
      <c r="B25" s="21"/>
      <c r="C25" s="22" t="str">
        <f t="shared" si="0"/>
        <v/>
      </c>
      <c r="D25" s="23" t="str">
        <f t="shared" ca="1" si="1"/>
        <v/>
      </c>
    </row>
    <row r="26" spans="1:4" ht="19.5" customHeight="1" x14ac:dyDescent="0.3">
      <c r="A26" s="16">
        <v>23</v>
      </c>
      <c r="B26" s="17"/>
      <c r="C26" s="18" t="str">
        <f t="shared" si="0"/>
        <v/>
      </c>
      <c r="D26" s="19" t="str">
        <f t="shared" ca="1" si="1"/>
        <v/>
      </c>
    </row>
    <row r="27" spans="1:4" ht="19.5" customHeight="1" x14ac:dyDescent="0.3">
      <c r="A27" s="20">
        <v>24</v>
      </c>
      <c r="B27" s="21"/>
      <c r="C27" s="22" t="str">
        <f t="shared" si="0"/>
        <v/>
      </c>
      <c r="D27" s="23" t="str">
        <f t="shared" ca="1" si="1"/>
        <v/>
      </c>
    </row>
    <row r="28" spans="1:4" ht="19.5" customHeight="1" x14ac:dyDescent="0.3">
      <c r="A28" s="16">
        <v>25</v>
      </c>
      <c r="B28" s="17"/>
      <c r="C28" s="18" t="str">
        <f t="shared" si="0"/>
        <v/>
      </c>
      <c r="D28" s="19" t="str">
        <f t="shared" ca="1" si="1"/>
        <v/>
      </c>
    </row>
    <row r="29" spans="1:4" ht="19.5" customHeight="1" x14ac:dyDescent="0.3">
      <c r="A29" s="20">
        <v>26</v>
      </c>
      <c r="B29" s="21"/>
      <c r="C29" s="22" t="str">
        <f t="shared" si="0"/>
        <v/>
      </c>
      <c r="D29" s="23" t="str">
        <f t="shared" ca="1" si="1"/>
        <v/>
      </c>
    </row>
    <row r="30" spans="1:4" ht="19.5" customHeight="1" x14ac:dyDescent="0.3">
      <c r="A30" s="16">
        <v>27</v>
      </c>
      <c r="B30" s="17"/>
      <c r="C30" s="18" t="str">
        <f t="shared" si="0"/>
        <v/>
      </c>
      <c r="D30" s="19" t="str">
        <f t="shared" ca="1" si="1"/>
        <v/>
      </c>
    </row>
    <row r="31" spans="1:4" ht="19.5" customHeight="1" x14ac:dyDescent="0.3">
      <c r="A31" s="20">
        <v>28</v>
      </c>
      <c r="B31" s="21"/>
      <c r="C31" s="22" t="str">
        <f t="shared" si="0"/>
        <v/>
      </c>
      <c r="D31" s="23" t="str">
        <f t="shared" ca="1" si="1"/>
        <v/>
      </c>
    </row>
    <row r="32" spans="1:4" ht="19.5" customHeight="1" x14ac:dyDescent="0.3">
      <c r="A32" s="16">
        <v>29</v>
      </c>
      <c r="B32" s="17"/>
      <c r="C32" s="18" t="str">
        <f t="shared" si="0"/>
        <v/>
      </c>
      <c r="D32" s="19" t="str">
        <f t="shared" ca="1" si="1"/>
        <v/>
      </c>
    </row>
    <row r="33" spans="1:4" ht="19.5" customHeight="1" x14ac:dyDescent="0.3">
      <c r="A33" s="20">
        <v>30</v>
      </c>
      <c r="B33" s="21"/>
      <c r="C33" s="22" t="str">
        <f t="shared" si="0"/>
        <v/>
      </c>
      <c r="D33" s="23" t="str">
        <f t="shared" ca="1" si="1"/>
        <v/>
      </c>
    </row>
    <row r="34" spans="1:4" ht="19.5" customHeight="1" x14ac:dyDescent="0.3">
      <c r="A34" s="16">
        <v>31</v>
      </c>
      <c r="B34" s="17"/>
      <c r="C34" s="18" t="str">
        <f t="shared" si="0"/>
        <v/>
      </c>
      <c r="D34" s="19" t="str">
        <f t="shared" ca="1" si="1"/>
        <v/>
      </c>
    </row>
    <row r="35" spans="1:4" ht="19.5" customHeight="1" x14ac:dyDescent="0.3">
      <c r="A35" s="20">
        <v>32</v>
      </c>
      <c r="B35" s="21"/>
      <c r="C35" s="22" t="str">
        <f t="shared" si="0"/>
        <v/>
      </c>
      <c r="D35" s="23" t="str">
        <f t="shared" ca="1" si="1"/>
        <v/>
      </c>
    </row>
    <row r="36" spans="1:4" ht="19.5" customHeight="1" x14ac:dyDescent="0.3">
      <c r="A36" s="16">
        <v>33</v>
      </c>
      <c r="B36" s="17"/>
      <c r="C36" s="18" t="str">
        <f t="shared" ref="C36:C67" si="2">IF(B36="","",IF(OR(LEFT(LOWER(B36),1)="s",LEFT(LOWER(B36),1)="r",LEFT(LOWER(B36),1)="a",LEFT(LOWER(B36),1)="b"),"OK","REVISAR"))</f>
        <v/>
      </c>
      <c r="D36" s="19" t="str">
        <f t="shared" ref="D36:D67" ca="1" si="3">IF(B36&lt;&gt;"",TEXT(NOW(),"HH:MM:SS"),"")</f>
        <v/>
      </c>
    </row>
    <row r="37" spans="1:4" ht="19.5" customHeight="1" x14ac:dyDescent="0.3">
      <c r="A37" s="20">
        <v>34</v>
      </c>
      <c r="B37" s="21"/>
      <c r="C37" s="22" t="str">
        <f t="shared" si="2"/>
        <v/>
      </c>
      <c r="D37" s="23" t="str">
        <f t="shared" ca="1" si="3"/>
        <v/>
      </c>
    </row>
    <row r="38" spans="1:4" ht="19.5" customHeight="1" x14ac:dyDescent="0.3">
      <c r="A38" s="16">
        <v>35</v>
      </c>
      <c r="B38" s="17"/>
      <c r="C38" s="18" t="str">
        <f t="shared" si="2"/>
        <v/>
      </c>
      <c r="D38" s="19" t="str">
        <f t="shared" ca="1" si="3"/>
        <v/>
      </c>
    </row>
    <row r="39" spans="1:4" ht="19.5" customHeight="1" x14ac:dyDescent="0.3">
      <c r="A39" s="20">
        <v>36</v>
      </c>
      <c r="B39" s="21"/>
      <c r="C39" s="22" t="str">
        <f t="shared" si="2"/>
        <v/>
      </c>
      <c r="D39" s="23" t="str">
        <f t="shared" ca="1" si="3"/>
        <v/>
      </c>
    </row>
    <row r="40" spans="1:4" ht="19.5" customHeight="1" x14ac:dyDescent="0.3">
      <c r="A40" s="16">
        <v>37</v>
      </c>
      <c r="B40" s="17"/>
      <c r="C40" s="18" t="str">
        <f t="shared" si="2"/>
        <v/>
      </c>
      <c r="D40" s="19" t="str">
        <f t="shared" ca="1" si="3"/>
        <v/>
      </c>
    </row>
    <row r="41" spans="1:4" ht="19.5" customHeight="1" x14ac:dyDescent="0.3">
      <c r="A41" s="20">
        <v>38</v>
      </c>
      <c r="B41" s="21"/>
      <c r="C41" s="22" t="str">
        <f t="shared" si="2"/>
        <v/>
      </c>
      <c r="D41" s="23" t="str">
        <f t="shared" ca="1" si="3"/>
        <v/>
      </c>
    </row>
    <row r="42" spans="1:4" ht="19.5" customHeight="1" x14ac:dyDescent="0.3">
      <c r="A42" s="16">
        <v>39</v>
      </c>
      <c r="B42" s="17"/>
      <c r="C42" s="18" t="str">
        <f t="shared" si="2"/>
        <v/>
      </c>
      <c r="D42" s="19" t="str">
        <f t="shared" ca="1" si="3"/>
        <v/>
      </c>
    </row>
    <row r="43" spans="1:4" ht="19.5" customHeight="1" x14ac:dyDescent="0.3">
      <c r="A43" s="20">
        <v>40</v>
      </c>
      <c r="B43" s="21"/>
      <c r="C43" s="22" t="str">
        <f t="shared" si="2"/>
        <v/>
      </c>
      <c r="D43" s="23" t="str">
        <f t="shared" ca="1" si="3"/>
        <v/>
      </c>
    </row>
    <row r="44" spans="1:4" ht="19.5" customHeight="1" x14ac:dyDescent="0.3">
      <c r="A44" s="16">
        <v>41</v>
      </c>
      <c r="B44" s="17"/>
      <c r="C44" s="18" t="str">
        <f t="shared" si="2"/>
        <v/>
      </c>
      <c r="D44" s="19" t="str">
        <f t="shared" ca="1" si="3"/>
        <v/>
      </c>
    </row>
    <row r="45" spans="1:4" ht="19.5" customHeight="1" x14ac:dyDescent="0.3">
      <c r="A45" s="20">
        <v>42</v>
      </c>
      <c r="B45" s="21"/>
      <c r="C45" s="22" t="str">
        <f t="shared" si="2"/>
        <v/>
      </c>
      <c r="D45" s="23" t="str">
        <f t="shared" ca="1" si="3"/>
        <v/>
      </c>
    </row>
    <row r="46" spans="1:4" ht="19.5" customHeight="1" x14ac:dyDescent="0.3">
      <c r="A46" s="16">
        <v>43</v>
      </c>
      <c r="B46" s="17"/>
      <c r="C46" s="18" t="str">
        <f t="shared" si="2"/>
        <v/>
      </c>
      <c r="D46" s="19" t="str">
        <f t="shared" ca="1" si="3"/>
        <v/>
      </c>
    </row>
    <row r="47" spans="1:4" ht="19.5" customHeight="1" x14ac:dyDescent="0.3">
      <c r="A47" s="20">
        <v>44</v>
      </c>
      <c r="B47" s="21"/>
      <c r="C47" s="22" t="str">
        <f t="shared" si="2"/>
        <v/>
      </c>
      <c r="D47" s="23" t="str">
        <f t="shared" ca="1" si="3"/>
        <v/>
      </c>
    </row>
    <row r="48" spans="1:4" ht="19.5" customHeight="1" x14ac:dyDescent="0.3">
      <c r="A48" s="16">
        <v>45</v>
      </c>
      <c r="B48" s="17"/>
      <c r="C48" s="18" t="str">
        <f t="shared" si="2"/>
        <v/>
      </c>
      <c r="D48" s="19" t="str">
        <f t="shared" ca="1" si="3"/>
        <v/>
      </c>
    </row>
    <row r="49" spans="1:4" ht="19.5" customHeight="1" x14ac:dyDescent="0.3">
      <c r="A49" s="20">
        <v>46</v>
      </c>
      <c r="B49" s="21"/>
      <c r="C49" s="22" t="str">
        <f t="shared" si="2"/>
        <v/>
      </c>
      <c r="D49" s="23" t="str">
        <f t="shared" ca="1" si="3"/>
        <v/>
      </c>
    </row>
    <row r="50" spans="1:4" ht="19.5" customHeight="1" x14ac:dyDescent="0.3">
      <c r="A50" s="16">
        <v>47</v>
      </c>
      <c r="B50" s="17"/>
      <c r="C50" s="18" t="str">
        <f t="shared" si="2"/>
        <v/>
      </c>
      <c r="D50" s="19" t="str">
        <f t="shared" ca="1" si="3"/>
        <v/>
      </c>
    </row>
    <row r="51" spans="1:4" ht="19.5" customHeight="1" x14ac:dyDescent="0.3">
      <c r="A51" s="20">
        <v>48</v>
      </c>
      <c r="B51" s="21"/>
      <c r="C51" s="22" t="str">
        <f t="shared" si="2"/>
        <v/>
      </c>
      <c r="D51" s="23" t="str">
        <f t="shared" ca="1" si="3"/>
        <v/>
      </c>
    </row>
    <row r="52" spans="1:4" ht="19.5" customHeight="1" x14ac:dyDescent="0.3">
      <c r="A52" s="16">
        <v>49</v>
      </c>
      <c r="B52" s="17"/>
      <c r="C52" s="18" t="str">
        <f t="shared" si="2"/>
        <v/>
      </c>
      <c r="D52" s="19" t="str">
        <f t="shared" ca="1" si="3"/>
        <v/>
      </c>
    </row>
    <row r="53" spans="1:4" ht="19.5" customHeight="1" x14ac:dyDescent="0.3">
      <c r="A53" s="20">
        <v>50</v>
      </c>
      <c r="B53" s="21"/>
      <c r="C53" s="22" t="str">
        <f t="shared" si="2"/>
        <v/>
      </c>
      <c r="D53" s="23" t="str">
        <f t="shared" ca="1" si="3"/>
        <v/>
      </c>
    </row>
    <row r="54" spans="1:4" ht="19.5" customHeight="1" x14ac:dyDescent="0.3">
      <c r="A54" s="16">
        <v>51</v>
      </c>
      <c r="B54" s="17"/>
      <c r="C54" s="18" t="str">
        <f t="shared" si="2"/>
        <v/>
      </c>
      <c r="D54" s="19" t="str">
        <f t="shared" ca="1" si="3"/>
        <v/>
      </c>
    </row>
    <row r="55" spans="1:4" ht="19.5" customHeight="1" x14ac:dyDescent="0.3">
      <c r="A55" s="20">
        <v>52</v>
      </c>
      <c r="B55" s="21"/>
      <c r="C55" s="22" t="str">
        <f t="shared" si="2"/>
        <v/>
      </c>
      <c r="D55" s="23" t="str">
        <f t="shared" ca="1" si="3"/>
        <v/>
      </c>
    </row>
    <row r="56" spans="1:4" ht="19.5" customHeight="1" x14ac:dyDescent="0.3">
      <c r="A56" s="16">
        <v>53</v>
      </c>
      <c r="B56" s="17"/>
      <c r="C56" s="18" t="str">
        <f t="shared" si="2"/>
        <v/>
      </c>
      <c r="D56" s="19" t="str">
        <f t="shared" ca="1" si="3"/>
        <v/>
      </c>
    </row>
    <row r="57" spans="1:4" ht="19.5" customHeight="1" x14ac:dyDescent="0.3">
      <c r="A57" s="20">
        <v>54</v>
      </c>
      <c r="B57" s="21"/>
      <c r="C57" s="22" t="str">
        <f t="shared" si="2"/>
        <v/>
      </c>
      <c r="D57" s="23" t="str">
        <f t="shared" ca="1" si="3"/>
        <v/>
      </c>
    </row>
    <row r="58" spans="1:4" ht="19.5" customHeight="1" x14ac:dyDescent="0.3">
      <c r="A58" s="16">
        <v>55</v>
      </c>
      <c r="B58" s="17"/>
      <c r="C58" s="18" t="str">
        <f t="shared" si="2"/>
        <v/>
      </c>
      <c r="D58" s="19" t="str">
        <f t="shared" ca="1" si="3"/>
        <v/>
      </c>
    </row>
    <row r="59" spans="1:4" ht="19.5" customHeight="1" x14ac:dyDescent="0.3">
      <c r="A59" s="20">
        <v>56</v>
      </c>
      <c r="B59" s="21"/>
      <c r="C59" s="22" t="str">
        <f t="shared" si="2"/>
        <v/>
      </c>
      <c r="D59" s="23" t="str">
        <f t="shared" ca="1" si="3"/>
        <v/>
      </c>
    </row>
    <row r="60" spans="1:4" ht="19.5" customHeight="1" x14ac:dyDescent="0.3">
      <c r="A60" s="16">
        <v>57</v>
      </c>
      <c r="B60" s="17"/>
      <c r="C60" s="18" t="str">
        <f t="shared" si="2"/>
        <v/>
      </c>
      <c r="D60" s="19" t="str">
        <f t="shared" ca="1" si="3"/>
        <v/>
      </c>
    </row>
    <row r="61" spans="1:4" ht="19.5" customHeight="1" x14ac:dyDescent="0.3">
      <c r="A61" s="20">
        <v>58</v>
      </c>
      <c r="B61" s="21"/>
      <c r="C61" s="22" t="str">
        <f t="shared" si="2"/>
        <v/>
      </c>
      <c r="D61" s="23" t="str">
        <f t="shared" ca="1" si="3"/>
        <v/>
      </c>
    </row>
    <row r="62" spans="1:4" ht="19.5" customHeight="1" x14ac:dyDescent="0.3">
      <c r="A62" s="16">
        <v>59</v>
      </c>
      <c r="B62" s="17"/>
      <c r="C62" s="18" t="str">
        <f t="shared" si="2"/>
        <v/>
      </c>
      <c r="D62" s="19" t="str">
        <f t="shared" ca="1" si="3"/>
        <v/>
      </c>
    </row>
    <row r="63" spans="1:4" ht="19.5" customHeight="1" x14ac:dyDescent="0.3">
      <c r="A63" s="20">
        <v>60</v>
      </c>
      <c r="B63" s="21"/>
      <c r="C63" s="22" t="str">
        <f t="shared" si="2"/>
        <v/>
      </c>
      <c r="D63" s="23" t="str">
        <f t="shared" ca="1" si="3"/>
        <v/>
      </c>
    </row>
    <row r="64" spans="1:4" ht="19.5" customHeight="1" x14ac:dyDescent="0.3">
      <c r="A64" s="16">
        <v>61</v>
      </c>
      <c r="B64" s="17"/>
      <c r="C64" s="18" t="str">
        <f t="shared" si="2"/>
        <v/>
      </c>
      <c r="D64" s="19" t="str">
        <f t="shared" ca="1" si="3"/>
        <v/>
      </c>
    </row>
    <row r="65" spans="1:4" ht="19.5" customHeight="1" x14ac:dyDescent="0.3">
      <c r="A65" s="20">
        <v>62</v>
      </c>
      <c r="B65" s="21"/>
      <c r="C65" s="22" t="str">
        <f t="shared" si="2"/>
        <v/>
      </c>
      <c r="D65" s="23" t="str">
        <f t="shared" ca="1" si="3"/>
        <v/>
      </c>
    </row>
    <row r="66" spans="1:4" ht="19.5" customHeight="1" x14ac:dyDescent="0.3">
      <c r="A66" s="16">
        <v>63</v>
      </c>
      <c r="B66" s="17"/>
      <c r="C66" s="18" t="str">
        <f t="shared" si="2"/>
        <v/>
      </c>
      <c r="D66" s="19" t="str">
        <f t="shared" ca="1" si="3"/>
        <v/>
      </c>
    </row>
    <row r="67" spans="1:4" ht="19.5" customHeight="1" x14ac:dyDescent="0.3">
      <c r="A67" s="20">
        <v>64</v>
      </c>
      <c r="B67" s="21"/>
      <c r="C67" s="22" t="str">
        <f t="shared" si="2"/>
        <v/>
      </c>
      <c r="D67" s="23" t="str">
        <f t="shared" ca="1" si="3"/>
        <v/>
      </c>
    </row>
    <row r="68" spans="1:4" ht="19.5" customHeight="1" x14ac:dyDescent="0.3">
      <c r="A68" s="16">
        <v>65</v>
      </c>
      <c r="B68" s="17"/>
      <c r="C68" s="18" t="str">
        <f t="shared" ref="C68:C99" si="4">IF(B68="","",IF(OR(LEFT(LOWER(B68),1)="s",LEFT(LOWER(B68),1)="r",LEFT(LOWER(B68),1)="a",LEFT(LOWER(B68),1)="b"),"OK","REVISAR"))</f>
        <v/>
      </c>
      <c r="D68" s="19" t="str">
        <f t="shared" ref="D68:D99" ca="1" si="5">IF(B68&lt;&gt;"",TEXT(NOW(),"HH:MM:SS"),"")</f>
        <v/>
      </c>
    </row>
    <row r="69" spans="1:4" ht="19.5" customHeight="1" x14ac:dyDescent="0.3">
      <c r="A69" s="20">
        <v>66</v>
      </c>
      <c r="B69" s="21"/>
      <c r="C69" s="22" t="str">
        <f t="shared" si="4"/>
        <v/>
      </c>
      <c r="D69" s="23" t="str">
        <f t="shared" ca="1" si="5"/>
        <v/>
      </c>
    </row>
    <row r="70" spans="1:4" ht="19.5" customHeight="1" x14ac:dyDescent="0.3">
      <c r="A70" s="16">
        <v>67</v>
      </c>
      <c r="B70" s="17"/>
      <c r="C70" s="18" t="str">
        <f t="shared" si="4"/>
        <v/>
      </c>
      <c r="D70" s="19" t="str">
        <f t="shared" ca="1" si="5"/>
        <v/>
      </c>
    </row>
    <row r="71" spans="1:4" ht="19.5" customHeight="1" x14ac:dyDescent="0.3">
      <c r="A71" s="20">
        <v>68</v>
      </c>
      <c r="B71" s="21"/>
      <c r="C71" s="22" t="str">
        <f t="shared" si="4"/>
        <v/>
      </c>
      <c r="D71" s="23" t="str">
        <f t="shared" ca="1" si="5"/>
        <v/>
      </c>
    </row>
    <row r="72" spans="1:4" ht="19.5" customHeight="1" x14ac:dyDescent="0.3">
      <c r="A72" s="16">
        <v>69</v>
      </c>
      <c r="B72" s="17"/>
      <c r="C72" s="18" t="str">
        <f t="shared" si="4"/>
        <v/>
      </c>
      <c r="D72" s="19" t="str">
        <f t="shared" ca="1" si="5"/>
        <v/>
      </c>
    </row>
    <row r="73" spans="1:4" ht="19.5" customHeight="1" x14ac:dyDescent="0.3">
      <c r="A73" s="20">
        <v>70</v>
      </c>
      <c r="B73" s="21"/>
      <c r="C73" s="22" t="str">
        <f t="shared" si="4"/>
        <v/>
      </c>
      <c r="D73" s="23" t="str">
        <f t="shared" ca="1" si="5"/>
        <v/>
      </c>
    </row>
    <row r="74" spans="1:4" ht="19.5" customHeight="1" x14ac:dyDescent="0.3">
      <c r="A74" s="16">
        <v>71</v>
      </c>
      <c r="B74" s="17"/>
      <c r="C74" s="18" t="str">
        <f t="shared" si="4"/>
        <v/>
      </c>
      <c r="D74" s="19" t="str">
        <f t="shared" ca="1" si="5"/>
        <v/>
      </c>
    </row>
    <row r="75" spans="1:4" ht="19.5" customHeight="1" x14ac:dyDescent="0.3">
      <c r="A75" s="20">
        <v>72</v>
      </c>
      <c r="B75" s="21"/>
      <c r="C75" s="22" t="str">
        <f t="shared" si="4"/>
        <v/>
      </c>
      <c r="D75" s="23" t="str">
        <f t="shared" ca="1" si="5"/>
        <v/>
      </c>
    </row>
    <row r="76" spans="1:4" ht="19.5" customHeight="1" x14ac:dyDescent="0.3">
      <c r="A76" s="16">
        <v>73</v>
      </c>
      <c r="B76" s="17"/>
      <c r="C76" s="18" t="str">
        <f t="shared" si="4"/>
        <v/>
      </c>
      <c r="D76" s="19" t="str">
        <f t="shared" ca="1" si="5"/>
        <v/>
      </c>
    </row>
    <row r="77" spans="1:4" ht="19.5" customHeight="1" x14ac:dyDescent="0.3">
      <c r="A77" s="20">
        <v>74</v>
      </c>
      <c r="B77" s="21"/>
      <c r="C77" s="22" t="str">
        <f t="shared" si="4"/>
        <v/>
      </c>
      <c r="D77" s="23" t="str">
        <f t="shared" ca="1" si="5"/>
        <v/>
      </c>
    </row>
    <row r="78" spans="1:4" ht="19.5" customHeight="1" x14ac:dyDescent="0.3">
      <c r="A78" s="16">
        <v>75</v>
      </c>
      <c r="B78" s="17"/>
      <c r="C78" s="18" t="str">
        <f t="shared" si="4"/>
        <v/>
      </c>
      <c r="D78" s="19" t="str">
        <f t="shared" ca="1" si="5"/>
        <v/>
      </c>
    </row>
    <row r="79" spans="1:4" ht="19.5" customHeight="1" x14ac:dyDescent="0.3">
      <c r="A79" s="20">
        <v>76</v>
      </c>
      <c r="B79" s="21"/>
      <c r="C79" s="22" t="str">
        <f t="shared" si="4"/>
        <v/>
      </c>
      <c r="D79" s="23" t="str">
        <f t="shared" ca="1" si="5"/>
        <v/>
      </c>
    </row>
    <row r="80" spans="1:4" ht="19.5" customHeight="1" x14ac:dyDescent="0.3">
      <c r="A80" s="16">
        <v>77</v>
      </c>
      <c r="B80" s="17"/>
      <c r="C80" s="18" t="str">
        <f t="shared" si="4"/>
        <v/>
      </c>
      <c r="D80" s="19" t="str">
        <f t="shared" ca="1" si="5"/>
        <v/>
      </c>
    </row>
    <row r="81" spans="1:4" ht="19.5" customHeight="1" x14ac:dyDescent="0.3">
      <c r="A81" s="20">
        <v>78</v>
      </c>
      <c r="B81" s="21"/>
      <c r="C81" s="22" t="str">
        <f t="shared" si="4"/>
        <v/>
      </c>
      <c r="D81" s="23" t="str">
        <f t="shared" ca="1" si="5"/>
        <v/>
      </c>
    </row>
    <row r="82" spans="1:4" ht="19.5" customHeight="1" x14ac:dyDescent="0.3">
      <c r="A82" s="16">
        <v>79</v>
      </c>
      <c r="B82" s="17"/>
      <c r="C82" s="18" t="str">
        <f t="shared" si="4"/>
        <v/>
      </c>
      <c r="D82" s="19" t="str">
        <f t="shared" ca="1" si="5"/>
        <v/>
      </c>
    </row>
    <row r="83" spans="1:4" ht="19.5" customHeight="1" x14ac:dyDescent="0.3">
      <c r="A83" s="20">
        <v>80</v>
      </c>
      <c r="B83" s="21"/>
      <c r="C83" s="22" t="str">
        <f t="shared" si="4"/>
        <v/>
      </c>
      <c r="D83" s="23" t="str">
        <f t="shared" ca="1" si="5"/>
        <v/>
      </c>
    </row>
    <row r="84" spans="1:4" ht="19.5" customHeight="1" x14ac:dyDescent="0.3">
      <c r="A84" s="16">
        <v>81</v>
      </c>
      <c r="B84" s="17"/>
      <c r="C84" s="18" t="str">
        <f t="shared" si="4"/>
        <v/>
      </c>
      <c r="D84" s="19" t="str">
        <f t="shared" ca="1" si="5"/>
        <v/>
      </c>
    </row>
    <row r="85" spans="1:4" ht="19.5" customHeight="1" x14ac:dyDescent="0.3">
      <c r="A85" s="20">
        <v>82</v>
      </c>
      <c r="B85" s="21"/>
      <c r="C85" s="22" t="str">
        <f t="shared" si="4"/>
        <v/>
      </c>
      <c r="D85" s="23" t="str">
        <f t="shared" ca="1" si="5"/>
        <v/>
      </c>
    </row>
    <row r="86" spans="1:4" ht="19.5" customHeight="1" x14ac:dyDescent="0.3">
      <c r="A86" s="16">
        <v>83</v>
      </c>
      <c r="B86" s="17"/>
      <c r="C86" s="18" t="str">
        <f t="shared" si="4"/>
        <v/>
      </c>
      <c r="D86" s="19" t="str">
        <f t="shared" ca="1" si="5"/>
        <v/>
      </c>
    </row>
    <row r="87" spans="1:4" ht="19.5" customHeight="1" x14ac:dyDescent="0.3">
      <c r="A87" s="20">
        <v>84</v>
      </c>
      <c r="B87" s="21"/>
      <c r="C87" s="22" t="str">
        <f t="shared" si="4"/>
        <v/>
      </c>
      <c r="D87" s="23" t="str">
        <f t="shared" ca="1" si="5"/>
        <v/>
      </c>
    </row>
    <row r="88" spans="1:4" ht="19.5" customHeight="1" x14ac:dyDescent="0.3">
      <c r="A88" s="16">
        <v>85</v>
      </c>
      <c r="B88" s="17"/>
      <c r="C88" s="18" t="str">
        <f t="shared" si="4"/>
        <v/>
      </c>
      <c r="D88" s="19" t="str">
        <f t="shared" ca="1" si="5"/>
        <v/>
      </c>
    </row>
    <row r="89" spans="1:4" ht="19.5" customHeight="1" x14ac:dyDescent="0.3">
      <c r="A89" s="20">
        <v>86</v>
      </c>
      <c r="B89" s="21"/>
      <c r="C89" s="22" t="str">
        <f t="shared" si="4"/>
        <v/>
      </c>
      <c r="D89" s="23" t="str">
        <f t="shared" ca="1" si="5"/>
        <v/>
      </c>
    </row>
    <row r="90" spans="1:4" ht="19.5" customHeight="1" x14ac:dyDescent="0.3">
      <c r="A90" s="16">
        <v>87</v>
      </c>
      <c r="B90" s="17"/>
      <c r="C90" s="18" t="str">
        <f t="shared" si="4"/>
        <v/>
      </c>
      <c r="D90" s="19" t="str">
        <f t="shared" ca="1" si="5"/>
        <v/>
      </c>
    </row>
    <row r="91" spans="1:4" ht="19.5" customHeight="1" x14ac:dyDescent="0.3">
      <c r="A91" s="20">
        <v>88</v>
      </c>
      <c r="B91" s="21"/>
      <c r="C91" s="22" t="str">
        <f t="shared" si="4"/>
        <v/>
      </c>
      <c r="D91" s="23" t="str">
        <f t="shared" ca="1" si="5"/>
        <v/>
      </c>
    </row>
    <row r="92" spans="1:4" ht="19.5" customHeight="1" x14ac:dyDescent="0.3">
      <c r="A92" s="16">
        <v>89</v>
      </c>
      <c r="B92" s="17"/>
      <c r="C92" s="18" t="str">
        <f t="shared" si="4"/>
        <v/>
      </c>
      <c r="D92" s="19" t="str">
        <f t="shared" ca="1" si="5"/>
        <v/>
      </c>
    </row>
    <row r="93" spans="1:4" ht="19.5" customHeight="1" x14ac:dyDescent="0.3">
      <c r="A93" s="20">
        <v>90</v>
      </c>
      <c r="B93" s="21"/>
      <c r="C93" s="22" t="str">
        <f t="shared" si="4"/>
        <v/>
      </c>
      <c r="D93" s="23" t="str">
        <f t="shared" ca="1" si="5"/>
        <v/>
      </c>
    </row>
    <row r="94" spans="1:4" ht="19.5" customHeight="1" x14ac:dyDescent="0.3">
      <c r="A94" s="16">
        <v>91</v>
      </c>
      <c r="B94" s="17"/>
      <c r="C94" s="18" t="str">
        <f t="shared" si="4"/>
        <v/>
      </c>
      <c r="D94" s="19" t="str">
        <f t="shared" ca="1" si="5"/>
        <v/>
      </c>
    </row>
    <row r="95" spans="1:4" ht="19.5" customHeight="1" x14ac:dyDescent="0.3">
      <c r="A95" s="20">
        <v>92</v>
      </c>
      <c r="B95" s="21"/>
      <c r="C95" s="22" t="str">
        <f t="shared" si="4"/>
        <v/>
      </c>
      <c r="D95" s="23" t="str">
        <f t="shared" ca="1" si="5"/>
        <v/>
      </c>
    </row>
    <row r="96" spans="1:4" ht="19.5" customHeight="1" x14ac:dyDescent="0.3">
      <c r="A96" s="16">
        <v>93</v>
      </c>
      <c r="B96" s="17"/>
      <c r="C96" s="18" t="str">
        <f t="shared" si="4"/>
        <v/>
      </c>
      <c r="D96" s="19" t="str">
        <f t="shared" ca="1" si="5"/>
        <v/>
      </c>
    </row>
    <row r="97" spans="1:4" ht="19.5" customHeight="1" x14ac:dyDescent="0.3">
      <c r="A97" s="20">
        <v>94</v>
      </c>
      <c r="B97" s="21"/>
      <c r="C97" s="22" t="str">
        <f t="shared" si="4"/>
        <v/>
      </c>
      <c r="D97" s="23" t="str">
        <f t="shared" ca="1" si="5"/>
        <v/>
      </c>
    </row>
    <row r="98" spans="1:4" ht="19.5" customHeight="1" x14ac:dyDescent="0.3">
      <c r="A98" s="16">
        <v>95</v>
      </c>
      <c r="B98" s="17"/>
      <c r="C98" s="18" t="str">
        <f t="shared" si="4"/>
        <v/>
      </c>
      <c r="D98" s="19" t="str">
        <f t="shared" ca="1" si="5"/>
        <v/>
      </c>
    </row>
    <row r="99" spans="1:4" ht="19.5" customHeight="1" x14ac:dyDescent="0.3">
      <c r="A99" s="20">
        <v>96</v>
      </c>
      <c r="B99" s="21"/>
      <c r="C99" s="22" t="str">
        <f t="shared" si="4"/>
        <v/>
      </c>
      <c r="D99" s="23" t="str">
        <f t="shared" ca="1" si="5"/>
        <v/>
      </c>
    </row>
    <row r="100" spans="1:4" ht="19.5" customHeight="1" x14ac:dyDescent="0.3">
      <c r="A100" s="16">
        <v>97</v>
      </c>
      <c r="B100" s="17"/>
      <c r="C100" s="18" t="str">
        <f t="shared" ref="C100:C131" si="6">IF(B100="","",IF(OR(LEFT(LOWER(B100),1)="s",LEFT(LOWER(B100),1)="r",LEFT(LOWER(B100),1)="a",LEFT(LOWER(B100),1)="b"),"OK","REVISAR"))</f>
        <v/>
      </c>
      <c r="D100" s="19" t="str">
        <f t="shared" ref="D100:D131" ca="1" si="7">IF(B100&lt;&gt;"",TEXT(NOW(),"HH:MM:SS"),"")</f>
        <v/>
      </c>
    </row>
    <row r="101" spans="1:4" ht="19.5" customHeight="1" x14ac:dyDescent="0.3">
      <c r="A101" s="20">
        <v>98</v>
      </c>
      <c r="B101" s="21"/>
      <c r="C101" s="22" t="str">
        <f t="shared" si="6"/>
        <v/>
      </c>
      <c r="D101" s="23" t="str">
        <f t="shared" ca="1" si="7"/>
        <v/>
      </c>
    </row>
    <row r="102" spans="1:4" ht="19.5" customHeight="1" x14ac:dyDescent="0.3">
      <c r="A102" s="16">
        <v>99</v>
      </c>
      <c r="B102" s="17"/>
      <c r="C102" s="18" t="str">
        <f t="shared" si="6"/>
        <v/>
      </c>
      <c r="D102" s="19" t="str">
        <f t="shared" ca="1" si="7"/>
        <v/>
      </c>
    </row>
    <row r="103" spans="1:4" ht="19.5" customHeight="1" x14ac:dyDescent="0.3">
      <c r="A103" s="20">
        <v>100</v>
      </c>
      <c r="B103" s="21"/>
      <c r="C103" s="22" t="str">
        <f t="shared" si="6"/>
        <v/>
      </c>
      <c r="D103" s="23" t="str">
        <f t="shared" ca="1" si="7"/>
        <v/>
      </c>
    </row>
    <row r="104" spans="1:4" ht="19.5" customHeight="1" x14ac:dyDescent="0.3">
      <c r="A104" s="16">
        <v>101</v>
      </c>
      <c r="B104" s="17"/>
      <c r="C104" s="18" t="str">
        <f t="shared" si="6"/>
        <v/>
      </c>
      <c r="D104" s="19" t="str">
        <f t="shared" ca="1" si="7"/>
        <v/>
      </c>
    </row>
    <row r="105" spans="1:4" ht="19.5" customHeight="1" x14ac:dyDescent="0.3">
      <c r="A105" s="20">
        <v>102</v>
      </c>
      <c r="B105" s="21"/>
      <c r="C105" s="22" t="str">
        <f t="shared" si="6"/>
        <v/>
      </c>
      <c r="D105" s="23" t="str">
        <f t="shared" ca="1" si="7"/>
        <v/>
      </c>
    </row>
    <row r="106" spans="1:4" ht="19.5" customHeight="1" x14ac:dyDescent="0.3">
      <c r="A106" s="16">
        <v>103</v>
      </c>
      <c r="B106" s="17"/>
      <c r="C106" s="18" t="str">
        <f t="shared" si="6"/>
        <v/>
      </c>
      <c r="D106" s="19" t="str">
        <f t="shared" ca="1" si="7"/>
        <v/>
      </c>
    </row>
    <row r="107" spans="1:4" ht="19.5" customHeight="1" x14ac:dyDescent="0.3">
      <c r="A107" s="20">
        <v>104</v>
      </c>
      <c r="B107" s="21"/>
      <c r="C107" s="22" t="str">
        <f t="shared" si="6"/>
        <v/>
      </c>
      <c r="D107" s="23" t="str">
        <f t="shared" ca="1" si="7"/>
        <v/>
      </c>
    </row>
    <row r="108" spans="1:4" ht="19.5" customHeight="1" x14ac:dyDescent="0.3">
      <c r="A108" s="16">
        <v>105</v>
      </c>
      <c r="B108" s="17"/>
      <c r="C108" s="18" t="str">
        <f t="shared" si="6"/>
        <v/>
      </c>
      <c r="D108" s="19" t="str">
        <f t="shared" ca="1" si="7"/>
        <v/>
      </c>
    </row>
    <row r="109" spans="1:4" ht="19.5" customHeight="1" x14ac:dyDescent="0.3">
      <c r="A109" s="20">
        <v>106</v>
      </c>
      <c r="B109" s="21"/>
      <c r="C109" s="22" t="str">
        <f t="shared" si="6"/>
        <v/>
      </c>
      <c r="D109" s="23" t="str">
        <f t="shared" ca="1" si="7"/>
        <v/>
      </c>
    </row>
    <row r="110" spans="1:4" ht="19.5" customHeight="1" x14ac:dyDescent="0.3">
      <c r="A110" s="16">
        <v>107</v>
      </c>
      <c r="B110" s="17"/>
      <c r="C110" s="18" t="str">
        <f t="shared" si="6"/>
        <v/>
      </c>
      <c r="D110" s="19" t="str">
        <f t="shared" ca="1" si="7"/>
        <v/>
      </c>
    </row>
    <row r="111" spans="1:4" ht="19.5" customHeight="1" x14ac:dyDescent="0.3">
      <c r="A111" s="20">
        <v>108</v>
      </c>
      <c r="B111" s="21"/>
      <c r="C111" s="22" t="str">
        <f t="shared" si="6"/>
        <v/>
      </c>
      <c r="D111" s="23" t="str">
        <f t="shared" ca="1" si="7"/>
        <v/>
      </c>
    </row>
    <row r="112" spans="1:4" ht="19.5" customHeight="1" x14ac:dyDescent="0.3">
      <c r="A112" s="16">
        <v>109</v>
      </c>
      <c r="B112" s="17"/>
      <c r="C112" s="18" t="str">
        <f t="shared" si="6"/>
        <v/>
      </c>
      <c r="D112" s="19" t="str">
        <f t="shared" ca="1" si="7"/>
        <v/>
      </c>
    </row>
    <row r="113" spans="1:4" ht="19.5" customHeight="1" x14ac:dyDescent="0.3">
      <c r="A113" s="20">
        <v>110</v>
      </c>
      <c r="B113" s="21"/>
      <c r="C113" s="22" t="str">
        <f t="shared" si="6"/>
        <v/>
      </c>
      <c r="D113" s="23" t="str">
        <f t="shared" ca="1" si="7"/>
        <v/>
      </c>
    </row>
    <row r="114" spans="1:4" ht="19.5" customHeight="1" x14ac:dyDescent="0.3">
      <c r="A114" s="16">
        <v>111</v>
      </c>
      <c r="B114" s="17"/>
      <c r="C114" s="18" t="str">
        <f t="shared" si="6"/>
        <v/>
      </c>
      <c r="D114" s="19" t="str">
        <f t="shared" ca="1" si="7"/>
        <v/>
      </c>
    </row>
    <row r="115" spans="1:4" ht="19.5" customHeight="1" x14ac:dyDescent="0.3">
      <c r="A115" s="20">
        <v>112</v>
      </c>
      <c r="B115" s="21"/>
      <c r="C115" s="22" t="str">
        <f t="shared" si="6"/>
        <v/>
      </c>
      <c r="D115" s="23" t="str">
        <f t="shared" ca="1" si="7"/>
        <v/>
      </c>
    </row>
    <row r="116" spans="1:4" ht="19.5" customHeight="1" x14ac:dyDescent="0.3">
      <c r="A116" s="16">
        <v>113</v>
      </c>
      <c r="B116" s="17"/>
      <c r="C116" s="18" t="str">
        <f t="shared" si="6"/>
        <v/>
      </c>
      <c r="D116" s="19" t="str">
        <f t="shared" ca="1" si="7"/>
        <v/>
      </c>
    </row>
    <row r="117" spans="1:4" ht="19.5" customHeight="1" x14ac:dyDescent="0.3">
      <c r="A117" s="20">
        <v>114</v>
      </c>
      <c r="B117" s="21"/>
      <c r="C117" s="22" t="str">
        <f t="shared" si="6"/>
        <v/>
      </c>
      <c r="D117" s="23" t="str">
        <f t="shared" ca="1" si="7"/>
        <v/>
      </c>
    </row>
    <row r="118" spans="1:4" ht="19.5" customHeight="1" x14ac:dyDescent="0.3">
      <c r="A118" s="16">
        <v>115</v>
      </c>
      <c r="B118" s="17"/>
      <c r="C118" s="18" t="str">
        <f t="shared" si="6"/>
        <v/>
      </c>
      <c r="D118" s="19" t="str">
        <f t="shared" ca="1" si="7"/>
        <v/>
      </c>
    </row>
    <row r="119" spans="1:4" ht="19.5" customHeight="1" x14ac:dyDescent="0.3">
      <c r="A119" s="20">
        <v>116</v>
      </c>
      <c r="B119" s="21"/>
      <c r="C119" s="22" t="str">
        <f t="shared" si="6"/>
        <v/>
      </c>
      <c r="D119" s="23" t="str">
        <f t="shared" ca="1" si="7"/>
        <v/>
      </c>
    </row>
    <row r="120" spans="1:4" ht="19.5" customHeight="1" x14ac:dyDescent="0.3">
      <c r="A120" s="16">
        <v>117</v>
      </c>
      <c r="B120" s="17"/>
      <c r="C120" s="18" t="str">
        <f t="shared" si="6"/>
        <v/>
      </c>
      <c r="D120" s="19" t="str">
        <f t="shared" ca="1" si="7"/>
        <v/>
      </c>
    </row>
    <row r="121" spans="1:4" ht="19.5" customHeight="1" x14ac:dyDescent="0.3">
      <c r="A121" s="20">
        <v>118</v>
      </c>
      <c r="B121" s="21"/>
      <c r="C121" s="22" t="str">
        <f t="shared" si="6"/>
        <v/>
      </c>
      <c r="D121" s="23" t="str">
        <f t="shared" ca="1" si="7"/>
        <v/>
      </c>
    </row>
    <row r="122" spans="1:4" ht="19.5" customHeight="1" x14ac:dyDescent="0.3">
      <c r="A122" s="16">
        <v>119</v>
      </c>
      <c r="B122" s="17"/>
      <c r="C122" s="18" t="str">
        <f t="shared" si="6"/>
        <v/>
      </c>
      <c r="D122" s="19" t="str">
        <f t="shared" ca="1" si="7"/>
        <v/>
      </c>
    </row>
    <row r="123" spans="1:4" ht="19.5" customHeight="1" x14ac:dyDescent="0.3">
      <c r="A123" s="20">
        <v>120</v>
      </c>
      <c r="B123" s="21"/>
      <c r="C123" s="22" t="str">
        <f t="shared" si="6"/>
        <v/>
      </c>
      <c r="D123" s="23" t="str">
        <f t="shared" ca="1" si="7"/>
        <v/>
      </c>
    </row>
    <row r="124" spans="1:4" ht="19.5" customHeight="1" x14ac:dyDescent="0.3">
      <c r="A124" s="16">
        <v>121</v>
      </c>
      <c r="B124" s="17"/>
      <c r="C124" s="18" t="str">
        <f t="shared" si="6"/>
        <v/>
      </c>
      <c r="D124" s="19" t="str">
        <f t="shared" ca="1" si="7"/>
        <v/>
      </c>
    </row>
    <row r="125" spans="1:4" ht="19.5" customHeight="1" x14ac:dyDescent="0.3">
      <c r="A125" s="20">
        <v>122</v>
      </c>
      <c r="B125" s="21"/>
      <c r="C125" s="22" t="str">
        <f t="shared" si="6"/>
        <v/>
      </c>
      <c r="D125" s="23" t="str">
        <f t="shared" ca="1" si="7"/>
        <v/>
      </c>
    </row>
    <row r="126" spans="1:4" ht="19.5" customHeight="1" x14ac:dyDescent="0.3">
      <c r="A126" s="16">
        <v>123</v>
      </c>
      <c r="B126" s="17"/>
      <c r="C126" s="18" t="str">
        <f t="shared" si="6"/>
        <v/>
      </c>
      <c r="D126" s="19" t="str">
        <f t="shared" ca="1" si="7"/>
        <v/>
      </c>
    </row>
    <row r="127" spans="1:4" ht="19.5" customHeight="1" x14ac:dyDescent="0.3">
      <c r="A127" s="20">
        <v>124</v>
      </c>
      <c r="B127" s="21"/>
      <c r="C127" s="22" t="str">
        <f t="shared" si="6"/>
        <v/>
      </c>
      <c r="D127" s="23" t="str">
        <f t="shared" ca="1" si="7"/>
        <v/>
      </c>
    </row>
    <row r="128" spans="1:4" ht="19.5" customHeight="1" x14ac:dyDescent="0.3">
      <c r="A128" s="16">
        <v>125</v>
      </c>
      <c r="B128" s="17"/>
      <c r="C128" s="18" t="str">
        <f t="shared" si="6"/>
        <v/>
      </c>
      <c r="D128" s="19" t="str">
        <f t="shared" ca="1" si="7"/>
        <v/>
      </c>
    </row>
    <row r="129" spans="1:4" ht="19.5" customHeight="1" x14ac:dyDescent="0.3">
      <c r="A129" s="20">
        <v>126</v>
      </c>
      <c r="B129" s="21"/>
      <c r="C129" s="22" t="str">
        <f t="shared" si="6"/>
        <v/>
      </c>
      <c r="D129" s="23" t="str">
        <f t="shared" ca="1" si="7"/>
        <v/>
      </c>
    </row>
    <row r="130" spans="1:4" ht="19.5" customHeight="1" x14ac:dyDescent="0.3">
      <c r="A130" s="16">
        <v>127</v>
      </c>
      <c r="B130" s="17"/>
      <c r="C130" s="18" t="str">
        <f t="shared" si="6"/>
        <v/>
      </c>
      <c r="D130" s="19" t="str">
        <f t="shared" ca="1" si="7"/>
        <v/>
      </c>
    </row>
    <row r="131" spans="1:4" ht="19.5" customHeight="1" x14ac:dyDescent="0.3">
      <c r="A131" s="20">
        <v>128</v>
      </c>
      <c r="B131" s="21"/>
      <c r="C131" s="22" t="str">
        <f t="shared" si="6"/>
        <v/>
      </c>
      <c r="D131" s="23" t="str">
        <f t="shared" ca="1" si="7"/>
        <v/>
      </c>
    </row>
    <row r="132" spans="1:4" ht="19.5" customHeight="1" x14ac:dyDescent="0.3">
      <c r="A132" s="16">
        <v>129</v>
      </c>
      <c r="B132" s="17"/>
      <c r="C132" s="18" t="str">
        <f t="shared" ref="C132:C163" si="8">IF(B132="","",IF(OR(LEFT(LOWER(B132),1)="s",LEFT(LOWER(B132),1)="r",LEFT(LOWER(B132),1)="a",LEFT(LOWER(B132),1)="b"),"OK","REVISAR"))</f>
        <v/>
      </c>
      <c r="D132" s="19" t="str">
        <f t="shared" ref="D132:D163" ca="1" si="9">IF(B132&lt;&gt;"",TEXT(NOW(),"HH:MM:SS"),"")</f>
        <v/>
      </c>
    </row>
    <row r="133" spans="1:4" ht="19.5" customHeight="1" x14ac:dyDescent="0.3">
      <c r="A133" s="20">
        <v>130</v>
      </c>
      <c r="B133" s="21"/>
      <c r="C133" s="22" t="str">
        <f t="shared" si="8"/>
        <v/>
      </c>
      <c r="D133" s="23" t="str">
        <f t="shared" ca="1" si="9"/>
        <v/>
      </c>
    </row>
    <row r="134" spans="1:4" ht="19.5" customHeight="1" x14ac:dyDescent="0.3">
      <c r="A134" s="16">
        <v>131</v>
      </c>
      <c r="B134" s="17"/>
      <c r="C134" s="18" t="str">
        <f t="shared" si="8"/>
        <v/>
      </c>
      <c r="D134" s="19" t="str">
        <f t="shared" ca="1" si="9"/>
        <v/>
      </c>
    </row>
    <row r="135" spans="1:4" ht="19.5" customHeight="1" x14ac:dyDescent="0.3">
      <c r="A135" s="20">
        <v>132</v>
      </c>
      <c r="B135" s="21"/>
      <c r="C135" s="22" t="str">
        <f t="shared" si="8"/>
        <v/>
      </c>
      <c r="D135" s="23" t="str">
        <f t="shared" ca="1" si="9"/>
        <v/>
      </c>
    </row>
    <row r="136" spans="1:4" ht="19.5" customHeight="1" x14ac:dyDescent="0.3">
      <c r="A136" s="16">
        <v>133</v>
      </c>
      <c r="B136" s="17"/>
      <c r="C136" s="18" t="str">
        <f t="shared" si="8"/>
        <v/>
      </c>
      <c r="D136" s="19" t="str">
        <f t="shared" ca="1" si="9"/>
        <v/>
      </c>
    </row>
    <row r="137" spans="1:4" ht="19.5" customHeight="1" x14ac:dyDescent="0.3">
      <c r="A137" s="20">
        <v>134</v>
      </c>
      <c r="B137" s="21"/>
      <c r="C137" s="22" t="str">
        <f t="shared" si="8"/>
        <v/>
      </c>
      <c r="D137" s="23" t="str">
        <f t="shared" ca="1" si="9"/>
        <v/>
      </c>
    </row>
    <row r="138" spans="1:4" ht="19.5" customHeight="1" x14ac:dyDescent="0.3">
      <c r="A138" s="16">
        <v>135</v>
      </c>
      <c r="B138" s="17"/>
      <c r="C138" s="18" t="str">
        <f t="shared" si="8"/>
        <v/>
      </c>
      <c r="D138" s="19" t="str">
        <f t="shared" ca="1" si="9"/>
        <v/>
      </c>
    </row>
    <row r="139" spans="1:4" ht="19.5" customHeight="1" x14ac:dyDescent="0.3">
      <c r="A139" s="20">
        <v>136</v>
      </c>
      <c r="B139" s="21"/>
      <c r="C139" s="22" t="str">
        <f t="shared" si="8"/>
        <v/>
      </c>
      <c r="D139" s="23" t="str">
        <f t="shared" ca="1" si="9"/>
        <v/>
      </c>
    </row>
    <row r="140" spans="1:4" ht="19.5" customHeight="1" x14ac:dyDescent="0.3">
      <c r="A140" s="16">
        <v>137</v>
      </c>
      <c r="B140" s="17"/>
      <c r="C140" s="18" t="str">
        <f t="shared" si="8"/>
        <v/>
      </c>
      <c r="D140" s="19" t="str">
        <f t="shared" ca="1" si="9"/>
        <v/>
      </c>
    </row>
    <row r="141" spans="1:4" ht="19.5" customHeight="1" x14ac:dyDescent="0.3">
      <c r="A141" s="20">
        <v>138</v>
      </c>
      <c r="B141" s="21"/>
      <c r="C141" s="22" t="str">
        <f t="shared" si="8"/>
        <v/>
      </c>
      <c r="D141" s="23" t="str">
        <f t="shared" ca="1" si="9"/>
        <v/>
      </c>
    </row>
    <row r="142" spans="1:4" ht="19.5" customHeight="1" x14ac:dyDescent="0.3">
      <c r="A142" s="16">
        <v>139</v>
      </c>
      <c r="B142" s="17"/>
      <c r="C142" s="18" t="str">
        <f t="shared" si="8"/>
        <v/>
      </c>
      <c r="D142" s="19" t="str">
        <f t="shared" ca="1" si="9"/>
        <v/>
      </c>
    </row>
    <row r="143" spans="1:4" ht="19.5" customHeight="1" x14ac:dyDescent="0.3">
      <c r="A143" s="20">
        <v>140</v>
      </c>
      <c r="B143" s="21"/>
      <c r="C143" s="22" t="str">
        <f t="shared" si="8"/>
        <v/>
      </c>
      <c r="D143" s="23" t="str">
        <f t="shared" ca="1" si="9"/>
        <v/>
      </c>
    </row>
    <row r="144" spans="1:4" ht="19.5" customHeight="1" x14ac:dyDescent="0.3">
      <c r="A144" s="16">
        <v>141</v>
      </c>
      <c r="B144" s="17"/>
      <c r="C144" s="18" t="str">
        <f t="shared" si="8"/>
        <v/>
      </c>
      <c r="D144" s="19" t="str">
        <f t="shared" ca="1" si="9"/>
        <v/>
      </c>
    </row>
    <row r="145" spans="1:4" ht="19.5" customHeight="1" x14ac:dyDescent="0.3">
      <c r="A145" s="20">
        <v>142</v>
      </c>
      <c r="B145" s="21"/>
      <c r="C145" s="22" t="str">
        <f t="shared" si="8"/>
        <v/>
      </c>
      <c r="D145" s="23" t="str">
        <f t="shared" ca="1" si="9"/>
        <v/>
      </c>
    </row>
    <row r="146" spans="1:4" ht="19.5" customHeight="1" x14ac:dyDescent="0.3">
      <c r="A146" s="16">
        <v>143</v>
      </c>
      <c r="B146" s="17"/>
      <c r="C146" s="18" t="str">
        <f t="shared" si="8"/>
        <v/>
      </c>
      <c r="D146" s="19" t="str">
        <f t="shared" ca="1" si="9"/>
        <v/>
      </c>
    </row>
    <row r="147" spans="1:4" ht="19.5" customHeight="1" x14ac:dyDescent="0.3">
      <c r="A147" s="20">
        <v>144</v>
      </c>
      <c r="B147" s="21"/>
      <c r="C147" s="22" t="str">
        <f t="shared" si="8"/>
        <v/>
      </c>
      <c r="D147" s="23" t="str">
        <f t="shared" ca="1" si="9"/>
        <v/>
      </c>
    </row>
    <row r="148" spans="1:4" ht="19.5" customHeight="1" x14ac:dyDescent="0.3">
      <c r="A148" s="16">
        <v>145</v>
      </c>
      <c r="B148" s="17"/>
      <c r="C148" s="18" t="str">
        <f t="shared" si="8"/>
        <v/>
      </c>
      <c r="D148" s="19" t="str">
        <f t="shared" ca="1" si="9"/>
        <v/>
      </c>
    </row>
    <row r="149" spans="1:4" ht="19.5" customHeight="1" x14ac:dyDescent="0.3">
      <c r="A149" s="20">
        <v>146</v>
      </c>
      <c r="B149" s="21"/>
      <c r="C149" s="22" t="str">
        <f t="shared" si="8"/>
        <v/>
      </c>
      <c r="D149" s="23" t="str">
        <f t="shared" ca="1" si="9"/>
        <v/>
      </c>
    </row>
    <row r="150" spans="1:4" ht="19.5" customHeight="1" x14ac:dyDescent="0.3">
      <c r="A150" s="16">
        <v>147</v>
      </c>
      <c r="B150" s="17"/>
      <c r="C150" s="18" t="str">
        <f t="shared" si="8"/>
        <v/>
      </c>
      <c r="D150" s="19" t="str">
        <f t="shared" ca="1" si="9"/>
        <v/>
      </c>
    </row>
    <row r="151" spans="1:4" ht="19.5" customHeight="1" x14ac:dyDescent="0.3">
      <c r="A151" s="20">
        <v>148</v>
      </c>
      <c r="B151" s="21"/>
      <c r="C151" s="22" t="str">
        <f t="shared" si="8"/>
        <v/>
      </c>
      <c r="D151" s="23" t="str">
        <f t="shared" ca="1" si="9"/>
        <v/>
      </c>
    </row>
    <row r="152" spans="1:4" ht="19.5" customHeight="1" x14ac:dyDescent="0.3">
      <c r="A152" s="16">
        <v>149</v>
      </c>
      <c r="B152" s="17"/>
      <c r="C152" s="18" t="str">
        <f t="shared" si="8"/>
        <v/>
      </c>
      <c r="D152" s="19" t="str">
        <f t="shared" ca="1" si="9"/>
        <v/>
      </c>
    </row>
    <row r="153" spans="1:4" ht="19.5" customHeight="1" x14ac:dyDescent="0.3">
      <c r="A153" s="20">
        <v>150</v>
      </c>
      <c r="B153" s="21"/>
      <c r="C153" s="22" t="str">
        <f t="shared" si="8"/>
        <v/>
      </c>
      <c r="D153" s="23" t="str">
        <f t="shared" ca="1" si="9"/>
        <v/>
      </c>
    </row>
    <row r="154" spans="1:4" ht="19.5" customHeight="1" x14ac:dyDescent="0.3">
      <c r="A154" s="16">
        <v>151</v>
      </c>
      <c r="B154" s="17"/>
      <c r="C154" s="18" t="str">
        <f t="shared" si="8"/>
        <v/>
      </c>
      <c r="D154" s="19" t="str">
        <f t="shared" ca="1" si="9"/>
        <v/>
      </c>
    </row>
    <row r="155" spans="1:4" ht="19.5" customHeight="1" x14ac:dyDescent="0.3">
      <c r="A155" s="20">
        <v>152</v>
      </c>
      <c r="B155" s="21"/>
      <c r="C155" s="22" t="str">
        <f t="shared" si="8"/>
        <v/>
      </c>
      <c r="D155" s="23" t="str">
        <f t="shared" ca="1" si="9"/>
        <v/>
      </c>
    </row>
    <row r="156" spans="1:4" ht="19.5" customHeight="1" x14ac:dyDescent="0.3">
      <c r="A156" s="16">
        <v>153</v>
      </c>
      <c r="B156" s="17"/>
      <c r="C156" s="18" t="str">
        <f t="shared" si="8"/>
        <v/>
      </c>
      <c r="D156" s="19" t="str">
        <f t="shared" ca="1" si="9"/>
        <v/>
      </c>
    </row>
    <row r="157" spans="1:4" ht="19.5" customHeight="1" x14ac:dyDescent="0.3">
      <c r="A157" s="20">
        <v>154</v>
      </c>
      <c r="B157" s="21"/>
      <c r="C157" s="22" t="str">
        <f t="shared" si="8"/>
        <v/>
      </c>
      <c r="D157" s="23" t="str">
        <f t="shared" ca="1" si="9"/>
        <v/>
      </c>
    </row>
    <row r="158" spans="1:4" ht="19.5" customHeight="1" x14ac:dyDescent="0.3">
      <c r="A158" s="16">
        <v>155</v>
      </c>
      <c r="B158" s="17"/>
      <c r="C158" s="18" t="str">
        <f t="shared" si="8"/>
        <v/>
      </c>
      <c r="D158" s="19" t="str">
        <f t="shared" ca="1" si="9"/>
        <v/>
      </c>
    </row>
    <row r="159" spans="1:4" ht="19.5" customHeight="1" x14ac:dyDescent="0.3">
      <c r="A159" s="20">
        <v>156</v>
      </c>
      <c r="B159" s="21"/>
      <c r="C159" s="22" t="str">
        <f t="shared" si="8"/>
        <v/>
      </c>
      <c r="D159" s="23" t="str">
        <f t="shared" ca="1" si="9"/>
        <v/>
      </c>
    </row>
    <row r="160" spans="1:4" ht="19.5" customHeight="1" x14ac:dyDescent="0.3">
      <c r="A160" s="16">
        <v>157</v>
      </c>
      <c r="B160" s="17"/>
      <c r="C160" s="18" t="str">
        <f t="shared" si="8"/>
        <v/>
      </c>
      <c r="D160" s="19" t="str">
        <f t="shared" ca="1" si="9"/>
        <v/>
      </c>
    </row>
    <row r="161" spans="1:4" ht="19.5" customHeight="1" x14ac:dyDescent="0.3">
      <c r="A161" s="20">
        <v>158</v>
      </c>
      <c r="B161" s="21"/>
      <c r="C161" s="22" t="str">
        <f t="shared" si="8"/>
        <v/>
      </c>
      <c r="D161" s="23" t="str">
        <f t="shared" ca="1" si="9"/>
        <v/>
      </c>
    </row>
    <row r="162" spans="1:4" ht="19.5" customHeight="1" x14ac:dyDescent="0.3">
      <c r="A162" s="16">
        <v>159</v>
      </c>
      <c r="B162" s="17"/>
      <c r="C162" s="18" t="str">
        <f t="shared" si="8"/>
        <v/>
      </c>
      <c r="D162" s="19" t="str">
        <f t="shared" ca="1" si="9"/>
        <v/>
      </c>
    </row>
    <row r="163" spans="1:4" ht="19.5" customHeight="1" x14ac:dyDescent="0.3">
      <c r="A163" s="20">
        <v>160</v>
      </c>
      <c r="B163" s="21"/>
      <c r="C163" s="22" t="str">
        <f t="shared" si="8"/>
        <v/>
      </c>
      <c r="D163" s="23" t="str">
        <f t="shared" ca="1" si="9"/>
        <v/>
      </c>
    </row>
    <row r="164" spans="1:4" ht="19.5" customHeight="1" x14ac:dyDescent="0.3">
      <c r="A164" s="16">
        <v>161</v>
      </c>
      <c r="B164" s="17"/>
      <c r="C164" s="18" t="str">
        <f t="shared" ref="C164:C195" si="10">IF(B164="","",IF(OR(LEFT(LOWER(B164),1)="s",LEFT(LOWER(B164),1)="r",LEFT(LOWER(B164),1)="a",LEFT(LOWER(B164),1)="b"),"OK","REVISAR"))</f>
        <v/>
      </c>
      <c r="D164" s="19" t="str">
        <f t="shared" ref="D164:D195" ca="1" si="11">IF(B164&lt;&gt;"",TEXT(NOW(),"HH:MM:SS"),"")</f>
        <v/>
      </c>
    </row>
    <row r="165" spans="1:4" ht="19.5" customHeight="1" x14ac:dyDescent="0.3">
      <c r="A165" s="20">
        <v>162</v>
      </c>
      <c r="B165" s="21"/>
      <c r="C165" s="22" t="str">
        <f t="shared" si="10"/>
        <v/>
      </c>
      <c r="D165" s="23" t="str">
        <f t="shared" ca="1" si="11"/>
        <v/>
      </c>
    </row>
    <row r="166" spans="1:4" ht="19.5" customHeight="1" x14ac:dyDescent="0.3">
      <c r="A166" s="16">
        <v>163</v>
      </c>
      <c r="B166" s="17"/>
      <c r="C166" s="18" t="str">
        <f t="shared" si="10"/>
        <v/>
      </c>
      <c r="D166" s="19" t="str">
        <f t="shared" ca="1" si="11"/>
        <v/>
      </c>
    </row>
    <row r="167" spans="1:4" ht="19.5" customHeight="1" x14ac:dyDescent="0.3">
      <c r="A167" s="20">
        <v>164</v>
      </c>
      <c r="B167" s="21"/>
      <c r="C167" s="22" t="str">
        <f t="shared" si="10"/>
        <v/>
      </c>
      <c r="D167" s="23" t="str">
        <f t="shared" ca="1" si="11"/>
        <v/>
      </c>
    </row>
    <row r="168" spans="1:4" ht="19.5" customHeight="1" x14ac:dyDescent="0.3">
      <c r="A168" s="16">
        <v>165</v>
      </c>
      <c r="B168" s="17"/>
      <c r="C168" s="18" t="str">
        <f t="shared" si="10"/>
        <v/>
      </c>
      <c r="D168" s="19" t="str">
        <f t="shared" ca="1" si="11"/>
        <v/>
      </c>
    </row>
    <row r="169" spans="1:4" ht="19.5" customHeight="1" x14ac:dyDescent="0.3">
      <c r="A169" s="20">
        <v>166</v>
      </c>
      <c r="B169" s="21"/>
      <c r="C169" s="22" t="str">
        <f t="shared" si="10"/>
        <v/>
      </c>
      <c r="D169" s="23" t="str">
        <f t="shared" ca="1" si="11"/>
        <v/>
      </c>
    </row>
    <row r="170" spans="1:4" ht="19.5" customHeight="1" x14ac:dyDescent="0.3">
      <c r="A170" s="16">
        <v>167</v>
      </c>
      <c r="B170" s="17"/>
      <c r="C170" s="18" t="str">
        <f t="shared" si="10"/>
        <v/>
      </c>
      <c r="D170" s="19" t="str">
        <f t="shared" ca="1" si="11"/>
        <v/>
      </c>
    </row>
    <row r="171" spans="1:4" ht="19.5" customHeight="1" x14ac:dyDescent="0.3">
      <c r="A171" s="20">
        <v>168</v>
      </c>
      <c r="B171" s="21"/>
      <c r="C171" s="22" t="str">
        <f t="shared" si="10"/>
        <v/>
      </c>
      <c r="D171" s="23" t="str">
        <f t="shared" ca="1" si="11"/>
        <v/>
      </c>
    </row>
    <row r="172" spans="1:4" ht="19.5" customHeight="1" x14ac:dyDescent="0.3">
      <c r="A172" s="16">
        <v>169</v>
      </c>
      <c r="B172" s="17"/>
      <c r="C172" s="18" t="str">
        <f t="shared" si="10"/>
        <v/>
      </c>
      <c r="D172" s="19" t="str">
        <f t="shared" ca="1" si="11"/>
        <v/>
      </c>
    </row>
    <row r="173" spans="1:4" ht="19.5" customHeight="1" x14ac:dyDescent="0.3">
      <c r="A173" s="20">
        <v>170</v>
      </c>
      <c r="B173" s="21"/>
      <c r="C173" s="22" t="str">
        <f t="shared" si="10"/>
        <v/>
      </c>
      <c r="D173" s="23" t="str">
        <f t="shared" ca="1" si="11"/>
        <v/>
      </c>
    </row>
    <row r="174" spans="1:4" ht="19.5" customHeight="1" x14ac:dyDescent="0.3">
      <c r="A174" s="16">
        <v>171</v>
      </c>
      <c r="B174" s="17"/>
      <c r="C174" s="18" t="str">
        <f t="shared" si="10"/>
        <v/>
      </c>
      <c r="D174" s="19" t="str">
        <f t="shared" ca="1" si="11"/>
        <v/>
      </c>
    </row>
    <row r="175" spans="1:4" ht="19.5" customHeight="1" x14ac:dyDescent="0.3">
      <c r="A175" s="20">
        <v>172</v>
      </c>
      <c r="B175" s="21"/>
      <c r="C175" s="22" t="str">
        <f t="shared" si="10"/>
        <v/>
      </c>
      <c r="D175" s="23" t="str">
        <f t="shared" ca="1" si="11"/>
        <v/>
      </c>
    </row>
    <row r="176" spans="1:4" ht="19.5" customHeight="1" x14ac:dyDescent="0.3">
      <c r="A176" s="16">
        <v>173</v>
      </c>
      <c r="B176" s="17"/>
      <c r="C176" s="18" t="str">
        <f t="shared" si="10"/>
        <v/>
      </c>
      <c r="D176" s="19" t="str">
        <f t="shared" ca="1" si="11"/>
        <v/>
      </c>
    </row>
    <row r="177" spans="1:4" ht="19.5" customHeight="1" x14ac:dyDescent="0.3">
      <c r="A177" s="20">
        <v>174</v>
      </c>
      <c r="B177" s="21"/>
      <c r="C177" s="22" t="str">
        <f t="shared" si="10"/>
        <v/>
      </c>
      <c r="D177" s="23" t="str">
        <f t="shared" ca="1" si="11"/>
        <v/>
      </c>
    </row>
    <row r="178" spans="1:4" ht="19.5" customHeight="1" x14ac:dyDescent="0.3">
      <c r="A178" s="16">
        <v>175</v>
      </c>
      <c r="B178" s="17"/>
      <c r="C178" s="18" t="str">
        <f t="shared" si="10"/>
        <v/>
      </c>
      <c r="D178" s="19" t="str">
        <f t="shared" ca="1" si="11"/>
        <v/>
      </c>
    </row>
    <row r="179" spans="1:4" ht="19.5" customHeight="1" x14ac:dyDescent="0.3">
      <c r="A179" s="20">
        <v>176</v>
      </c>
      <c r="B179" s="21"/>
      <c r="C179" s="22" t="str">
        <f t="shared" si="10"/>
        <v/>
      </c>
      <c r="D179" s="23" t="str">
        <f t="shared" ca="1" si="11"/>
        <v/>
      </c>
    </row>
    <row r="180" spans="1:4" ht="19.5" customHeight="1" x14ac:dyDescent="0.3">
      <c r="A180" s="16">
        <v>177</v>
      </c>
      <c r="B180" s="17"/>
      <c r="C180" s="18" t="str">
        <f t="shared" si="10"/>
        <v/>
      </c>
      <c r="D180" s="19" t="str">
        <f t="shared" ca="1" si="11"/>
        <v/>
      </c>
    </row>
    <row r="181" spans="1:4" ht="19.5" customHeight="1" x14ac:dyDescent="0.3">
      <c r="A181" s="20">
        <v>178</v>
      </c>
      <c r="B181" s="21"/>
      <c r="C181" s="22" t="str">
        <f t="shared" si="10"/>
        <v/>
      </c>
      <c r="D181" s="23" t="str">
        <f t="shared" ca="1" si="11"/>
        <v/>
      </c>
    </row>
    <row r="182" spans="1:4" ht="19.5" customHeight="1" x14ac:dyDescent="0.3">
      <c r="A182" s="16">
        <v>179</v>
      </c>
      <c r="B182" s="17"/>
      <c r="C182" s="18" t="str">
        <f t="shared" si="10"/>
        <v/>
      </c>
      <c r="D182" s="19" t="str">
        <f t="shared" ca="1" si="11"/>
        <v/>
      </c>
    </row>
    <row r="183" spans="1:4" ht="19.5" customHeight="1" x14ac:dyDescent="0.3">
      <c r="A183" s="20">
        <v>180</v>
      </c>
      <c r="B183" s="21"/>
      <c r="C183" s="22" t="str">
        <f t="shared" si="10"/>
        <v/>
      </c>
      <c r="D183" s="23" t="str">
        <f t="shared" ca="1" si="11"/>
        <v/>
      </c>
    </row>
    <row r="184" spans="1:4" ht="19.5" customHeight="1" x14ac:dyDescent="0.3">
      <c r="A184" s="16">
        <v>181</v>
      </c>
      <c r="B184" s="17"/>
      <c r="C184" s="18" t="str">
        <f t="shared" si="10"/>
        <v/>
      </c>
      <c r="D184" s="19" t="str">
        <f t="shared" ca="1" si="11"/>
        <v/>
      </c>
    </row>
    <row r="185" spans="1:4" ht="19.5" customHeight="1" x14ac:dyDescent="0.3">
      <c r="A185" s="20">
        <v>182</v>
      </c>
      <c r="B185" s="21"/>
      <c r="C185" s="22" t="str">
        <f t="shared" si="10"/>
        <v/>
      </c>
      <c r="D185" s="23" t="str">
        <f t="shared" ca="1" si="11"/>
        <v/>
      </c>
    </row>
    <row r="186" spans="1:4" ht="19.5" customHeight="1" x14ac:dyDescent="0.3">
      <c r="A186" s="16">
        <v>183</v>
      </c>
      <c r="B186" s="17"/>
      <c r="C186" s="18" t="str">
        <f t="shared" si="10"/>
        <v/>
      </c>
      <c r="D186" s="19" t="str">
        <f t="shared" ca="1" si="11"/>
        <v/>
      </c>
    </row>
    <row r="187" spans="1:4" ht="19.5" customHeight="1" x14ac:dyDescent="0.3">
      <c r="A187" s="20">
        <v>184</v>
      </c>
      <c r="B187" s="21"/>
      <c r="C187" s="22" t="str">
        <f t="shared" si="10"/>
        <v/>
      </c>
      <c r="D187" s="23" t="str">
        <f t="shared" ca="1" si="11"/>
        <v/>
      </c>
    </row>
    <row r="188" spans="1:4" ht="19.5" customHeight="1" x14ac:dyDescent="0.3">
      <c r="A188" s="16">
        <v>185</v>
      </c>
      <c r="B188" s="17"/>
      <c r="C188" s="18" t="str">
        <f t="shared" si="10"/>
        <v/>
      </c>
      <c r="D188" s="19" t="str">
        <f t="shared" ca="1" si="11"/>
        <v/>
      </c>
    </row>
    <row r="189" spans="1:4" ht="19.5" customHeight="1" x14ac:dyDescent="0.3">
      <c r="A189" s="20">
        <v>186</v>
      </c>
      <c r="B189" s="21"/>
      <c r="C189" s="22" t="str">
        <f t="shared" si="10"/>
        <v/>
      </c>
      <c r="D189" s="23" t="str">
        <f t="shared" ca="1" si="11"/>
        <v/>
      </c>
    </row>
    <row r="190" spans="1:4" ht="19.5" customHeight="1" x14ac:dyDescent="0.3">
      <c r="A190" s="16">
        <v>187</v>
      </c>
      <c r="B190" s="17"/>
      <c r="C190" s="18" t="str">
        <f t="shared" si="10"/>
        <v/>
      </c>
      <c r="D190" s="19" t="str">
        <f t="shared" ca="1" si="11"/>
        <v/>
      </c>
    </row>
    <row r="191" spans="1:4" ht="19.5" customHeight="1" x14ac:dyDescent="0.3">
      <c r="A191" s="20">
        <v>188</v>
      </c>
      <c r="B191" s="21"/>
      <c r="C191" s="22" t="str">
        <f t="shared" si="10"/>
        <v/>
      </c>
      <c r="D191" s="23" t="str">
        <f t="shared" ca="1" si="11"/>
        <v/>
      </c>
    </row>
    <row r="192" spans="1:4" ht="19.5" customHeight="1" x14ac:dyDescent="0.3">
      <c r="A192" s="16">
        <v>189</v>
      </c>
      <c r="B192" s="17"/>
      <c r="C192" s="18" t="str">
        <f t="shared" si="10"/>
        <v/>
      </c>
      <c r="D192" s="19" t="str">
        <f t="shared" ca="1" si="11"/>
        <v/>
      </c>
    </row>
    <row r="193" spans="1:4" ht="19.5" customHeight="1" x14ac:dyDescent="0.3">
      <c r="A193" s="20">
        <v>190</v>
      </c>
      <c r="B193" s="21"/>
      <c r="C193" s="22" t="str">
        <f t="shared" si="10"/>
        <v/>
      </c>
      <c r="D193" s="23" t="str">
        <f t="shared" ca="1" si="11"/>
        <v/>
      </c>
    </row>
    <row r="194" spans="1:4" ht="19.5" customHeight="1" x14ac:dyDescent="0.3">
      <c r="A194" s="16">
        <v>191</v>
      </c>
      <c r="B194" s="17"/>
      <c r="C194" s="18" t="str">
        <f t="shared" si="10"/>
        <v/>
      </c>
      <c r="D194" s="19" t="str">
        <f t="shared" ca="1" si="11"/>
        <v/>
      </c>
    </row>
    <row r="195" spans="1:4" ht="19.5" customHeight="1" x14ac:dyDescent="0.3">
      <c r="A195" s="20">
        <v>192</v>
      </c>
      <c r="B195" s="21"/>
      <c r="C195" s="22" t="str">
        <f t="shared" si="10"/>
        <v/>
      </c>
      <c r="D195" s="23" t="str">
        <f t="shared" ca="1" si="11"/>
        <v/>
      </c>
    </row>
    <row r="196" spans="1:4" ht="19.5" customHeight="1" x14ac:dyDescent="0.3">
      <c r="A196" s="16">
        <v>193</v>
      </c>
      <c r="B196" s="17"/>
      <c r="C196" s="18" t="str">
        <f t="shared" ref="C196:C203" si="12">IF(B196="","",IF(OR(LEFT(LOWER(B196),1)="s",LEFT(LOWER(B196),1)="r",LEFT(LOWER(B196),1)="a",LEFT(LOWER(B196),1)="b"),"OK","REVISAR"))</f>
        <v/>
      </c>
      <c r="D196" s="19" t="str">
        <f t="shared" ref="D196:D203" ca="1" si="13">IF(B196&lt;&gt;"",TEXT(NOW(),"HH:MM:SS"),"")</f>
        <v/>
      </c>
    </row>
    <row r="197" spans="1:4" ht="19.5" customHeight="1" x14ac:dyDescent="0.3">
      <c r="A197" s="20">
        <v>194</v>
      </c>
      <c r="B197" s="21"/>
      <c r="C197" s="22" t="str">
        <f t="shared" si="12"/>
        <v/>
      </c>
      <c r="D197" s="23" t="str">
        <f t="shared" ca="1" si="13"/>
        <v/>
      </c>
    </row>
    <row r="198" spans="1:4" ht="19.5" customHeight="1" x14ac:dyDescent="0.3">
      <c r="A198" s="16">
        <v>195</v>
      </c>
      <c r="B198" s="17"/>
      <c r="C198" s="18" t="str">
        <f t="shared" si="12"/>
        <v/>
      </c>
      <c r="D198" s="19" t="str">
        <f t="shared" ca="1" si="13"/>
        <v/>
      </c>
    </row>
    <row r="199" spans="1:4" ht="19.5" customHeight="1" x14ac:dyDescent="0.3">
      <c r="A199" s="20">
        <v>196</v>
      </c>
      <c r="B199" s="21"/>
      <c r="C199" s="22" t="str">
        <f t="shared" si="12"/>
        <v/>
      </c>
      <c r="D199" s="23" t="str">
        <f t="shared" ca="1" si="13"/>
        <v/>
      </c>
    </row>
    <row r="200" spans="1:4" ht="19.5" customHeight="1" x14ac:dyDescent="0.3">
      <c r="A200" s="16">
        <v>197</v>
      </c>
      <c r="B200" s="17"/>
      <c r="C200" s="18" t="str">
        <f t="shared" si="12"/>
        <v/>
      </c>
      <c r="D200" s="19" t="str">
        <f t="shared" ca="1" si="13"/>
        <v/>
      </c>
    </row>
    <row r="201" spans="1:4" ht="19.5" customHeight="1" x14ac:dyDescent="0.3">
      <c r="A201" s="20">
        <v>198</v>
      </c>
      <c r="B201" s="21"/>
      <c r="C201" s="22" t="str">
        <f t="shared" si="12"/>
        <v/>
      </c>
      <c r="D201" s="23" t="str">
        <f t="shared" ca="1" si="13"/>
        <v/>
      </c>
    </row>
    <row r="202" spans="1:4" ht="19.5" customHeight="1" x14ac:dyDescent="0.3">
      <c r="A202" s="16">
        <v>199</v>
      </c>
      <c r="B202" s="17"/>
      <c r="C202" s="18" t="str">
        <f t="shared" si="12"/>
        <v/>
      </c>
      <c r="D202" s="19" t="str">
        <f t="shared" ca="1" si="13"/>
        <v/>
      </c>
    </row>
    <row r="203" spans="1:4" ht="19.5" customHeight="1" x14ac:dyDescent="0.3">
      <c r="A203" s="20">
        <v>200</v>
      </c>
      <c r="B203" s="21"/>
      <c r="C203" s="22" t="str">
        <f t="shared" si="12"/>
        <v/>
      </c>
      <c r="D203" s="23" t="str">
        <f t="shared" ca="1" si="13"/>
        <v/>
      </c>
    </row>
  </sheetData>
  <mergeCells count="2">
    <mergeCell ref="A1:D1"/>
    <mergeCell ref="A2:D2"/>
  </mergeCells>
  <conditionalFormatting sqref="K1">
    <cfRule type="cellIs" dxfId="1" priority="1" stopIfTrue="1" operator="equal">
      <formula>"ENTRENAMIENTO"</formula>
    </cfRule>
    <cfRule type="cellIs" dxfId="0" priority="2" stopIfTrue="1" operator="equal">
      <formula>"PARTIDO"</formula>
    </cfRule>
  </conditionalFormatting>
  <dataValidations count="1">
    <dataValidation type="list" allowBlank="1" sqref="K1" xr:uid="{AF4146AC-A49C-4F63-855A-D9A85E1E3C5C}">
      <formula1>"ENTRENAMIENTO,PARTIDO"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setearStats" altText="RESETEAR STATS">
                <anchor moveWithCells="1">
                  <from>
                    <xdr:col>5</xdr:col>
                    <xdr:colOff>22860</xdr:colOff>
                    <xdr:row>0</xdr:row>
                    <xdr:rowOff>45720</xdr:rowOff>
                  </from>
                  <to>
                    <xdr:col>8</xdr:col>
                    <xdr:colOff>0</xdr:colOff>
                    <xdr:row>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uardarEntrenamiento">
                <anchor moveWithCells="1" sizeWithCells="1">
                  <from>
                    <xdr:col>5</xdr:col>
                    <xdr:colOff>22860</xdr:colOff>
                    <xdr:row>1</xdr:row>
                    <xdr:rowOff>38100</xdr:rowOff>
                  </from>
                  <to>
                    <xdr:col>8</xdr:col>
                    <xdr:colOff>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K310"/>
  <sheetViews>
    <sheetView zoomScaleNormal="100" workbookViewId="0">
      <pane ySplit="3" topLeftCell="A293" activePane="bottomLeft" state="frozen"/>
      <selection pane="bottomLeft" activeCell="Q2" sqref="Q2"/>
    </sheetView>
  </sheetViews>
  <sheetFormatPr baseColWidth="10" defaultColWidth="8.6640625" defaultRowHeight="14.4" x14ac:dyDescent="0.3"/>
  <cols>
    <col min="1" max="1" width="8" customWidth="1"/>
    <col min="2" max="2" width="20" customWidth="1"/>
    <col min="3" max="3" width="14" customWidth="1"/>
    <col min="4" max="10" width="10" customWidth="1"/>
    <col min="11" max="11" width="12" customWidth="1"/>
  </cols>
  <sheetData>
    <row r="1" spans="1:11" ht="36" customHeight="1" x14ac:dyDescent="0.3">
      <c r="A1" s="1" t="s">
        <v>50</v>
      </c>
    </row>
    <row r="3" spans="1:11" ht="25.5" customHeight="1" x14ac:dyDescent="0.3">
      <c r="A3" s="2" t="s">
        <v>51</v>
      </c>
      <c r="B3" s="2" t="s">
        <v>52</v>
      </c>
      <c r="C3" s="2" t="s">
        <v>53</v>
      </c>
      <c r="D3" s="2" t="s">
        <v>54</v>
      </c>
      <c r="E3" s="2" t="s">
        <v>33</v>
      </c>
      <c r="F3" s="2" t="s">
        <v>36</v>
      </c>
      <c r="G3" s="2" t="s">
        <v>42</v>
      </c>
      <c r="H3" s="2" t="s">
        <v>38</v>
      </c>
      <c r="I3" s="2" t="s">
        <v>44</v>
      </c>
      <c r="J3" s="2" t="s">
        <v>40</v>
      </c>
      <c r="K3" s="2" t="s">
        <v>55</v>
      </c>
    </row>
    <row r="4" spans="1:11" ht="19.5" customHeight="1" x14ac:dyDescent="0.3">
      <c r="A4" s="24">
        <v>2</v>
      </c>
      <c r="B4" s="4" t="s">
        <v>6</v>
      </c>
      <c r="C4" s="25" t="s">
        <v>56</v>
      </c>
      <c r="D4" s="26" t="s">
        <v>57</v>
      </c>
      <c r="E4" s="27">
        <v>0</v>
      </c>
      <c r="F4" s="27">
        <v>0</v>
      </c>
      <c r="G4" s="27">
        <v>0</v>
      </c>
      <c r="H4" s="27">
        <v>0</v>
      </c>
      <c r="I4" s="27">
        <v>0</v>
      </c>
      <c r="J4" s="27">
        <v>0</v>
      </c>
      <c r="K4" s="28">
        <v>0</v>
      </c>
    </row>
    <row r="5" spans="1:11" ht="19.5" customHeight="1" x14ac:dyDescent="0.3">
      <c r="A5" s="29">
        <v>2</v>
      </c>
      <c r="B5" s="8" t="s">
        <v>6</v>
      </c>
      <c r="C5" s="30" t="s">
        <v>56</v>
      </c>
      <c r="D5" s="31" t="s">
        <v>58</v>
      </c>
      <c r="E5" s="32">
        <v>0</v>
      </c>
      <c r="F5" s="32">
        <v>0</v>
      </c>
      <c r="G5" s="32">
        <v>0</v>
      </c>
      <c r="H5" s="32">
        <v>0</v>
      </c>
      <c r="I5" s="32">
        <v>0</v>
      </c>
      <c r="J5" s="32">
        <v>0</v>
      </c>
      <c r="K5" s="28">
        <v>0</v>
      </c>
    </row>
    <row r="6" spans="1:11" ht="19.5" customHeight="1" x14ac:dyDescent="0.3">
      <c r="A6" s="24">
        <v>2</v>
      </c>
      <c r="B6" s="4" t="s">
        <v>6</v>
      </c>
      <c r="C6" s="25" t="s">
        <v>56</v>
      </c>
      <c r="D6" s="26" t="s">
        <v>59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8">
        <v>0</v>
      </c>
    </row>
    <row r="7" spans="1:11" ht="19.5" customHeight="1" x14ac:dyDescent="0.3">
      <c r="A7" s="5">
        <v>2</v>
      </c>
      <c r="B7" s="33" t="s">
        <v>6</v>
      </c>
      <c r="C7" s="34" t="s">
        <v>56</v>
      </c>
      <c r="D7" s="35" t="s">
        <v>55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36">
        <v>0</v>
      </c>
    </row>
    <row r="8" spans="1:11" ht="19.5" customHeight="1" x14ac:dyDescent="0.3">
      <c r="A8" s="24">
        <v>2</v>
      </c>
      <c r="B8" s="4" t="s">
        <v>6</v>
      </c>
      <c r="C8" s="25" t="s">
        <v>60</v>
      </c>
      <c r="D8" s="26" t="s">
        <v>57</v>
      </c>
      <c r="E8" s="27">
        <v>0</v>
      </c>
      <c r="F8" s="27">
        <v>0</v>
      </c>
      <c r="G8" s="27">
        <v>0</v>
      </c>
      <c r="H8" s="27">
        <v>0</v>
      </c>
      <c r="I8" s="27">
        <v>0</v>
      </c>
      <c r="J8" s="27">
        <v>0</v>
      </c>
      <c r="K8" s="28">
        <v>0</v>
      </c>
    </row>
    <row r="9" spans="1:11" ht="19.5" customHeight="1" x14ac:dyDescent="0.3">
      <c r="A9" s="29">
        <v>2</v>
      </c>
      <c r="B9" s="8" t="s">
        <v>6</v>
      </c>
      <c r="C9" s="30" t="s">
        <v>60</v>
      </c>
      <c r="D9" s="31" t="s">
        <v>58</v>
      </c>
      <c r="E9" s="32">
        <v>0</v>
      </c>
      <c r="F9" s="32">
        <v>0</v>
      </c>
      <c r="G9" s="32">
        <v>0</v>
      </c>
      <c r="H9" s="32">
        <v>0</v>
      </c>
      <c r="I9" s="32">
        <v>0</v>
      </c>
      <c r="J9" s="32">
        <v>0</v>
      </c>
      <c r="K9" s="28">
        <v>0</v>
      </c>
    </row>
    <row r="10" spans="1:11" ht="19.5" customHeight="1" x14ac:dyDescent="0.3">
      <c r="A10" s="24">
        <v>2</v>
      </c>
      <c r="B10" s="4" t="s">
        <v>6</v>
      </c>
      <c r="C10" s="25" t="s">
        <v>60</v>
      </c>
      <c r="D10" s="26" t="s">
        <v>59</v>
      </c>
      <c r="E10" s="27">
        <v>0</v>
      </c>
      <c r="F10" s="27">
        <v>0</v>
      </c>
      <c r="G10" s="27">
        <v>0</v>
      </c>
      <c r="H10" s="27">
        <v>0</v>
      </c>
      <c r="I10" s="27">
        <v>0</v>
      </c>
      <c r="J10" s="27">
        <v>0</v>
      </c>
      <c r="K10" s="28">
        <v>0</v>
      </c>
    </row>
    <row r="11" spans="1:11" ht="19.5" customHeight="1" x14ac:dyDescent="0.3">
      <c r="A11" s="5">
        <v>2</v>
      </c>
      <c r="B11" s="33" t="s">
        <v>6</v>
      </c>
      <c r="C11" s="34" t="s">
        <v>60</v>
      </c>
      <c r="D11" s="35" t="s">
        <v>55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36">
        <v>0</v>
      </c>
    </row>
    <row r="12" spans="1:11" ht="19.5" customHeight="1" x14ac:dyDescent="0.3">
      <c r="A12" s="24">
        <v>2</v>
      </c>
      <c r="B12" s="4" t="s">
        <v>6</v>
      </c>
      <c r="C12" s="25" t="s">
        <v>61</v>
      </c>
      <c r="D12" s="26" t="s">
        <v>62</v>
      </c>
      <c r="E12" s="27">
        <v>0</v>
      </c>
      <c r="F12" s="27">
        <v>0</v>
      </c>
      <c r="G12" s="27">
        <v>0</v>
      </c>
      <c r="H12" s="27">
        <v>0</v>
      </c>
      <c r="I12" s="27">
        <v>0</v>
      </c>
      <c r="J12" s="27">
        <v>0</v>
      </c>
      <c r="K12" s="28">
        <v>0</v>
      </c>
    </row>
    <row r="13" spans="1:11" ht="19.5" customHeight="1" x14ac:dyDescent="0.3">
      <c r="A13" s="37">
        <v>2</v>
      </c>
      <c r="B13" s="38" t="s">
        <v>6</v>
      </c>
      <c r="C13" s="39" t="s">
        <v>61</v>
      </c>
      <c r="D13" s="40" t="s">
        <v>63</v>
      </c>
      <c r="E13" s="37">
        <v>0</v>
      </c>
      <c r="F13" s="37">
        <v>0</v>
      </c>
      <c r="G13" s="37">
        <v>0</v>
      </c>
      <c r="H13" s="37">
        <v>0</v>
      </c>
      <c r="I13" s="37">
        <v>0</v>
      </c>
      <c r="J13" s="37">
        <v>0</v>
      </c>
      <c r="K13" s="14">
        <v>0</v>
      </c>
    </row>
    <row r="14" spans="1:11" ht="19.5" customHeight="1" x14ac:dyDescent="0.3">
      <c r="A14" s="24">
        <v>2</v>
      </c>
      <c r="B14" s="4" t="s">
        <v>6</v>
      </c>
      <c r="C14" s="25" t="s">
        <v>61</v>
      </c>
      <c r="D14" s="26" t="s">
        <v>64</v>
      </c>
      <c r="E14" s="27">
        <v>0</v>
      </c>
      <c r="F14" s="27">
        <v>0</v>
      </c>
      <c r="G14" s="27">
        <v>0</v>
      </c>
      <c r="H14" s="27">
        <v>0</v>
      </c>
      <c r="I14" s="27">
        <v>0</v>
      </c>
      <c r="J14" s="27">
        <v>0</v>
      </c>
      <c r="K14" s="28">
        <v>0</v>
      </c>
    </row>
    <row r="15" spans="1:11" ht="19.5" customHeight="1" x14ac:dyDescent="0.3">
      <c r="A15" s="37">
        <v>2</v>
      </c>
      <c r="B15" s="38" t="s">
        <v>6</v>
      </c>
      <c r="C15" s="39" t="s">
        <v>61</v>
      </c>
      <c r="D15" s="40" t="s">
        <v>65</v>
      </c>
      <c r="E15" s="37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  <c r="K15" s="14">
        <v>0</v>
      </c>
    </row>
    <row r="16" spans="1:11" ht="19.5" customHeight="1" x14ac:dyDescent="0.3">
      <c r="A16" s="24">
        <v>2</v>
      </c>
      <c r="B16" s="4" t="s">
        <v>6</v>
      </c>
      <c r="C16" s="25" t="s">
        <v>61</v>
      </c>
      <c r="D16" s="26" t="s">
        <v>66</v>
      </c>
      <c r="E16" s="27">
        <v>0</v>
      </c>
      <c r="F16" s="27">
        <v>0</v>
      </c>
      <c r="G16" s="27">
        <v>0</v>
      </c>
      <c r="H16" s="27">
        <v>0</v>
      </c>
      <c r="I16" s="27">
        <v>0</v>
      </c>
      <c r="J16" s="27">
        <v>0</v>
      </c>
      <c r="K16" s="28">
        <v>0</v>
      </c>
    </row>
    <row r="17" spans="1:11" ht="19.5" customHeight="1" x14ac:dyDescent="0.3">
      <c r="A17" s="37">
        <v>2</v>
      </c>
      <c r="B17" s="38" t="s">
        <v>6</v>
      </c>
      <c r="C17" s="39" t="s">
        <v>61</v>
      </c>
      <c r="D17" s="40" t="s">
        <v>67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14">
        <v>0</v>
      </c>
    </row>
    <row r="18" spans="1:11" ht="19.5" customHeight="1" x14ac:dyDescent="0.3">
      <c r="A18" s="5">
        <v>2</v>
      </c>
      <c r="B18" s="33" t="s">
        <v>6</v>
      </c>
      <c r="C18" s="34" t="s">
        <v>61</v>
      </c>
      <c r="D18" s="35" t="s">
        <v>55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36">
        <v>0</v>
      </c>
    </row>
    <row r="19" spans="1:11" ht="19.5" customHeight="1" x14ac:dyDescent="0.3">
      <c r="A19" s="14">
        <v>2</v>
      </c>
      <c r="B19" s="41" t="s">
        <v>6</v>
      </c>
      <c r="C19" s="42" t="s">
        <v>61</v>
      </c>
      <c r="D19" s="43" t="s">
        <v>68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</row>
    <row r="20" spans="1:11" ht="19.5" customHeight="1" x14ac:dyDescent="0.3">
      <c r="A20" s="5">
        <v>2</v>
      </c>
      <c r="B20" s="33" t="s">
        <v>6</v>
      </c>
      <c r="C20" s="34" t="s">
        <v>69</v>
      </c>
      <c r="D20" s="35" t="s">
        <v>55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36">
        <v>0</v>
      </c>
    </row>
    <row r="21" spans="1:11" ht="3.75" customHeight="1" x14ac:dyDescent="0.3">
      <c r="A21" s="44"/>
      <c r="B21" s="45"/>
      <c r="C21" s="46"/>
      <c r="D21" s="47"/>
      <c r="E21" s="44"/>
      <c r="F21" s="44"/>
      <c r="G21" s="44"/>
      <c r="H21" s="44"/>
      <c r="I21" s="44"/>
      <c r="J21" s="44"/>
      <c r="K21" s="48"/>
    </row>
    <row r="22" spans="1:11" ht="19.5" customHeight="1" x14ac:dyDescent="0.3">
      <c r="A22" s="24">
        <v>3</v>
      </c>
      <c r="B22" s="4" t="s">
        <v>8</v>
      </c>
      <c r="C22" s="25" t="s">
        <v>56</v>
      </c>
      <c r="D22" s="26" t="s">
        <v>57</v>
      </c>
      <c r="E22" s="27">
        <v>0</v>
      </c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8">
        <v>0</v>
      </c>
    </row>
    <row r="23" spans="1:11" ht="19.5" customHeight="1" x14ac:dyDescent="0.3">
      <c r="A23" s="29">
        <v>3</v>
      </c>
      <c r="B23" s="8" t="s">
        <v>8</v>
      </c>
      <c r="C23" s="30" t="s">
        <v>56</v>
      </c>
      <c r="D23" s="31" t="s">
        <v>58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28">
        <v>0</v>
      </c>
    </row>
    <row r="24" spans="1:11" ht="19.5" customHeight="1" x14ac:dyDescent="0.3">
      <c r="A24" s="24">
        <v>3</v>
      </c>
      <c r="B24" s="4" t="s">
        <v>8</v>
      </c>
      <c r="C24" s="25" t="s">
        <v>56</v>
      </c>
      <c r="D24" s="26" t="s">
        <v>59</v>
      </c>
      <c r="E24" s="27">
        <v>0</v>
      </c>
      <c r="F24" s="27">
        <v>0</v>
      </c>
      <c r="G24" s="27">
        <v>0</v>
      </c>
      <c r="H24" s="27">
        <v>0</v>
      </c>
      <c r="I24" s="27">
        <v>0</v>
      </c>
      <c r="J24" s="27">
        <v>0</v>
      </c>
      <c r="K24" s="28">
        <v>0</v>
      </c>
    </row>
    <row r="25" spans="1:11" ht="19.5" customHeight="1" x14ac:dyDescent="0.3">
      <c r="A25" s="5">
        <v>3</v>
      </c>
      <c r="B25" s="33" t="s">
        <v>8</v>
      </c>
      <c r="C25" s="34" t="s">
        <v>56</v>
      </c>
      <c r="D25" s="35" t="s">
        <v>55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36">
        <v>0</v>
      </c>
    </row>
    <row r="26" spans="1:11" ht="19.5" customHeight="1" x14ac:dyDescent="0.3">
      <c r="A26" s="24">
        <v>3</v>
      </c>
      <c r="B26" s="4" t="s">
        <v>8</v>
      </c>
      <c r="C26" s="25" t="s">
        <v>60</v>
      </c>
      <c r="D26" s="26" t="s">
        <v>57</v>
      </c>
      <c r="E26" s="27">
        <v>0</v>
      </c>
      <c r="F26" s="27">
        <v>0</v>
      </c>
      <c r="G26" s="27">
        <v>0</v>
      </c>
      <c r="H26" s="27">
        <v>0</v>
      </c>
      <c r="I26" s="27">
        <v>0</v>
      </c>
      <c r="J26" s="27">
        <v>0</v>
      </c>
      <c r="K26" s="28">
        <v>0</v>
      </c>
    </row>
    <row r="27" spans="1:11" ht="19.5" customHeight="1" x14ac:dyDescent="0.3">
      <c r="A27" s="29">
        <v>3</v>
      </c>
      <c r="B27" s="8" t="s">
        <v>8</v>
      </c>
      <c r="C27" s="30" t="s">
        <v>60</v>
      </c>
      <c r="D27" s="31" t="s">
        <v>58</v>
      </c>
      <c r="E27" s="32">
        <v>0</v>
      </c>
      <c r="F27" s="32">
        <v>0</v>
      </c>
      <c r="G27" s="32">
        <v>0</v>
      </c>
      <c r="H27" s="32">
        <v>0</v>
      </c>
      <c r="I27" s="32">
        <v>0</v>
      </c>
      <c r="J27" s="32">
        <v>0</v>
      </c>
      <c r="K27" s="28">
        <v>0</v>
      </c>
    </row>
    <row r="28" spans="1:11" ht="19.5" customHeight="1" x14ac:dyDescent="0.3">
      <c r="A28" s="24">
        <v>3</v>
      </c>
      <c r="B28" s="4" t="s">
        <v>8</v>
      </c>
      <c r="C28" s="25" t="s">
        <v>60</v>
      </c>
      <c r="D28" s="26" t="s">
        <v>59</v>
      </c>
      <c r="E28" s="27">
        <v>0</v>
      </c>
      <c r="F28" s="27">
        <v>0</v>
      </c>
      <c r="G28" s="27">
        <v>0</v>
      </c>
      <c r="H28" s="27">
        <v>0</v>
      </c>
      <c r="I28" s="27">
        <v>0</v>
      </c>
      <c r="J28" s="27">
        <v>0</v>
      </c>
      <c r="K28" s="28">
        <v>0</v>
      </c>
    </row>
    <row r="29" spans="1:11" ht="19.5" customHeight="1" x14ac:dyDescent="0.3">
      <c r="A29" s="5">
        <v>3</v>
      </c>
      <c r="B29" s="33" t="s">
        <v>8</v>
      </c>
      <c r="C29" s="34" t="s">
        <v>60</v>
      </c>
      <c r="D29" s="35" t="s">
        <v>55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36">
        <v>0</v>
      </c>
    </row>
    <row r="30" spans="1:11" ht="19.5" customHeight="1" x14ac:dyDescent="0.3">
      <c r="A30" s="24">
        <v>3</v>
      </c>
      <c r="B30" s="4" t="s">
        <v>8</v>
      </c>
      <c r="C30" s="25" t="s">
        <v>61</v>
      </c>
      <c r="D30" s="26" t="s">
        <v>62</v>
      </c>
      <c r="E30" s="27">
        <v>0</v>
      </c>
      <c r="F30" s="27">
        <v>0</v>
      </c>
      <c r="G30" s="27">
        <v>0</v>
      </c>
      <c r="H30" s="27">
        <v>0</v>
      </c>
      <c r="I30" s="27">
        <v>0</v>
      </c>
      <c r="J30" s="27">
        <v>0</v>
      </c>
      <c r="K30" s="28">
        <v>0</v>
      </c>
    </row>
    <row r="31" spans="1:11" ht="19.5" customHeight="1" x14ac:dyDescent="0.3">
      <c r="A31" s="37">
        <v>3</v>
      </c>
      <c r="B31" s="38" t="s">
        <v>8</v>
      </c>
      <c r="C31" s="39" t="s">
        <v>61</v>
      </c>
      <c r="D31" s="40" t="s">
        <v>63</v>
      </c>
      <c r="E31" s="37">
        <v>0</v>
      </c>
      <c r="F31" s="37">
        <v>0</v>
      </c>
      <c r="G31" s="37">
        <v>0</v>
      </c>
      <c r="H31" s="37">
        <v>0</v>
      </c>
      <c r="I31" s="37">
        <v>0</v>
      </c>
      <c r="J31" s="37">
        <v>0</v>
      </c>
      <c r="K31" s="14">
        <v>0</v>
      </c>
    </row>
    <row r="32" spans="1:11" ht="19.5" customHeight="1" x14ac:dyDescent="0.3">
      <c r="A32" s="24">
        <v>3</v>
      </c>
      <c r="B32" s="4" t="s">
        <v>8</v>
      </c>
      <c r="C32" s="25" t="s">
        <v>61</v>
      </c>
      <c r="D32" s="26" t="s">
        <v>64</v>
      </c>
      <c r="E32" s="27">
        <v>0</v>
      </c>
      <c r="F32" s="27">
        <v>0</v>
      </c>
      <c r="G32" s="27">
        <v>0</v>
      </c>
      <c r="H32" s="27">
        <v>0</v>
      </c>
      <c r="I32" s="27">
        <v>0</v>
      </c>
      <c r="J32" s="27">
        <v>0</v>
      </c>
      <c r="K32" s="28">
        <v>0</v>
      </c>
    </row>
    <row r="33" spans="1:11" ht="19.5" customHeight="1" x14ac:dyDescent="0.3">
      <c r="A33" s="37">
        <v>3</v>
      </c>
      <c r="B33" s="38" t="s">
        <v>8</v>
      </c>
      <c r="C33" s="39" t="s">
        <v>61</v>
      </c>
      <c r="D33" s="40" t="s">
        <v>65</v>
      </c>
      <c r="E33" s="37">
        <v>0</v>
      </c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14">
        <v>0</v>
      </c>
    </row>
    <row r="34" spans="1:11" ht="19.5" customHeight="1" x14ac:dyDescent="0.3">
      <c r="A34" s="24">
        <v>3</v>
      </c>
      <c r="B34" s="4" t="s">
        <v>8</v>
      </c>
      <c r="C34" s="25" t="s">
        <v>61</v>
      </c>
      <c r="D34" s="26" t="s">
        <v>66</v>
      </c>
      <c r="E34" s="27">
        <v>0</v>
      </c>
      <c r="F34" s="27">
        <v>0</v>
      </c>
      <c r="G34" s="27">
        <v>0</v>
      </c>
      <c r="H34" s="27">
        <v>0</v>
      </c>
      <c r="I34" s="27">
        <v>0</v>
      </c>
      <c r="J34" s="27">
        <v>0</v>
      </c>
      <c r="K34" s="28">
        <v>0</v>
      </c>
    </row>
    <row r="35" spans="1:11" ht="19.5" customHeight="1" x14ac:dyDescent="0.3">
      <c r="A35" s="37">
        <v>3</v>
      </c>
      <c r="B35" s="38" t="s">
        <v>8</v>
      </c>
      <c r="C35" s="39" t="s">
        <v>61</v>
      </c>
      <c r="D35" s="40" t="s">
        <v>67</v>
      </c>
      <c r="E35" s="37">
        <v>0</v>
      </c>
      <c r="F35" s="37">
        <v>0</v>
      </c>
      <c r="G35" s="37">
        <v>0</v>
      </c>
      <c r="H35" s="37">
        <v>0</v>
      </c>
      <c r="I35" s="37">
        <v>0</v>
      </c>
      <c r="J35" s="37">
        <v>0</v>
      </c>
      <c r="K35" s="14">
        <v>0</v>
      </c>
    </row>
    <row r="36" spans="1:11" ht="19.5" customHeight="1" x14ac:dyDescent="0.3">
      <c r="A36" s="5">
        <v>3</v>
      </c>
      <c r="B36" s="33" t="s">
        <v>8</v>
      </c>
      <c r="C36" s="34" t="s">
        <v>61</v>
      </c>
      <c r="D36" s="35" t="s">
        <v>55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36">
        <v>0</v>
      </c>
    </row>
    <row r="37" spans="1:11" ht="19.5" customHeight="1" x14ac:dyDescent="0.3">
      <c r="A37" s="14">
        <v>3</v>
      </c>
      <c r="B37" s="41" t="s">
        <v>8</v>
      </c>
      <c r="C37" s="42" t="s">
        <v>61</v>
      </c>
      <c r="D37" s="43" t="s">
        <v>68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</row>
    <row r="38" spans="1:11" ht="19.5" customHeight="1" x14ac:dyDescent="0.3">
      <c r="A38" s="5">
        <v>3</v>
      </c>
      <c r="B38" s="33" t="s">
        <v>8</v>
      </c>
      <c r="C38" s="34" t="s">
        <v>69</v>
      </c>
      <c r="D38" s="35" t="s">
        <v>55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36">
        <v>0</v>
      </c>
    </row>
    <row r="39" spans="1:11" ht="3.75" customHeight="1" x14ac:dyDescent="0.3">
      <c r="A39" s="44"/>
      <c r="B39" s="45"/>
      <c r="C39" s="46"/>
      <c r="D39" s="47"/>
      <c r="E39" s="44"/>
      <c r="F39" s="44"/>
      <c r="G39" s="44"/>
      <c r="H39" s="44"/>
      <c r="I39" s="44"/>
      <c r="J39" s="44"/>
      <c r="K39" s="48"/>
    </row>
    <row r="40" spans="1:11" ht="19.5" customHeight="1" x14ac:dyDescent="0.3">
      <c r="A40" s="24">
        <v>4</v>
      </c>
      <c r="B40" s="4" t="s">
        <v>9</v>
      </c>
      <c r="C40" s="25" t="s">
        <v>56</v>
      </c>
      <c r="D40" s="26" t="s">
        <v>57</v>
      </c>
      <c r="E40" s="27">
        <v>0</v>
      </c>
      <c r="F40" s="27">
        <v>0</v>
      </c>
      <c r="G40" s="27">
        <v>0</v>
      </c>
      <c r="H40" s="27">
        <v>0</v>
      </c>
      <c r="I40" s="27">
        <v>0</v>
      </c>
      <c r="J40" s="27">
        <v>0</v>
      </c>
      <c r="K40" s="28">
        <v>0</v>
      </c>
    </row>
    <row r="41" spans="1:11" ht="19.5" customHeight="1" x14ac:dyDescent="0.3">
      <c r="A41" s="29">
        <v>4</v>
      </c>
      <c r="B41" s="8" t="s">
        <v>9</v>
      </c>
      <c r="C41" s="30" t="s">
        <v>56</v>
      </c>
      <c r="D41" s="31" t="s">
        <v>58</v>
      </c>
      <c r="E41" s="32">
        <v>0</v>
      </c>
      <c r="F41" s="32">
        <v>0</v>
      </c>
      <c r="G41" s="32">
        <v>0</v>
      </c>
      <c r="H41" s="32">
        <v>0</v>
      </c>
      <c r="I41" s="32">
        <v>0</v>
      </c>
      <c r="J41" s="32">
        <v>0</v>
      </c>
      <c r="K41" s="28">
        <v>0</v>
      </c>
    </row>
    <row r="42" spans="1:11" ht="19.5" customHeight="1" x14ac:dyDescent="0.3">
      <c r="A42" s="24">
        <v>4</v>
      </c>
      <c r="B42" s="4" t="s">
        <v>9</v>
      </c>
      <c r="C42" s="25" t="s">
        <v>56</v>
      </c>
      <c r="D42" s="26" t="s">
        <v>59</v>
      </c>
      <c r="E42" s="27">
        <v>0</v>
      </c>
      <c r="F42" s="27">
        <v>0</v>
      </c>
      <c r="G42" s="27">
        <v>0</v>
      </c>
      <c r="H42" s="27">
        <v>0</v>
      </c>
      <c r="I42" s="27">
        <v>0</v>
      </c>
      <c r="J42" s="27">
        <v>0</v>
      </c>
      <c r="K42" s="28">
        <v>0</v>
      </c>
    </row>
    <row r="43" spans="1:11" ht="19.5" customHeight="1" x14ac:dyDescent="0.3">
      <c r="A43" s="5">
        <v>4</v>
      </c>
      <c r="B43" s="33" t="s">
        <v>9</v>
      </c>
      <c r="C43" s="34" t="s">
        <v>56</v>
      </c>
      <c r="D43" s="35" t="s">
        <v>55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36">
        <v>0</v>
      </c>
    </row>
    <row r="44" spans="1:11" ht="19.5" customHeight="1" x14ac:dyDescent="0.3">
      <c r="A44" s="24">
        <v>4</v>
      </c>
      <c r="B44" s="4" t="s">
        <v>9</v>
      </c>
      <c r="C44" s="25" t="s">
        <v>60</v>
      </c>
      <c r="D44" s="26" t="s">
        <v>57</v>
      </c>
      <c r="E44" s="27">
        <v>0</v>
      </c>
      <c r="F44" s="27">
        <v>0</v>
      </c>
      <c r="G44" s="27">
        <v>0</v>
      </c>
      <c r="H44" s="27">
        <v>0</v>
      </c>
      <c r="I44" s="27">
        <v>0</v>
      </c>
      <c r="J44" s="27">
        <v>0</v>
      </c>
      <c r="K44" s="28">
        <v>0</v>
      </c>
    </row>
    <row r="45" spans="1:11" ht="19.5" customHeight="1" x14ac:dyDescent="0.3">
      <c r="A45" s="29">
        <v>4</v>
      </c>
      <c r="B45" s="8" t="s">
        <v>9</v>
      </c>
      <c r="C45" s="30" t="s">
        <v>60</v>
      </c>
      <c r="D45" s="31" t="s">
        <v>58</v>
      </c>
      <c r="E45" s="32">
        <v>0</v>
      </c>
      <c r="F45" s="32">
        <v>0</v>
      </c>
      <c r="G45" s="32">
        <v>0</v>
      </c>
      <c r="H45" s="32">
        <v>0</v>
      </c>
      <c r="I45" s="32">
        <v>0</v>
      </c>
      <c r="J45" s="32">
        <v>0</v>
      </c>
      <c r="K45" s="28">
        <v>0</v>
      </c>
    </row>
    <row r="46" spans="1:11" ht="19.5" customHeight="1" x14ac:dyDescent="0.3">
      <c r="A46" s="24">
        <v>4</v>
      </c>
      <c r="B46" s="4" t="s">
        <v>9</v>
      </c>
      <c r="C46" s="25" t="s">
        <v>60</v>
      </c>
      <c r="D46" s="26" t="s">
        <v>59</v>
      </c>
      <c r="E46" s="27">
        <v>0</v>
      </c>
      <c r="F46" s="27">
        <v>0</v>
      </c>
      <c r="G46" s="27">
        <v>0</v>
      </c>
      <c r="H46" s="27">
        <v>0</v>
      </c>
      <c r="I46" s="27">
        <v>0</v>
      </c>
      <c r="J46" s="27">
        <v>0</v>
      </c>
      <c r="K46" s="28">
        <v>0</v>
      </c>
    </row>
    <row r="47" spans="1:11" ht="19.5" customHeight="1" x14ac:dyDescent="0.3">
      <c r="A47" s="5">
        <v>4</v>
      </c>
      <c r="B47" s="33" t="s">
        <v>9</v>
      </c>
      <c r="C47" s="34" t="s">
        <v>60</v>
      </c>
      <c r="D47" s="35" t="s">
        <v>55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36">
        <v>0</v>
      </c>
    </row>
    <row r="48" spans="1:11" ht="19.5" customHeight="1" x14ac:dyDescent="0.3">
      <c r="A48" s="24">
        <v>4</v>
      </c>
      <c r="B48" s="4" t="s">
        <v>9</v>
      </c>
      <c r="C48" s="25" t="s">
        <v>61</v>
      </c>
      <c r="D48" s="26" t="s">
        <v>62</v>
      </c>
      <c r="E48" s="27">
        <v>0</v>
      </c>
      <c r="F48" s="27">
        <v>0</v>
      </c>
      <c r="G48" s="27">
        <v>0</v>
      </c>
      <c r="H48" s="27">
        <v>0</v>
      </c>
      <c r="I48" s="27">
        <v>0</v>
      </c>
      <c r="J48" s="27">
        <v>0</v>
      </c>
      <c r="K48" s="28">
        <v>0</v>
      </c>
    </row>
    <row r="49" spans="1:11" ht="19.5" customHeight="1" x14ac:dyDescent="0.3">
      <c r="A49" s="37">
        <v>4</v>
      </c>
      <c r="B49" s="38" t="s">
        <v>9</v>
      </c>
      <c r="C49" s="39" t="s">
        <v>61</v>
      </c>
      <c r="D49" s="40" t="s">
        <v>63</v>
      </c>
      <c r="E49" s="37">
        <v>0</v>
      </c>
      <c r="F49" s="37">
        <v>0</v>
      </c>
      <c r="G49" s="37">
        <v>0</v>
      </c>
      <c r="H49" s="37">
        <v>0</v>
      </c>
      <c r="I49" s="37">
        <v>0</v>
      </c>
      <c r="J49" s="37">
        <v>0</v>
      </c>
      <c r="K49" s="14">
        <v>0</v>
      </c>
    </row>
    <row r="50" spans="1:11" ht="19.5" customHeight="1" x14ac:dyDescent="0.3">
      <c r="A50" s="24">
        <v>4</v>
      </c>
      <c r="B50" s="4" t="s">
        <v>9</v>
      </c>
      <c r="C50" s="25" t="s">
        <v>61</v>
      </c>
      <c r="D50" s="26" t="s">
        <v>64</v>
      </c>
      <c r="E50" s="27">
        <v>0</v>
      </c>
      <c r="F50" s="27">
        <v>0</v>
      </c>
      <c r="G50" s="27">
        <v>0</v>
      </c>
      <c r="H50" s="27">
        <v>0</v>
      </c>
      <c r="I50" s="27">
        <v>0</v>
      </c>
      <c r="J50" s="27">
        <v>0</v>
      </c>
      <c r="K50" s="28">
        <v>0</v>
      </c>
    </row>
    <row r="51" spans="1:11" ht="19.5" customHeight="1" x14ac:dyDescent="0.3">
      <c r="A51" s="37">
        <v>4</v>
      </c>
      <c r="B51" s="38" t="s">
        <v>9</v>
      </c>
      <c r="C51" s="39" t="s">
        <v>61</v>
      </c>
      <c r="D51" s="40" t="s">
        <v>65</v>
      </c>
      <c r="E51" s="37">
        <v>0</v>
      </c>
      <c r="F51" s="37">
        <v>0</v>
      </c>
      <c r="G51" s="37">
        <v>0</v>
      </c>
      <c r="H51" s="37">
        <v>0</v>
      </c>
      <c r="I51" s="37">
        <v>0</v>
      </c>
      <c r="J51" s="37">
        <v>0</v>
      </c>
      <c r="K51" s="14">
        <v>0</v>
      </c>
    </row>
    <row r="52" spans="1:11" ht="19.5" customHeight="1" x14ac:dyDescent="0.3">
      <c r="A52" s="24">
        <v>4</v>
      </c>
      <c r="B52" s="4" t="s">
        <v>9</v>
      </c>
      <c r="C52" s="25" t="s">
        <v>61</v>
      </c>
      <c r="D52" s="26" t="s">
        <v>66</v>
      </c>
      <c r="E52" s="27">
        <v>0</v>
      </c>
      <c r="F52" s="27">
        <v>0</v>
      </c>
      <c r="G52" s="27">
        <v>0</v>
      </c>
      <c r="H52" s="27">
        <v>0</v>
      </c>
      <c r="I52" s="27">
        <v>0</v>
      </c>
      <c r="J52" s="27">
        <v>0</v>
      </c>
      <c r="K52" s="28">
        <v>0</v>
      </c>
    </row>
    <row r="53" spans="1:11" ht="19.5" customHeight="1" x14ac:dyDescent="0.3">
      <c r="A53" s="37">
        <v>4</v>
      </c>
      <c r="B53" s="38" t="s">
        <v>9</v>
      </c>
      <c r="C53" s="39" t="s">
        <v>61</v>
      </c>
      <c r="D53" s="40" t="s">
        <v>67</v>
      </c>
      <c r="E53" s="37">
        <v>0</v>
      </c>
      <c r="F53" s="37">
        <v>0</v>
      </c>
      <c r="G53" s="37">
        <v>0</v>
      </c>
      <c r="H53" s="37">
        <v>0</v>
      </c>
      <c r="I53" s="37">
        <v>0</v>
      </c>
      <c r="J53" s="37">
        <v>0</v>
      </c>
      <c r="K53" s="14">
        <v>0</v>
      </c>
    </row>
    <row r="54" spans="1:11" ht="19.5" customHeight="1" x14ac:dyDescent="0.3">
      <c r="A54" s="5">
        <v>4</v>
      </c>
      <c r="B54" s="33" t="s">
        <v>9</v>
      </c>
      <c r="C54" s="34" t="s">
        <v>61</v>
      </c>
      <c r="D54" s="35" t="s">
        <v>55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36">
        <v>0</v>
      </c>
    </row>
    <row r="55" spans="1:11" ht="19.5" customHeight="1" x14ac:dyDescent="0.3">
      <c r="A55" s="14">
        <v>4</v>
      </c>
      <c r="B55" s="41" t="s">
        <v>9</v>
      </c>
      <c r="C55" s="42" t="s">
        <v>61</v>
      </c>
      <c r="D55" s="43" t="s">
        <v>68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</row>
    <row r="56" spans="1:11" ht="19.5" customHeight="1" x14ac:dyDescent="0.3">
      <c r="A56" s="5">
        <v>4</v>
      </c>
      <c r="B56" s="33" t="s">
        <v>9</v>
      </c>
      <c r="C56" s="34" t="s">
        <v>69</v>
      </c>
      <c r="D56" s="35" t="s">
        <v>55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36">
        <v>0</v>
      </c>
    </row>
    <row r="57" spans="1:11" ht="3.75" customHeight="1" x14ac:dyDescent="0.3">
      <c r="A57" s="44"/>
      <c r="B57" s="45"/>
      <c r="C57" s="46"/>
      <c r="D57" s="47"/>
      <c r="E57" s="44"/>
      <c r="F57" s="44"/>
      <c r="G57" s="44"/>
      <c r="H57" s="44"/>
      <c r="I57" s="44"/>
      <c r="J57" s="44"/>
      <c r="K57" s="48"/>
    </row>
    <row r="58" spans="1:11" ht="19.5" customHeight="1" x14ac:dyDescent="0.3">
      <c r="A58" s="24">
        <v>5</v>
      </c>
      <c r="B58" s="4" t="s">
        <v>10</v>
      </c>
      <c r="C58" s="25" t="s">
        <v>56</v>
      </c>
      <c r="D58" s="26" t="s">
        <v>57</v>
      </c>
      <c r="E58" s="27">
        <v>0</v>
      </c>
      <c r="F58" s="27">
        <v>0</v>
      </c>
      <c r="G58" s="27">
        <v>0</v>
      </c>
      <c r="H58" s="27">
        <v>0</v>
      </c>
      <c r="I58" s="27">
        <v>0</v>
      </c>
      <c r="J58" s="27">
        <v>0</v>
      </c>
      <c r="K58" s="28">
        <v>0</v>
      </c>
    </row>
    <row r="59" spans="1:11" ht="19.5" customHeight="1" x14ac:dyDescent="0.3">
      <c r="A59" s="29">
        <v>5</v>
      </c>
      <c r="B59" s="8" t="s">
        <v>10</v>
      </c>
      <c r="C59" s="30" t="s">
        <v>56</v>
      </c>
      <c r="D59" s="31" t="s">
        <v>58</v>
      </c>
      <c r="E59" s="32">
        <v>0</v>
      </c>
      <c r="F59" s="32">
        <v>0</v>
      </c>
      <c r="G59" s="32">
        <v>0</v>
      </c>
      <c r="H59" s="32">
        <v>0</v>
      </c>
      <c r="I59" s="32">
        <v>0</v>
      </c>
      <c r="J59" s="32">
        <v>0</v>
      </c>
      <c r="K59" s="28">
        <v>0</v>
      </c>
    </row>
    <row r="60" spans="1:11" ht="19.5" customHeight="1" x14ac:dyDescent="0.3">
      <c r="A60" s="24">
        <v>5</v>
      </c>
      <c r="B60" s="4" t="s">
        <v>10</v>
      </c>
      <c r="C60" s="25" t="s">
        <v>56</v>
      </c>
      <c r="D60" s="26" t="s">
        <v>59</v>
      </c>
      <c r="E60" s="27">
        <v>0</v>
      </c>
      <c r="F60" s="27">
        <v>0</v>
      </c>
      <c r="G60" s="27">
        <v>0</v>
      </c>
      <c r="H60" s="27">
        <v>0</v>
      </c>
      <c r="I60" s="27">
        <v>0</v>
      </c>
      <c r="J60" s="27">
        <v>0</v>
      </c>
      <c r="K60" s="28">
        <v>0</v>
      </c>
    </row>
    <row r="61" spans="1:11" ht="19.5" customHeight="1" x14ac:dyDescent="0.3">
      <c r="A61" s="5">
        <v>5</v>
      </c>
      <c r="B61" s="33" t="s">
        <v>10</v>
      </c>
      <c r="C61" s="34" t="s">
        <v>56</v>
      </c>
      <c r="D61" s="35" t="s">
        <v>55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36">
        <v>0</v>
      </c>
    </row>
    <row r="62" spans="1:11" ht="19.5" customHeight="1" x14ac:dyDescent="0.3">
      <c r="A62" s="24">
        <v>5</v>
      </c>
      <c r="B62" s="4" t="s">
        <v>10</v>
      </c>
      <c r="C62" s="25" t="s">
        <v>60</v>
      </c>
      <c r="D62" s="26" t="s">
        <v>57</v>
      </c>
      <c r="E62" s="27">
        <v>0</v>
      </c>
      <c r="F62" s="27">
        <v>0</v>
      </c>
      <c r="G62" s="27">
        <v>0</v>
      </c>
      <c r="H62" s="27">
        <v>0</v>
      </c>
      <c r="I62" s="27">
        <v>0</v>
      </c>
      <c r="J62" s="27">
        <v>0</v>
      </c>
      <c r="K62" s="28">
        <v>0</v>
      </c>
    </row>
    <row r="63" spans="1:11" ht="19.5" customHeight="1" x14ac:dyDescent="0.3">
      <c r="A63" s="29">
        <v>5</v>
      </c>
      <c r="B63" s="8" t="s">
        <v>10</v>
      </c>
      <c r="C63" s="30" t="s">
        <v>60</v>
      </c>
      <c r="D63" s="31" t="s">
        <v>58</v>
      </c>
      <c r="E63" s="32">
        <v>0</v>
      </c>
      <c r="F63" s="32">
        <v>0</v>
      </c>
      <c r="G63" s="32">
        <v>0</v>
      </c>
      <c r="H63" s="32">
        <v>0</v>
      </c>
      <c r="I63" s="32">
        <v>0</v>
      </c>
      <c r="J63" s="32">
        <v>0</v>
      </c>
      <c r="K63" s="28">
        <v>0</v>
      </c>
    </row>
    <row r="64" spans="1:11" ht="19.5" customHeight="1" x14ac:dyDescent="0.3">
      <c r="A64" s="24">
        <v>5</v>
      </c>
      <c r="B64" s="4" t="s">
        <v>10</v>
      </c>
      <c r="C64" s="25" t="s">
        <v>60</v>
      </c>
      <c r="D64" s="26" t="s">
        <v>59</v>
      </c>
      <c r="E64" s="27">
        <v>0</v>
      </c>
      <c r="F64" s="27">
        <v>0</v>
      </c>
      <c r="G64" s="27">
        <v>0</v>
      </c>
      <c r="H64" s="27">
        <v>0</v>
      </c>
      <c r="I64" s="27">
        <v>0</v>
      </c>
      <c r="J64" s="27">
        <v>0</v>
      </c>
      <c r="K64" s="28">
        <v>0</v>
      </c>
    </row>
    <row r="65" spans="1:11" ht="19.5" customHeight="1" x14ac:dyDescent="0.3">
      <c r="A65" s="5">
        <v>5</v>
      </c>
      <c r="B65" s="33" t="s">
        <v>10</v>
      </c>
      <c r="C65" s="34" t="s">
        <v>60</v>
      </c>
      <c r="D65" s="35" t="s">
        <v>55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36">
        <v>0</v>
      </c>
    </row>
    <row r="66" spans="1:11" ht="19.5" customHeight="1" x14ac:dyDescent="0.3">
      <c r="A66" s="24">
        <v>5</v>
      </c>
      <c r="B66" s="4" t="s">
        <v>10</v>
      </c>
      <c r="C66" s="25" t="s">
        <v>61</v>
      </c>
      <c r="D66" s="26" t="s">
        <v>62</v>
      </c>
      <c r="E66" s="27">
        <v>0</v>
      </c>
      <c r="F66" s="27">
        <v>0</v>
      </c>
      <c r="G66" s="27">
        <v>0</v>
      </c>
      <c r="H66" s="27">
        <v>0</v>
      </c>
      <c r="I66" s="27">
        <v>0</v>
      </c>
      <c r="J66" s="27">
        <v>0</v>
      </c>
      <c r="K66" s="28">
        <v>0</v>
      </c>
    </row>
    <row r="67" spans="1:11" ht="19.5" customHeight="1" x14ac:dyDescent="0.3">
      <c r="A67" s="37">
        <v>5</v>
      </c>
      <c r="B67" s="38" t="s">
        <v>10</v>
      </c>
      <c r="C67" s="39" t="s">
        <v>61</v>
      </c>
      <c r="D67" s="40" t="s">
        <v>63</v>
      </c>
      <c r="E67" s="37">
        <v>0</v>
      </c>
      <c r="F67" s="37">
        <v>0</v>
      </c>
      <c r="G67" s="37">
        <v>0</v>
      </c>
      <c r="H67" s="37">
        <v>0</v>
      </c>
      <c r="I67" s="37">
        <v>0</v>
      </c>
      <c r="J67" s="37">
        <v>0</v>
      </c>
      <c r="K67" s="14">
        <v>0</v>
      </c>
    </row>
    <row r="68" spans="1:11" ht="19.5" customHeight="1" x14ac:dyDescent="0.3">
      <c r="A68" s="24">
        <v>5</v>
      </c>
      <c r="B68" s="4" t="s">
        <v>10</v>
      </c>
      <c r="C68" s="25" t="s">
        <v>61</v>
      </c>
      <c r="D68" s="26" t="s">
        <v>64</v>
      </c>
      <c r="E68" s="27">
        <v>0</v>
      </c>
      <c r="F68" s="27">
        <v>0</v>
      </c>
      <c r="G68" s="27">
        <v>0</v>
      </c>
      <c r="H68" s="27">
        <v>0</v>
      </c>
      <c r="I68" s="27">
        <v>0</v>
      </c>
      <c r="J68" s="27">
        <v>0</v>
      </c>
      <c r="K68" s="28">
        <v>0</v>
      </c>
    </row>
    <row r="69" spans="1:11" ht="19.5" customHeight="1" x14ac:dyDescent="0.3">
      <c r="A69" s="37">
        <v>5</v>
      </c>
      <c r="B69" s="38" t="s">
        <v>10</v>
      </c>
      <c r="C69" s="39" t="s">
        <v>61</v>
      </c>
      <c r="D69" s="40" t="s">
        <v>65</v>
      </c>
      <c r="E69" s="37">
        <v>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14">
        <v>0</v>
      </c>
    </row>
    <row r="70" spans="1:11" ht="19.5" customHeight="1" x14ac:dyDescent="0.3">
      <c r="A70" s="24">
        <v>5</v>
      </c>
      <c r="B70" s="4" t="s">
        <v>10</v>
      </c>
      <c r="C70" s="25" t="s">
        <v>61</v>
      </c>
      <c r="D70" s="26" t="s">
        <v>66</v>
      </c>
      <c r="E70" s="27">
        <v>0</v>
      </c>
      <c r="F70" s="27">
        <v>0</v>
      </c>
      <c r="G70" s="27">
        <v>0</v>
      </c>
      <c r="H70" s="27">
        <v>0</v>
      </c>
      <c r="I70" s="27">
        <v>0</v>
      </c>
      <c r="J70" s="27">
        <v>0</v>
      </c>
      <c r="K70" s="28">
        <v>0</v>
      </c>
    </row>
    <row r="71" spans="1:11" ht="19.5" customHeight="1" x14ac:dyDescent="0.3">
      <c r="A71" s="37">
        <v>5</v>
      </c>
      <c r="B71" s="38" t="s">
        <v>10</v>
      </c>
      <c r="C71" s="39" t="s">
        <v>61</v>
      </c>
      <c r="D71" s="40" t="s">
        <v>67</v>
      </c>
      <c r="E71" s="37">
        <v>0</v>
      </c>
      <c r="F71" s="37">
        <v>0</v>
      </c>
      <c r="G71" s="37">
        <v>0</v>
      </c>
      <c r="H71" s="37">
        <v>0</v>
      </c>
      <c r="I71" s="37">
        <v>0</v>
      </c>
      <c r="J71" s="37">
        <v>0</v>
      </c>
      <c r="K71" s="14">
        <v>0</v>
      </c>
    </row>
    <row r="72" spans="1:11" ht="19.5" customHeight="1" x14ac:dyDescent="0.3">
      <c r="A72" s="5">
        <v>5</v>
      </c>
      <c r="B72" s="33" t="s">
        <v>10</v>
      </c>
      <c r="C72" s="34" t="s">
        <v>61</v>
      </c>
      <c r="D72" s="35" t="s">
        <v>55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36">
        <v>0</v>
      </c>
    </row>
    <row r="73" spans="1:11" ht="19.5" customHeight="1" x14ac:dyDescent="0.3">
      <c r="A73" s="14">
        <v>5</v>
      </c>
      <c r="B73" s="41" t="s">
        <v>10</v>
      </c>
      <c r="C73" s="42" t="s">
        <v>61</v>
      </c>
      <c r="D73" s="43" t="s">
        <v>68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</row>
    <row r="74" spans="1:11" ht="19.5" customHeight="1" x14ac:dyDescent="0.3">
      <c r="A74" s="5">
        <v>5</v>
      </c>
      <c r="B74" s="33" t="s">
        <v>10</v>
      </c>
      <c r="C74" s="34" t="s">
        <v>69</v>
      </c>
      <c r="D74" s="35" t="s">
        <v>55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36">
        <v>0</v>
      </c>
    </row>
    <row r="75" spans="1:11" ht="3.75" customHeight="1" x14ac:dyDescent="0.3">
      <c r="A75" s="48"/>
      <c r="B75" s="49"/>
      <c r="C75" s="50"/>
      <c r="D75" s="51"/>
      <c r="E75" s="52"/>
      <c r="F75" s="52"/>
      <c r="G75" s="52"/>
      <c r="H75" s="52"/>
      <c r="I75" s="52"/>
      <c r="J75" s="52"/>
      <c r="K75" s="48"/>
    </row>
    <row r="76" spans="1:11" ht="19.5" customHeight="1" x14ac:dyDescent="0.3">
      <c r="A76" s="24">
        <v>6</v>
      </c>
      <c r="B76" s="4" t="s">
        <v>11</v>
      </c>
      <c r="C76" s="25" t="s">
        <v>56</v>
      </c>
      <c r="D76" s="26" t="s">
        <v>57</v>
      </c>
      <c r="E76" s="27">
        <v>0</v>
      </c>
      <c r="F76" s="27">
        <v>0</v>
      </c>
      <c r="G76" s="27">
        <v>0</v>
      </c>
      <c r="H76" s="27">
        <v>0</v>
      </c>
      <c r="I76" s="27">
        <v>0</v>
      </c>
      <c r="J76" s="27">
        <v>0</v>
      </c>
      <c r="K76" s="28">
        <v>0</v>
      </c>
    </row>
    <row r="77" spans="1:11" ht="19.5" customHeight="1" x14ac:dyDescent="0.3">
      <c r="A77" s="29">
        <v>6</v>
      </c>
      <c r="B77" s="8" t="s">
        <v>11</v>
      </c>
      <c r="C77" s="30" t="s">
        <v>56</v>
      </c>
      <c r="D77" s="31" t="s">
        <v>58</v>
      </c>
      <c r="E77" s="32">
        <v>0</v>
      </c>
      <c r="F77" s="32">
        <v>0</v>
      </c>
      <c r="G77" s="32">
        <v>0</v>
      </c>
      <c r="H77" s="32">
        <v>0</v>
      </c>
      <c r="I77" s="32">
        <v>0</v>
      </c>
      <c r="J77" s="32">
        <v>0</v>
      </c>
      <c r="K77" s="28">
        <v>0</v>
      </c>
    </row>
    <row r="78" spans="1:11" ht="19.5" customHeight="1" x14ac:dyDescent="0.3">
      <c r="A78" s="24">
        <v>6</v>
      </c>
      <c r="B78" s="4" t="s">
        <v>11</v>
      </c>
      <c r="C78" s="25" t="s">
        <v>56</v>
      </c>
      <c r="D78" s="26" t="s">
        <v>59</v>
      </c>
      <c r="E78" s="27">
        <v>0</v>
      </c>
      <c r="F78" s="27">
        <v>0</v>
      </c>
      <c r="G78" s="27">
        <v>0</v>
      </c>
      <c r="H78" s="27">
        <v>0</v>
      </c>
      <c r="I78" s="27">
        <v>0</v>
      </c>
      <c r="J78" s="27">
        <v>0</v>
      </c>
      <c r="K78" s="28">
        <v>0</v>
      </c>
    </row>
    <row r="79" spans="1:11" ht="19.5" customHeight="1" x14ac:dyDescent="0.3">
      <c r="A79" s="5">
        <v>6</v>
      </c>
      <c r="B79" s="33" t="s">
        <v>11</v>
      </c>
      <c r="C79" s="34" t="s">
        <v>56</v>
      </c>
      <c r="D79" s="35" t="s">
        <v>55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36">
        <v>0</v>
      </c>
    </row>
    <row r="80" spans="1:11" ht="19.5" customHeight="1" x14ac:dyDescent="0.3">
      <c r="A80" s="24">
        <v>6</v>
      </c>
      <c r="B80" s="4" t="s">
        <v>11</v>
      </c>
      <c r="C80" s="25" t="s">
        <v>60</v>
      </c>
      <c r="D80" s="26" t="s">
        <v>57</v>
      </c>
      <c r="E80" s="27">
        <v>0</v>
      </c>
      <c r="F80" s="27">
        <v>0</v>
      </c>
      <c r="G80" s="27">
        <v>0</v>
      </c>
      <c r="H80" s="27">
        <v>0</v>
      </c>
      <c r="I80" s="27">
        <v>0</v>
      </c>
      <c r="J80" s="27">
        <v>0</v>
      </c>
      <c r="K80" s="28">
        <v>0</v>
      </c>
    </row>
    <row r="81" spans="1:11" ht="19.5" customHeight="1" x14ac:dyDescent="0.3">
      <c r="A81" s="29">
        <v>6</v>
      </c>
      <c r="B81" s="8" t="s">
        <v>11</v>
      </c>
      <c r="C81" s="30" t="s">
        <v>60</v>
      </c>
      <c r="D81" s="31" t="s">
        <v>58</v>
      </c>
      <c r="E81" s="32">
        <v>0</v>
      </c>
      <c r="F81" s="32">
        <v>0</v>
      </c>
      <c r="G81" s="32">
        <v>0</v>
      </c>
      <c r="H81" s="32">
        <v>0</v>
      </c>
      <c r="I81" s="32">
        <v>0</v>
      </c>
      <c r="J81" s="32">
        <v>0</v>
      </c>
      <c r="K81" s="28">
        <v>0</v>
      </c>
    </row>
    <row r="82" spans="1:11" ht="19.5" customHeight="1" x14ac:dyDescent="0.3">
      <c r="A82" s="24">
        <v>6</v>
      </c>
      <c r="B82" s="4" t="s">
        <v>11</v>
      </c>
      <c r="C82" s="25" t="s">
        <v>60</v>
      </c>
      <c r="D82" s="26" t="s">
        <v>59</v>
      </c>
      <c r="E82" s="27">
        <v>0</v>
      </c>
      <c r="F82" s="27">
        <v>0</v>
      </c>
      <c r="G82" s="27">
        <v>0</v>
      </c>
      <c r="H82" s="27">
        <v>0</v>
      </c>
      <c r="I82" s="27">
        <v>0</v>
      </c>
      <c r="J82" s="27">
        <v>0</v>
      </c>
      <c r="K82" s="28">
        <v>0</v>
      </c>
    </row>
    <row r="83" spans="1:11" ht="19.5" customHeight="1" x14ac:dyDescent="0.3">
      <c r="A83" s="5">
        <v>6</v>
      </c>
      <c r="B83" s="33" t="s">
        <v>11</v>
      </c>
      <c r="C83" s="34" t="s">
        <v>60</v>
      </c>
      <c r="D83" s="35" t="s">
        <v>55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36">
        <v>0</v>
      </c>
    </row>
    <row r="84" spans="1:11" ht="19.5" customHeight="1" x14ac:dyDescent="0.3">
      <c r="A84" s="24">
        <v>6</v>
      </c>
      <c r="B84" s="4" t="s">
        <v>11</v>
      </c>
      <c r="C84" s="25" t="s">
        <v>61</v>
      </c>
      <c r="D84" s="26" t="s">
        <v>62</v>
      </c>
      <c r="E84" s="27">
        <v>0</v>
      </c>
      <c r="F84" s="27">
        <v>0</v>
      </c>
      <c r="G84" s="27">
        <v>0</v>
      </c>
      <c r="H84" s="27">
        <v>0</v>
      </c>
      <c r="I84" s="27">
        <v>0</v>
      </c>
      <c r="J84" s="27">
        <v>0</v>
      </c>
      <c r="K84" s="28">
        <v>0</v>
      </c>
    </row>
    <row r="85" spans="1:11" ht="19.5" customHeight="1" x14ac:dyDescent="0.3">
      <c r="A85" s="37">
        <v>6</v>
      </c>
      <c r="B85" s="38" t="s">
        <v>11</v>
      </c>
      <c r="C85" s="39" t="s">
        <v>61</v>
      </c>
      <c r="D85" s="40" t="s">
        <v>63</v>
      </c>
      <c r="E85" s="37">
        <v>0</v>
      </c>
      <c r="F85" s="37">
        <v>0</v>
      </c>
      <c r="G85" s="37">
        <v>0</v>
      </c>
      <c r="H85" s="37">
        <v>0</v>
      </c>
      <c r="I85" s="37">
        <v>0</v>
      </c>
      <c r="J85" s="37">
        <v>0</v>
      </c>
      <c r="K85" s="14">
        <v>0</v>
      </c>
    </row>
    <row r="86" spans="1:11" ht="19.5" customHeight="1" x14ac:dyDescent="0.3">
      <c r="A86" s="24">
        <v>6</v>
      </c>
      <c r="B86" s="4" t="s">
        <v>11</v>
      </c>
      <c r="C86" s="25" t="s">
        <v>61</v>
      </c>
      <c r="D86" s="26" t="s">
        <v>64</v>
      </c>
      <c r="E86" s="27">
        <v>0</v>
      </c>
      <c r="F86" s="27">
        <v>0</v>
      </c>
      <c r="G86" s="27">
        <v>0</v>
      </c>
      <c r="H86" s="27">
        <v>0</v>
      </c>
      <c r="I86" s="27">
        <v>0</v>
      </c>
      <c r="J86" s="27">
        <v>0</v>
      </c>
      <c r="K86" s="28">
        <v>0</v>
      </c>
    </row>
    <row r="87" spans="1:11" ht="19.5" customHeight="1" x14ac:dyDescent="0.3">
      <c r="A87" s="37">
        <v>6</v>
      </c>
      <c r="B87" s="38" t="s">
        <v>11</v>
      </c>
      <c r="C87" s="39" t="s">
        <v>61</v>
      </c>
      <c r="D87" s="40" t="s">
        <v>65</v>
      </c>
      <c r="E87" s="37">
        <v>0</v>
      </c>
      <c r="F87" s="37">
        <v>0</v>
      </c>
      <c r="G87" s="37">
        <v>0</v>
      </c>
      <c r="H87" s="37">
        <v>0</v>
      </c>
      <c r="I87" s="37">
        <v>0</v>
      </c>
      <c r="J87" s="37">
        <v>0</v>
      </c>
      <c r="K87" s="14">
        <v>0</v>
      </c>
    </row>
    <row r="88" spans="1:11" ht="19.5" customHeight="1" x14ac:dyDescent="0.3">
      <c r="A88" s="24">
        <v>6</v>
      </c>
      <c r="B88" s="4" t="s">
        <v>11</v>
      </c>
      <c r="C88" s="25" t="s">
        <v>61</v>
      </c>
      <c r="D88" s="26" t="s">
        <v>66</v>
      </c>
      <c r="E88" s="27">
        <v>0</v>
      </c>
      <c r="F88" s="27">
        <v>0</v>
      </c>
      <c r="G88" s="27">
        <v>0</v>
      </c>
      <c r="H88" s="27">
        <v>0</v>
      </c>
      <c r="I88" s="27">
        <v>0</v>
      </c>
      <c r="J88" s="27">
        <v>0</v>
      </c>
      <c r="K88" s="28">
        <v>0</v>
      </c>
    </row>
    <row r="89" spans="1:11" ht="19.5" customHeight="1" x14ac:dyDescent="0.3">
      <c r="A89" s="37">
        <v>6</v>
      </c>
      <c r="B89" s="38" t="s">
        <v>11</v>
      </c>
      <c r="C89" s="39" t="s">
        <v>61</v>
      </c>
      <c r="D89" s="40" t="s">
        <v>67</v>
      </c>
      <c r="E89" s="37">
        <v>0</v>
      </c>
      <c r="F89" s="37">
        <v>0</v>
      </c>
      <c r="G89" s="37">
        <v>0</v>
      </c>
      <c r="H89" s="37">
        <v>0</v>
      </c>
      <c r="I89" s="37">
        <v>0</v>
      </c>
      <c r="J89" s="37">
        <v>0</v>
      </c>
      <c r="K89" s="14">
        <v>0</v>
      </c>
    </row>
    <row r="90" spans="1:11" ht="19.5" customHeight="1" x14ac:dyDescent="0.3">
      <c r="A90" s="5">
        <v>6</v>
      </c>
      <c r="B90" s="33" t="s">
        <v>11</v>
      </c>
      <c r="C90" s="34" t="s">
        <v>61</v>
      </c>
      <c r="D90" s="35" t="s">
        <v>55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36">
        <v>0</v>
      </c>
    </row>
    <row r="91" spans="1:11" ht="19.5" customHeight="1" x14ac:dyDescent="0.3">
      <c r="A91" s="14">
        <v>6</v>
      </c>
      <c r="B91" s="41" t="s">
        <v>11</v>
      </c>
      <c r="C91" s="42" t="s">
        <v>61</v>
      </c>
      <c r="D91" s="43" t="s">
        <v>68</v>
      </c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14">
        <v>0</v>
      </c>
    </row>
    <row r="92" spans="1:11" ht="19.5" customHeight="1" x14ac:dyDescent="0.3">
      <c r="A92" s="5">
        <v>6</v>
      </c>
      <c r="B92" s="33" t="s">
        <v>11</v>
      </c>
      <c r="C92" s="34" t="s">
        <v>69</v>
      </c>
      <c r="D92" s="35" t="s">
        <v>55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36">
        <v>0</v>
      </c>
    </row>
    <row r="93" spans="1:11" ht="3.75" customHeight="1" x14ac:dyDescent="0.3">
      <c r="A93" s="48"/>
      <c r="B93" s="49"/>
      <c r="C93" s="50"/>
      <c r="D93" s="51"/>
      <c r="E93" s="52"/>
      <c r="F93" s="52"/>
      <c r="G93" s="52"/>
      <c r="H93" s="52"/>
      <c r="I93" s="52"/>
      <c r="J93" s="52"/>
      <c r="K93" s="48"/>
    </row>
    <row r="94" spans="1:11" ht="19.5" customHeight="1" x14ac:dyDescent="0.3">
      <c r="A94" s="24">
        <v>9</v>
      </c>
      <c r="B94" s="4" t="s">
        <v>12</v>
      </c>
      <c r="C94" s="25" t="s">
        <v>56</v>
      </c>
      <c r="D94" s="26" t="s">
        <v>57</v>
      </c>
      <c r="E94" s="27">
        <v>0</v>
      </c>
      <c r="F94" s="27">
        <v>0</v>
      </c>
      <c r="G94" s="27">
        <v>0</v>
      </c>
      <c r="H94" s="27">
        <v>0</v>
      </c>
      <c r="I94" s="27">
        <v>0</v>
      </c>
      <c r="J94" s="27">
        <v>0</v>
      </c>
      <c r="K94" s="28">
        <v>0</v>
      </c>
    </row>
    <row r="95" spans="1:11" ht="19.5" customHeight="1" x14ac:dyDescent="0.3">
      <c r="A95" s="29">
        <v>9</v>
      </c>
      <c r="B95" s="8" t="s">
        <v>12</v>
      </c>
      <c r="C95" s="30" t="s">
        <v>56</v>
      </c>
      <c r="D95" s="31" t="s">
        <v>58</v>
      </c>
      <c r="E95" s="32">
        <v>0</v>
      </c>
      <c r="F95" s="32">
        <v>0</v>
      </c>
      <c r="G95" s="32">
        <v>0</v>
      </c>
      <c r="H95" s="32">
        <v>0</v>
      </c>
      <c r="I95" s="32">
        <v>0</v>
      </c>
      <c r="J95" s="32">
        <v>0</v>
      </c>
      <c r="K95" s="28">
        <v>0</v>
      </c>
    </row>
    <row r="96" spans="1:11" ht="19.5" customHeight="1" x14ac:dyDescent="0.3">
      <c r="A96" s="24">
        <v>9</v>
      </c>
      <c r="B96" s="4" t="s">
        <v>12</v>
      </c>
      <c r="C96" s="25" t="s">
        <v>56</v>
      </c>
      <c r="D96" s="26" t="s">
        <v>59</v>
      </c>
      <c r="E96" s="27">
        <v>0</v>
      </c>
      <c r="F96" s="27">
        <v>0</v>
      </c>
      <c r="G96" s="27">
        <v>0</v>
      </c>
      <c r="H96" s="27">
        <v>0</v>
      </c>
      <c r="I96" s="27">
        <v>0</v>
      </c>
      <c r="J96" s="27">
        <v>0</v>
      </c>
      <c r="K96" s="28">
        <v>0</v>
      </c>
    </row>
    <row r="97" spans="1:11" ht="19.5" customHeight="1" x14ac:dyDescent="0.3">
      <c r="A97" s="5">
        <v>9</v>
      </c>
      <c r="B97" s="33" t="s">
        <v>12</v>
      </c>
      <c r="C97" s="34" t="s">
        <v>56</v>
      </c>
      <c r="D97" s="35" t="s">
        <v>55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36">
        <v>0</v>
      </c>
    </row>
    <row r="98" spans="1:11" ht="19.5" customHeight="1" x14ac:dyDescent="0.3">
      <c r="A98" s="24">
        <v>9</v>
      </c>
      <c r="B98" s="4" t="s">
        <v>12</v>
      </c>
      <c r="C98" s="25" t="s">
        <v>60</v>
      </c>
      <c r="D98" s="26" t="s">
        <v>57</v>
      </c>
      <c r="E98" s="27">
        <v>0</v>
      </c>
      <c r="F98" s="27">
        <v>0</v>
      </c>
      <c r="G98" s="27">
        <v>0</v>
      </c>
      <c r="H98" s="27">
        <v>0</v>
      </c>
      <c r="I98" s="27">
        <v>0</v>
      </c>
      <c r="J98" s="27">
        <v>0</v>
      </c>
      <c r="K98" s="28">
        <v>0</v>
      </c>
    </row>
    <row r="99" spans="1:11" ht="19.5" customHeight="1" x14ac:dyDescent="0.3">
      <c r="A99" s="29">
        <v>9</v>
      </c>
      <c r="B99" s="8" t="s">
        <v>12</v>
      </c>
      <c r="C99" s="30" t="s">
        <v>60</v>
      </c>
      <c r="D99" s="31" t="s">
        <v>58</v>
      </c>
      <c r="E99" s="32">
        <v>0</v>
      </c>
      <c r="F99" s="32">
        <v>0</v>
      </c>
      <c r="G99" s="32">
        <v>0</v>
      </c>
      <c r="H99" s="32">
        <v>0</v>
      </c>
      <c r="I99" s="32">
        <v>0</v>
      </c>
      <c r="J99" s="32">
        <v>0</v>
      </c>
      <c r="K99" s="28">
        <v>0</v>
      </c>
    </row>
    <row r="100" spans="1:11" ht="19.5" customHeight="1" x14ac:dyDescent="0.3">
      <c r="A100" s="24">
        <v>9</v>
      </c>
      <c r="B100" s="4" t="s">
        <v>12</v>
      </c>
      <c r="C100" s="25" t="s">
        <v>60</v>
      </c>
      <c r="D100" s="26" t="s">
        <v>59</v>
      </c>
      <c r="E100" s="27">
        <v>0</v>
      </c>
      <c r="F100" s="27">
        <v>0</v>
      </c>
      <c r="G100" s="27">
        <v>0</v>
      </c>
      <c r="H100" s="27">
        <v>0</v>
      </c>
      <c r="I100" s="27">
        <v>0</v>
      </c>
      <c r="J100" s="27">
        <v>0</v>
      </c>
      <c r="K100" s="28">
        <v>0</v>
      </c>
    </row>
    <row r="101" spans="1:11" ht="19.5" customHeight="1" x14ac:dyDescent="0.3">
      <c r="A101" s="5">
        <v>9</v>
      </c>
      <c r="B101" s="33" t="s">
        <v>12</v>
      </c>
      <c r="C101" s="34" t="s">
        <v>60</v>
      </c>
      <c r="D101" s="35" t="s">
        <v>55</v>
      </c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36">
        <v>0</v>
      </c>
    </row>
    <row r="102" spans="1:11" ht="19.5" customHeight="1" x14ac:dyDescent="0.3">
      <c r="A102" s="24">
        <v>9</v>
      </c>
      <c r="B102" s="4" t="s">
        <v>12</v>
      </c>
      <c r="C102" s="25" t="s">
        <v>61</v>
      </c>
      <c r="D102" s="26" t="s">
        <v>62</v>
      </c>
      <c r="E102" s="27">
        <v>0</v>
      </c>
      <c r="F102" s="27">
        <v>0</v>
      </c>
      <c r="G102" s="27">
        <v>0</v>
      </c>
      <c r="H102" s="27">
        <v>0</v>
      </c>
      <c r="I102" s="27">
        <v>0</v>
      </c>
      <c r="J102" s="27">
        <v>0</v>
      </c>
      <c r="K102" s="28">
        <v>0</v>
      </c>
    </row>
    <row r="103" spans="1:11" ht="19.5" customHeight="1" x14ac:dyDescent="0.3">
      <c r="A103" s="37">
        <v>9</v>
      </c>
      <c r="B103" s="38" t="s">
        <v>12</v>
      </c>
      <c r="C103" s="39" t="s">
        <v>61</v>
      </c>
      <c r="D103" s="40" t="s">
        <v>63</v>
      </c>
      <c r="E103" s="37">
        <v>0</v>
      </c>
      <c r="F103" s="37">
        <v>0</v>
      </c>
      <c r="G103" s="37">
        <v>0</v>
      </c>
      <c r="H103" s="37">
        <v>0</v>
      </c>
      <c r="I103" s="37">
        <v>0</v>
      </c>
      <c r="J103" s="37">
        <v>0</v>
      </c>
      <c r="K103" s="14">
        <v>0</v>
      </c>
    </row>
    <row r="104" spans="1:11" ht="19.5" customHeight="1" x14ac:dyDescent="0.3">
      <c r="A104" s="24">
        <v>9</v>
      </c>
      <c r="B104" s="4" t="s">
        <v>12</v>
      </c>
      <c r="C104" s="25" t="s">
        <v>61</v>
      </c>
      <c r="D104" s="26" t="s">
        <v>64</v>
      </c>
      <c r="E104" s="27">
        <v>0</v>
      </c>
      <c r="F104" s="27">
        <v>0</v>
      </c>
      <c r="G104" s="27">
        <v>0</v>
      </c>
      <c r="H104" s="27">
        <v>0</v>
      </c>
      <c r="I104" s="27">
        <v>0</v>
      </c>
      <c r="J104" s="27">
        <v>0</v>
      </c>
      <c r="K104" s="28">
        <v>0</v>
      </c>
    </row>
    <row r="105" spans="1:11" ht="19.5" customHeight="1" x14ac:dyDescent="0.3">
      <c r="A105" s="37">
        <v>9</v>
      </c>
      <c r="B105" s="38" t="s">
        <v>12</v>
      </c>
      <c r="C105" s="39" t="s">
        <v>61</v>
      </c>
      <c r="D105" s="40" t="s">
        <v>65</v>
      </c>
      <c r="E105" s="37">
        <v>0</v>
      </c>
      <c r="F105" s="37">
        <v>0</v>
      </c>
      <c r="G105" s="37">
        <v>0</v>
      </c>
      <c r="H105" s="37">
        <v>0</v>
      </c>
      <c r="I105" s="37">
        <v>0</v>
      </c>
      <c r="J105" s="37">
        <v>0</v>
      </c>
      <c r="K105" s="14">
        <v>0</v>
      </c>
    </row>
    <row r="106" spans="1:11" ht="19.5" customHeight="1" x14ac:dyDescent="0.3">
      <c r="A106" s="24">
        <v>9</v>
      </c>
      <c r="B106" s="4" t="s">
        <v>12</v>
      </c>
      <c r="C106" s="25" t="s">
        <v>61</v>
      </c>
      <c r="D106" s="26" t="s">
        <v>66</v>
      </c>
      <c r="E106" s="27">
        <v>0</v>
      </c>
      <c r="F106" s="27">
        <v>0</v>
      </c>
      <c r="G106" s="27">
        <v>0</v>
      </c>
      <c r="H106" s="27">
        <v>0</v>
      </c>
      <c r="I106" s="27">
        <v>0</v>
      </c>
      <c r="J106" s="27">
        <v>0</v>
      </c>
      <c r="K106" s="28">
        <v>0</v>
      </c>
    </row>
    <row r="107" spans="1:11" ht="19.5" customHeight="1" x14ac:dyDescent="0.3">
      <c r="A107" s="37">
        <v>9</v>
      </c>
      <c r="B107" s="38" t="s">
        <v>12</v>
      </c>
      <c r="C107" s="39" t="s">
        <v>61</v>
      </c>
      <c r="D107" s="40" t="s">
        <v>67</v>
      </c>
      <c r="E107" s="37">
        <v>0</v>
      </c>
      <c r="F107" s="37">
        <v>0</v>
      </c>
      <c r="G107" s="37">
        <v>0</v>
      </c>
      <c r="H107" s="37">
        <v>0</v>
      </c>
      <c r="I107" s="37">
        <v>0</v>
      </c>
      <c r="J107" s="37">
        <v>0</v>
      </c>
      <c r="K107" s="14">
        <v>0</v>
      </c>
    </row>
    <row r="108" spans="1:11" ht="19.5" customHeight="1" x14ac:dyDescent="0.3">
      <c r="A108" s="5">
        <v>9</v>
      </c>
      <c r="B108" s="33" t="s">
        <v>12</v>
      </c>
      <c r="C108" s="34" t="s">
        <v>61</v>
      </c>
      <c r="D108" s="35" t="s">
        <v>55</v>
      </c>
      <c r="E108" s="5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36">
        <v>0</v>
      </c>
    </row>
    <row r="109" spans="1:11" ht="19.5" customHeight="1" x14ac:dyDescent="0.3">
      <c r="A109" s="14">
        <v>9</v>
      </c>
      <c r="B109" s="41" t="s">
        <v>12</v>
      </c>
      <c r="C109" s="42" t="s">
        <v>61</v>
      </c>
      <c r="D109" s="43" t="s">
        <v>68</v>
      </c>
      <c r="E109" s="14">
        <v>0</v>
      </c>
      <c r="F109" s="14">
        <v>0</v>
      </c>
      <c r="G109" s="14">
        <v>0</v>
      </c>
      <c r="H109" s="14">
        <v>0</v>
      </c>
      <c r="I109" s="14">
        <v>0</v>
      </c>
      <c r="J109" s="14">
        <v>0</v>
      </c>
      <c r="K109" s="14">
        <v>0</v>
      </c>
    </row>
    <row r="110" spans="1:11" ht="19.5" customHeight="1" x14ac:dyDescent="0.3">
      <c r="A110" s="5">
        <v>9</v>
      </c>
      <c r="B110" s="33" t="s">
        <v>12</v>
      </c>
      <c r="C110" s="34" t="s">
        <v>69</v>
      </c>
      <c r="D110" s="35" t="s">
        <v>55</v>
      </c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36">
        <v>0</v>
      </c>
    </row>
    <row r="111" spans="1:11" ht="3.75" customHeight="1" x14ac:dyDescent="0.3">
      <c r="A111" s="48"/>
      <c r="B111" s="49"/>
      <c r="C111" s="50"/>
      <c r="D111" s="51"/>
      <c r="E111" s="52"/>
      <c r="F111" s="52"/>
      <c r="G111" s="52"/>
      <c r="H111" s="52"/>
      <c r="I111" s="52"/>
      <c r="J111" s="52"/>
      <c r="K111" s="48"/>
    </row>
    <row r="112" spans="1:11" ht="19.5" customHeight="1" x14ac:dyDescent="0.3">
      <c r="A112" s="24">
        <v>10</v>
      </c>
      <c r="B112" s="4" t="s">
        <v>13</v>
      </c>
      <c r="C112" s="25" t="s">
        <v>56</v>
      </c>
      <c r="D112" s="26" t="s">
        <v>57</v>
      </c>
      <c r="E112" s="27">
        <v>0</v>
      </c>
      <c r="F112" s="27">
        <v>0</v>
      </c>
      <c r="G112" s="27">
        <v>0</v>
      </c>
      <c r="H112" s="27">
        <v>0</v>
      </c>
      <c r="I112" s="27">
        <v>0</v>
      </c>
      <c r="J112" s="27">
        <v>0</v>
      </c>
      <c r="K112" s="28">
        <v>0</v>
      </c>
    </row>
    <row r="113" spans="1:11" ht="19.5" customHeight="1" x14ac:dyDescent="0.3">
      <c r="A113" s="29">
        <v>10</v>
      </c>
      <c r="B113" s="8" t="s">
        <v>13</v>
      </c>
      <c r="C113" s="30" t="s">
        <v>56</v>
      </c>
      <c r="D113" s="31" t="s">
        <v>58</v>
      </c>
      <c r="E113" s="32">
        <v>0</v>
      </c>
      <c r="F113" s="32">
        <v>0</v>
      </c>
      <c r="G113" s="32">
        <v>0</v>
      </c>
      <c r="H113" s="32">
        <v>0</v>
      </c>
      <c r="I113" s="32">
        <v>0</v>
      </c>
      <c r="J113" s="32">
        <v>0</v>
      </c>
      <c r="K113" s="28">
        <v>0</v>
      </c>
    </row>
    <row r="114" spans="1:11" ht="19.5" customHeight="1" x14ac:dyDescent="0.3">
      <c r="A114" s="24">
        <v>10</v>
      </c>
      <c r="B114" s="4" t="s">
        <v>13</v>
      </c>
      <c r="C114" s="25" t="s">
        <v>56</v>
      </c>
      <c r="D114" s="26" t="s">
        <v>59</v>
      </c>
      <c r="E114" s="27">
        <v>0</v>
      </c>
      <c r="F114" s="27">
        <v>0</v>
      </c>
      <c r="G114" s="27">
        <v>0</v>
      </c>
      <c r="H114" s="27">
        <v>0</v>
      </c>
      <c r="I114" s="27">
        <v>0</v>
      </c>
      <c r="J114" s="27">
        <v>0</v>
      </c>
      <c r="K114" s="28">
        <v>0</v>
      </c>
    </row>
    <row r="115" spans="1:11" ht="19.5" customHeight="1" x14ac:dyDescent="0.3">
      <c r="A115" s="5">
        <v>10</v>
      </c>
      <c r="B115" s="33" t="s">
        <v>13</v>
      </c>
      <c r="C115" s="34" t="s">
        <v>56</v>
      </c>
      <c r="D115" s="35" t="s">
        <v>55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36">
        <v>0</v>
      </c>
    </row>
    <row r="116" spans="1:11" ht="19.5" customHeight="1" x14ac:dyDescent="0.3">
      <c r="A116" s="24">
        <v>10</v>
      </c>
      <c r="B116" s="4" t="s">
        <v>13</v>
      </c>
      <c r="C116" s="25" t="s">
        <v>60</v>
      </c>
      <c r="D116" s="26" t="s">
        <v>57</v>
      </c>
      <c r="E116" s="27">
        <v>0</v>
      </c>
      <c r="F116" s="27">
        <v>0</v>
      </c>
      <c r="G116" s="27">
        <v>0</v>
      </c>
      <c r="H116" s="27">
        <v>0</v>
      </c>
      <c r="I116" s="27">
        <v>0</v>
      </c>
      <c r="J116" s="27">
        <v>0</v>
      </c>
      <c r="K116" s="28">
        <v>0</v>
      </c>
    </row>
    <row r="117" spans="1:11" ht="19.5" customHeight="1" x14ac:dyDescent="0.3">
      <c r="A117" s="29">
        <v>10</v>
      </c>
      <c r="B117" s="8" t="s">
        <v>13</v>
      </c>
      <c r="C117" s="30" t="s">
        <v>60</v>
      </c>
      <c r="D117" s="31" t="s">
        <v>58</v>
      </c>
      <c r="E117" s="32">
        <v>0</v>
      </c>
      <c r="F117" s="32">
        <v>0</v>
      </c>
      <c r="G117" s="32">
        <v>0</v>
      </c>
      <c r="H117" s="32">
        <v>0</v>
      </c>
      <c r="I117" s="32">
        <v>0</v>
      </c>
      <c r="J117" s="32">
        <v>0</v>
      </c>
      <c r="K117" s="28">
        <v>0</v>
      </c>
    </row>
    <row r="118" spans="1:11" ht="19.5" customHeight="1" x14ac:dyDescent="0.3">
      <c r="A118" s="24">
        <v>10</v>
      </c>
      <c r="B118" s="4" t="s">
        <v>13</v>
      </c>
      <c r="C118" s="25" t="s">
        <v>60</v>
      </c>
      <c r="D118" s="26" t="s">
        <v>59</v>
      </c>
      <c r="E118" s="27">
        <v>0</v>
      </c>
      <c r="F118" s="27">
        <v>0</v>
      </c>
      <c r="G118" s="27">
        <v>0</v>
      </c>
      <c r="H118" s="27">
        <v>0</v>
      </c>
      <c r="I118" s="27">
        <v>0</v>
      </c>
      <c r="J118" s="27">
        <v>0</v>
      </c>
      <c r="K118" s="28">
        <v>0</v>
      </c>
    </row>
    <row r="119" spans="1:11" ht="19.5" customHeight="1" x14ac:dyDescent="0.3">
      <c r="A119" s="5">
        <v>10</v>
      </c>
      <c r="B119" s="33" t="s">
        <v>13</v>
      </c>
      <c r="C119" s="34" t="s">
        <v>60</v>
      </c>
      <c r="D119" s="35" t="s">
        <v>55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36">
        <v>0</v>
      </c>
    </row>
    <row r="120" spans="1:11" ht="19.5" customHeight="1" x14ac:dyDescent="0.3">
      <c r="A120" s="24">
        <v>10</v>
      </c>
      <c r="B120" s="4" t="s">
        <v>13</v>
      </c>
      <c r="C120" s="25" t="s">
        <v>61</v>
      </c>
      <c r="D120" s="26" t="s">
        <v>62</v>
      </c>
      <c r="E120" s="27">
        <v>0</v>
      </c>
      <c r="F120" s="27">
        <v>0</v>
      </c>
      <c r="G120" s="27">
        <v>0</v>
      </c>
      <c r="H120" s="27">
        <v>0</v>
      </c>
      <c r="I120" s="27">
        <v>0</v>
      </c>
      <c r="J120" s="27">
        <v>0</v>
      </c>
      <c r="K120" s="28">
        <v>0</v>
      </c>
    </row>
    <row r="121" spans="1:11" ht="19.5" customHeight="1" x14ac:dyDescent="0.3">
      <c r="A121" s="37">
        <v>10</v>
      </c>
      <c r="B121" s="38" t="s">
        <v>13</v>
      </c>
      <c r="C121" s="39" t="s">
        <v>61</v>
      </c>
      <c r="D121" s="40" t="s">
        <v>63</v>
      </c>
      <c r="E121" s="37">
        <v>0</v>
      </c>
      <c r="F121" s="37">
        <v>0</v>
      </c>
      <c r="G121" s="37">
        <v>0</v>
      </c>
      <c r="H121" s="37">
        <v>0</v>
      </c>
      <c r="I121" s="37">
        <v>0</v>
      </c>
      <c r="J121" s="37">
        <v>0</v>
      </c>
      <c r="K121" s="14">
        <v>0</v>
      </c>
    </row>
    <row r="122" spans="1:11" ht="19.5" customHeight="1" x14ac:dyDescent="0.3">
      <c r="A122" s="24">
        <v>10</v>
      </c>
      <c r="B122" s="4" t="s">
        <v>13</v>
      </c>
      <c r="C122" s="25" t="s">
        <v>61</v>
      </c>
      <c r="D122" s="26" t="s">
        <v>64</v>
      </c>
      <c r="E122" s="27">
        <v>0</v>
      </c>
      <c r="F122" s="27">
        <v>0</v>
      </c>
      <c r="G122" s="27">
        <v>0</v>
      </c>
      <c r="H122" s="27">
        <v>0</v>
      </c>
      <c r="I122" s="27">
        <v>0</v>
      </c>
      <c r="J122" s="27">
        <v>0</v>
      </c>
      <c r="K122" s="28">
        <v>0</v>
      </c>
    </row>
    <row r="123" spans="1:11" ht="19.5" customHeight="1" x14ac:dyDescent="0.3">
      <c r="A123" s="37">
        <v>10</v>
      </c>
      <c r="B123" s="38" t="s">
        <v>13</v>
      </c>
      <c r="C123" s="39" t="s">
        <v>61</v>
      </c>
      <c r="D123" s="40" t="s">
        <v>65</v>
      </c>
      <c r="E123" s="37">
        <v>0</v>
      </c>
      <c r="F123" s="37">
        <v>0</v>
      </c>
      <c r="G123" s="37">
        <v>0</v>
      </c>
      <c r="H123" s="37">
        <v>0</v>
      </c>
      <c r="I123" s="37">
        <v>0</v>
      </c>
      <c r="J123" s="37">
        <v>0</v>
      </c>
      <c r="K123" s="14">
        <v>0</v>
      </c>
    </row>
    <row r="124" spans="1:11" ht="19.5" customHeight="1" x14ac:dyDescent="0.3">
      <c r="A124" s="24">
        <v>10</v>
      </c>
      <c r="B124" s="4" t="s">
        <v>13</v>
      </c>
      <c r="C124" s="25" t="s">
        <v>61</v>
      </c>
      <c r="D124" s="26" t="s">
        <v>66</v>
      </c>
      <c r="E124" s="27">
        <v>0</v>
      </c>
      <c r="F124" s="27">
        <v>0</v>
      </c>
      <c r="G124" s="27">
        <v>0</v>
      </c>
      <c r="H124" s="27">
        <v>0</v>
      </c>
      <c r="I124" s="27">
        <v>0</v>
      </c>
      <c r="J124" s="27">
        <v>0</v>
      </c>
      <c r="K124" s="28">
        <v>0</v>
      </c>
    </row>
    <row r="125" spans="1:11" ht="19.5" customHeight="1" x14ac:dyDescent="0.3">
      <c r="A125" s="37">
        <v>10</v>
      </c>
      <c r="B125" s="38" t="s">
        <v>13</v>
      </c>
      <c r="C125" s="39" t="s">
        <v>61</v>
      </c>
      <c r="D125" s="40" t="s">
        <v>67</v>
      </c>
      <c r="E125" s="37">
        <v>0</v>
      </c>
      <c r="F125" s="37">
        <v>0</v>
      </c>
      <c r="G125" s="37">
        <v>0</v>
      </c>
      <c r="H125" s="37">
        <v>0</v>
      </c>
      <c r="I125" s="37">
        <v>0</v>
      </c>
      <c r="J125" s="37">
        <v>0</v>
      </c>
      <c r="K125" s="14">
        <v>0</v>
      </c>
    </row>
    <row r="126" spans="1:11" ht="19.5" customHeight="1" x14ac:dyDescent="0.3">
      <c r="A126" s="5">
        <v>10</v>
      </c>
      <c r="B126" s="33" t="s">
        <v>13</v>
      </c>
      <c r="C126" s="34" t="s">
        <v>61</v>
      </c>
      <c r="D126" s="35" t="s">
        <v>55</v>
      </c>
      <c r="E126" s="5">
        <v>0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36">
        <v>0</v>
      </c>
    </row>
    <row r="127" spans="1:11" ht="19.5" customHeight="1" x14ac:dyDescent="0.3">
      <c r="A127" s="14">
        <v>10</v>
      </c>
      <c r="B127" s="41" t="s">
        <v>13</v>
      </c>
      <c r="C127" s="42" t="s">
        <v>61</v>
      </c>
      <c r="D127" s="43" t="s">
        <v>68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4">
        <v>0</v>
      </c>
      <c r="K127" s="14">
        <v>0</v>
      </c>
    </row>
    <row r="128" spans="1:11" ht="19.5" customHeight="1" x14ac:dyDescent="0.3">
      <c r="A128" s="5">
        <v>10</v>
      </c>
      <c r="B128" s="33" t="s">
        <v>13</v>
      </c>
      <c r="C128" s="34" t="s">
        <v>69</v>
      </c>
      <c r="D128" s="35" t="s">
        <v>55</v>
      </c>
      <c r="E128" s="5">
        <v>0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36">
        <v>0</v>
      </c>
    </row>
    <row r="129" spans="1:11" ht="3.75" customHeight="1" x14ac:dyDescent="0.3">
      <c r="A129" s="46"/>
      <c r="B129" s="49"/>
      <c r="C129" s="50"/>
      <c r="D129" s="51"/>
      <c r="E129" s="52"/>
      <c r="F129" s="52"/>
      <c r="G129" s="52"/>
      <c r="H129" s="52"/>
      <c r="I129" s="52"/>
      <c r="J129" s="52"/>
      <c r="K129" s="48"/>
    </row>
    <row r="130" spans="1:11" ht="19.5" customHeight="1" x14ac:dyDescent="0.3">
      <c r="A130" s="24">
        <v>11</v>
      </c>
      <c r="B130" s="4" t="s">
        <v>14</v>
      </c>
      <c r="C130" s="25" t="s">
        <v>56</v>
      </c>
      <c r="D130" s="26" t="s">
        <v>57</v>
      </c>
      <c r="E130" s="27">
        <v>0</v>
      </c>
      <c r="F130" s="27">
        <v>0</v>
      </c>
      <c r="G130" s="27">
        <v>0</v>
      </c>
      <c r="H130" s="27">
        <v>0</v>
      </c>
      <c r="I130" s="27">
        <v>0</v>
      </c>
      <c r="J130" s="27">
        <v>0</v>
      </c>
      <c r="K130" s="28">
        <v>0</v>
      </c>
    </row>
    <row r="131" spans="1:11" ht="19.5" customHeight="1" x14ac:dyDescent="0.3">
      <c r="A131" s="29">
        <v>11</v>
      </c>
      <c r="B131" s="8" t="s">
        <v>14</v>
      </c>
      <c r="C131" s="30" t="s">
        <v>56</v>
      </c>
      <c r="D131" s="31" t="s">
        <v>58</v>
      </c>
      <c r="E131" s="32">
        <v>0</v>
      </c>
      <c r="F131" s="32">
        <v>0</v>
      </c>
      <c r="G131" s="32">
        <v>0</v>
      </c>
      <c r="H131" s="32">
        <v>0</v>
      </c>
      <c r="I131" s="32">
        <v>0</v>
      </c>
      <c r="J131" s="32">
        <v>0</v>
      </c>
      <c r="K131" s="28">
        <v>0</v>
      </c>
    </row>
    <row r="132" spans="1:11" ht="19.5" customHeight="1" x14ac:dyDescent="0.3">
      <c r="A132" s="24">
        <v>11</v>
      </c>
      <c r="B132" s="4" t="s">
        <v>14</v>
      </c>
      <c r="C132" s="25" t="s">
        <v>56</v>
      </c>
      <c r="D132" s="26" t="s">
        <v>59</v>
      </c>
      <c r="E132" s="27">
        <v>0</v>
      </c>
      <c r="F132" s="27">
        <v>0</v>
      </c>
      <c r="G132" s="27">
        <v>0</v>
      </c>
      <c r="H132" s="27">
        <v>0</v>
      </c>
      <c r="I132" s="27">
        <v>0</v>
      </c>
      <c r="J132" s="27">
        <v>0</v>
      </c>
      <c r="K132" s="28">
        <v>0</v>
      </c>
    </row>
    <row r="133" spans="1:11" ht="19.5" customHeight="1" x14ac:dyDescent="0.3">
      <c r="A133" s="5">
        <v>11</v>
      </c>
      <c r="B133" s="33" t="s">
        <v>14</v>
      </c>
      <c r="C133" s="34" t="s">
        <v>56</v>
      </c>
      <c r="D133" s="35" t="s">
        <v>55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36">
        <v>0</v>
      </c>
    </row>
    <row r="134" spans="1:11" ht="19.5" customHeight="1" x14ac:dyDescent="0.3">
      <c r="A134" s="24">
        <v>11</v>
      </c>
      <c r="B134" s="4" t="s">
        <v>14</v>
      </c>
      <c r="C134" s="25" t="s">
        <v>60</v>
      </c>
      <c r="D134" s="26" t="s">
        <v>57</v>
      </c>
      <c r="E134" s="27">
        <v>0</v>
      </c>
      <c r="F134" s="27">
        <v>0</v>
      </c>
      <c r="G134" s="27">
        <v>0</v>
      </c>
      <c r="H134" s="27">
        <v>0</v>
      </c>
      <c r="I134" s="27">
        <v>0</v>
      </c>
      <c r="J134" s="27">
        <v>0</v>
      </c>
      <c r="K134" s="28">
        <v>0</v>
      </c>
    </row>
    <row r="135" spans="1:11" ht="19.5" customHeight="1" x14ac:dyDescent="0.3">
      <c r="A135" s="29">
        <v>11</v>
      </c>
      <c r="B135" s="8" t="s">
        <v>14</v>
      </c>
      <c r="C135" s="30" t="s">
        <v>60</v>
      </c>
      <c r="D135" s="31" t="s">
        <v>58</v>
      </c>
      <c r="E135" s="32">
        <v>0</v>
      </c>
      <c r="F135" s="32">
        <v>0</v>
      </c>
      <c r="G135" s="32">
        <v>0</v>
      </c>
      <c r="H135" s="32">
        <v>0</v>
      </c>
      <c r="I135" s="32">
        <v>0</v>
      </c>
      <c r="J135" s="32">
        <v>0</v>
      </c>
      <c r="K135" s="28">
        <v>0</v>
      </c>
    </row>
    <row r="136" spans="1:11" ht="19.5" customHeight="1" x14ac:dyDescent="0.3">
      <c r="A136" s="24">
        <v>11</v>
      </c>
      <c r="B136" s="4" t="s">
        <v>14</v>
      </c>
      <c r="C136" s="25" t="s">
        <v>60</v>
      </c>
      <c r="D136" s="26" t="s">
        <v>59</v>
      </c>
      <c r="E136" s="27">
        <v>0</v>
      </c>
      <c r="F136" s="27">
        <v>0</v>
      </c>
      <c r="G136" s="27">
        <v>0</v>
      </c>
      <c r="H136" s="27">
        <v>0</v>
      </c>
      <c r="I136" s="27">
        <v>0</v>
      </c>
      <c r="J136" s="27">
        <v>0</v>
      </c>
      <c r="K136" s="28">
        <v>0</v>
      </c>
    </row>
    <row r="137" spans="1:11" ht="19.5" customHeight="1" x14ac:dyDescent="0.3">
      <c r="A137" s="5">
        <v>11</v>
      </c>
      <c r="B137" s="33" t="s">
        <v>14</v>
      </c>
      <c r="C137" s="34" t="s">
        <v>60</v>
      </c>
      <c r="D137" s="35" t="s">
        <v>55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36">
        <v>0</v>
      </c>
    </row>
    <row r="138" spans="1:11" ht="19.5" customHeight="1" x14ac:dyDescent="0.3">
      <c r="A138" s="24">
        <v>11</v>
      </c>
      <c r="B138" s="4" t="s">
        <v>14</v>
      </c>
      <c r="C138" s="25" t="s">
        <v>61</v>
      </c>
      <c r="D138" s="26" t="s">
        <v>62</v>
      </c>
      <c r="E138" s="27">
        <v>0</v>
      </c>
      <c r="F138" s="27">
        <v>0</v>
      </c>
      <c r="G138" s="27">
        <v>0</v>
      </c>
      <c r="H138" s="27">
        <v>0</v>
      </c>
      <c r="I138" s="27">
        <v>0</v>
      </c>
      <c r="J138" s="27">
        <v>0</v>
      </c>
      <c r="K138" s="28">
        <v>0</v>
      </c>
    </row>
    <row r="139" spans="1:11" ht="19.5" customHeight="1" x14ac:dyDescent="0.3">
      <c r="A139" s="37">
        <v>11</v>
      </c>
      <c r="B139" s="38" t="s">
        <v>14</v>
      </c>
      <c r="C139" s="39" t="s">
        <v>61</v>
      </c>
      <c r="D139" s="40" t="s">
        <v>63</v>
      </c>
      <c r="E139" s="37">
        <v>0</v>
      </c>
      <c r="F139" s="37">
        <v>0</v>
      </c>
      <c r="G139" s="37">
        <v>0</v>
      </c>
      <c r="H139" s="37">
        <v>0</v>
      </c>
      <c r="I139" s="37">
        <v>0</v>
      </c>
      <c r="J139" s="37">
        <v>0</v>
      </c>
      <c r="K139" s="14">
        <v>0</v>
      </c>
    </row>
    <row r="140" spans="1:11" ht="19.5" customHeight="1" x14ac:dyDescent="0.3">
      <c r="A140" s="24">
        <v>11</v>
      </c>
      <c r="B140" s="4" t="s">
        <v>14</v>
      </c>
      <c r="C140" s="25" t="s">
        <v>61</v>
      </c>
      <c r="D140" s="26" t="s">
        <v>64</v>
      </c>
      <c r="E140" s="27">
        <v>0</v>
      </c>
      <c r="F140" s="27">
        <v>0</v>
      </c>
      <c r="G140" s="27">
        <v>0</v>
      </c>
      <c r="H140" s="27">
        <v>0</v>
      </c>
      <c r="I140" s="27">
        <v>0</v>
      </c>
      <c r="J140" s="27">
        <v>0</v>
      </c>
      <c r="K140" s="28">
        <v>0</v>
      </c>
    </row>
    <row r="141" spans="1:11" ht="19.5" customHeight="1" x14ac:dyDescent="0.3">
      <c r="A141" s="37">
        <v>11</v>
      </c>
      <c r="B141" s="38" t="s">
        <v>14</v>
      </c>
      <c r="C141" s="39" t="s">
        <v>61</v>
      </c>
      <c r="D141" s="40" t="s">
        <v>65</v>
      </c>
      <c r="E141" s="37">
        <v>0</v>
      </c>
      <c r="F141" s="37">
        <v>0</v>
      </c>
      <c r="G141" s="37">
        <v>0</v>
      </c>
      <c r="H141" s="37">
        <v>0</v>
      </c>
      <c r="I141" s="37">
        <v>0</v>
      </c>
      <c r="J141" s="37">
        <v>0</v>
      </c>
      <c r="K141" s="14">
        <v>0</v>
      </c>
    </row>
    <row r="142" spans="1:11" ht="19.5" customHeight="1" x14ac:dyDescent="0.3">
      <c r="A142" s="24">
        <v>11</v>
      </c>
      <c r="B142" s="4" t="s">
        <v>14</v>
      </c>
      <c r="C142" s="25" t="s">
        <v>61</v>
      </c>
      <c r="D142" s="26" t="s">
        <v>66</v>
      </c>
      <c r="E142" s="27">
        <v>0</v>
      </c>
      <c r="F142" s="27">
        <v>0</v>
      </c>
      <c r="G142" s="27">
        <v>0</v>
      </c>
      <c r="H142" s="27">
        <v>0</v>
      </c>
      <c r="I142" s="27">
        <v>0</v>
      </c>
      <c r="J142" s="27">
        <v>0</v>
      </c>
      <c r="K142" s="28">
        <v>0</v>
      </c>
    </row>
    <row r="143" spans="1:11" ht="19.5" customHeight="1" x14ac:dyDescent="0.3">
      <c r="A143" s="37">
        <v>11</v>
      </c>
      <c r="B143" s="38" t="s">
        <v>14</v>
      </c>
      <c r="C143" s="39" t="s">
        <v>61</v>
      </c>
      <c r="D143" s="40" t="s">
        <v>67</v>
      </c>
      <c r="E143" s="37">
        <v>0</v>
      </c>
      <c r="F143" s="37">
        <v>0</v>
      </c>
      <c r="G143" s="37">
        <v>0</v>
      </c>
      <c r="H143" s="37">
        <v>0</v>
      </c>
      <c r="I143" s="37">
        <v>0</v>
      </c>
      <c r="J143" s="37">
        <v>0</v>
      </c>
      <c r="K143" s="14">
        <v>0</v>
      </c>
    </row>
    <row r="144" spans="1:11" ht="19.5" customHeight="1" x14ac:dyDescent="0.3">
      <c r="A144" s="5">
        <v>11</v>
      </c>
      <c r="B144" s="33" t="s">
        <v>14</v>
      </c>
      <c r="C144" s="34" t="s">
        <v>61</v>
      </c>
      <c r="D144" s="35" t="s">
        <v>55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36">
        <v>0</v>
      </c>
    </row>
    <row r="145" spans="1:11" ht="19.5" customHeight="1" x14ac:dyDescent="0.3">
      <c r="A145" s="14">
        <v>11</v>
      </c>
      <c r="B145" s="41" t="s">
        <v>14</v>
      </c>
      <c r="C145" s="42" t="s">
        <v>61</v>
      </c>
      <c r="D145" s="43" t="s">
        <v>68</v>
      </c>
      <c r="E145" s="14">
        <v>0</v>
      </c>
      <c r="F145" s="14">
        <v>0</v>
      </c>
      <c r="G145" s="14">
        <v>0</v>
      </c>
      <c r="H145" s="14">
        <v>0</v>
      </c>
      <c r="I145" s="14">
        <v>0</v>
      </c>
      <c r="J145" s="14">
        <v>0</v>
      </c>
      <c r="K145" s="14">
        <v>0</v>
      </c>
    </row>
    <row r="146" spans="1:11" ht="19.5" customHeight="1" x14ac:dyDescent="0.3">
      <c r="A146" s="5">
        <v>11</v>
      </c>
      <c r="B146" s="33" t="s">
        <v>14</v>
      </c>
      <c r="C146" s="34" t="s">
        <v>69</v>
      </c>
      <c r="D146" s="35" t="s">
        <v>55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36">
        <v>0</v>
      </c>
    </row>
    <row r="147" spans="1:11" ht="3.75" customHeight="1" x14ac:dyDescent="0.3">
      <c r="A147" s="44"/>
      <c r="B147" s="45"/>
      <c r="C147" s="46"/>
      <c r="D147" s="47"/>
      <c r="E147" s="44"/>
      <c r="F147" s="44"/>
      <c r="G147" s="44"/>
      <c r="H147" s="44"/>
      <c r="I147" s="44"/>
      <c r="J147" s="44"/>
      <c r="K147" s="48"/>
    </row>
    <row r="148" spans="1:11" ht="19.5" customHeight="1" x14ac:dyDescent="0.3">
      <c r="A148" s="24">
        <v>12</v>
      </c>
      <c r="B148" s="4" t="s">
        <v>15</v>
      </c>
      <c r="C148" s="25" t="s">
        <v>56</v>
      </c>
      <c r="D148" s="26" t="s">
        <v>57</v>
      </c>
      <c r="E148" s="27">
        <v>0</v>
      </c>
      <c r="F148" s="27">
        <v>0</v>
      </c>
      <c r="G148" s="27">
        <v>0</v>
      </c>
      <c r="H148" s="27">
        <v>0</v>
      </c>
      <c r="I148" s="27">
        <v>0</v>
      </c>
      <c r="J148" s="27">
        <v>0</v>
      </c>
      <c r="K148" s="28">
        <v>0</v>
      </c>
    </row>
    <row r="149" spans="1:11" ht="19.5" customHeight="1" x14ac:dyDescent="0.3">
      <c r="A149" s="29">
        <v>12</v>
      </c>
      <c r="B149" s="8" t="s">
        <v>15</v>
      </c>
      <c r="C149" s="30" t="s">
        <v>56</v>
      </c>
      <c r="D149" s="31" t="s">
        <v>58</v>
      </c>
      <c r="E149" s="32">
        <v>0</v>
      </c>
      <c r="F149" s="32">
        <v>0</v>
      </c>
      <c r="G149" s="32">
        <v>0</v>
      </c>
      <c r="H149" s="32">
        <v>0</v>
      </c>
      <c r="I149" s="32">
        <v>0</v>
      </c>
      <c r="J149" s="32">
        <v>0</v>
      </c>
      <c r="K149" s="28">
        <v>0</v>
      </c>
    </row>
    <row r="150" spans="1:11" ht="19.5" customHeight="1" x14ac:dyDescent="0.3">
      <c r="A150" s="24">
        <v>12</v>
      </c>
      <c r="B150" s="4" t="s">
        <v>15</v>
      </c>
      <c r="C150" s="25" t="s">
        <v>56</v>
      </c>
      <c r="D150" s="26" t="s">
        <v>59</v>
      </c>
      <c r="E150" s="27">
        <v>0</v>
      </c>
      <c r="F150" s="27">
        <v>0</v>
      </c>
      <c r="G150" s="27">
        <v>0</v>
      </c>
      <c r="H150" s="27">
        <v>0</v>
      </c>
      <c r="I150" s="27">
        <v>0</v>
      </c>
      <c r="J150" s="27">
        <v>0</v>
      </c>
      <c r="K150" s="28">
        <v>0</v>
      </c>
    </row>
    <row r="151" spans="1:11" ht="19.5" customHeight="1" x14ac:dyDescent="0.3">
      <c r="A151" s="5">
        <v>12</v>
      </c>
      <c r="B151" s="33" t="s">
        <v>15</v>
      </c>
      <c r="C151" s="34" t="s">
        <v>56</v>
      </c>
      <c r="D151" s="35" t="s">
        <v>55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36">
        <v>0</v>
      </c>
    </row>
    <row r="152" spans="1:11" ht="19.5" customHeight="1" x14ac:dyDescent="0.3">
      <c r="A152" s="24">
        <v>12</v>
      </c>
      <c r="B152" s="4" t="s">
        <v>15</v>
      </c>
      <c r="C152" s="25" t="s">
        <v>60</v>
      </c>
      <c r="D152" s="26" t="s">
        <v>57</v>
      </c>
      <c r="E152" s="27">
        <v>0</v>
      </c>
      <c r="F152" s="27">
        <v>0</v>
      </c>
      <c r="G152" s="27">
        <v>0</v>
      </c>
      <c r="H152" s="27">
        <v>0</v>
      </c>
      <c r="I152" s="27">
        <v>0</v>
      </c>
      <c r="J152" s="27">
        <v>0</v>
      </c>
      <c r="K152" s="28">
        <v>0</v>
      </c>
    </row>
    <row r="153" spans="1:11" ht="19.5" customHeight="1" x14ac:dyDescent="0.3">
      <c r="A153" s="29">
        <v>12</v>
      </c>
      <c r="B153" s="8" t="s">
        <v>15</v>
      </c>
      <c r="C153" s="30" t="s">
        <v>60</v>
      </c>
      <c r="D153" s="31" t="s">
        <v>58</v>
      </c>
      <c r="E153" s="32">
        <v>0</v>
      </c>
      <c r="F153" s="32">
        <v>0</v>
      </c>
      <c r="G153" s="32">
        <v>0</v>
      </c>
      <c r="H153" s="32">
        <v>0</v>
      </c>
      <c r="I153" s="32">
        <v>0</v>
      </c>
      <c r="J153" s="32">
        <v>0</v>
      </c>
      <c r="K153" s="28">
        <v>0</v>
      </c>
    </row>
    <row r="154" spans="1:11" ht="19.5" customHeight="1" x14ac:dyDescent="0.3">
      <c r="A154" s="24">
        <v>12</v>
      </c>
      <c r="B154" s="4" t="s">
        <v>15</v>
      </c>
      <c r="C154" s="25" t="s">
        <v>60</v>
      </c>
      <c r="D154" s="26" t="s">
        <v>59</v>
      </c>
      <c r="E154" s="27">
        <v>0</v>
      </c>
      <c r="F154" s="27">
        <v>0</v>
      </c>
      <c r="G154" s="27">
        <v>0</v>
      </c>
      <c r="H154" s="27">
        <v>0</v>
      </c>
      <c r="I154" s="27">
        <v>0</v>
      </c>
      <c r="J154" s="27">
        <v>0</v>
      </c>
      <c r="K154" s="28">
        <v>0</v>
      </c>
    </row>
    <row r="155" spans="1:11" ht="19.5" customHeight="1" x14ac:dyDescent="0.3">
      <c r="A155" s="5">
        <v>12</v>
      </c>
      <c r="B155" s="33" t="s">
        <v>15</v>
      </c>
      <c r="C155" s="34" t="s">
        <v>60</v>
      </c>
      <c r="D155" s="35" t="s">
        <v>55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36">
        <v>0</v>
      </c>
    </row>
    <row r="156" spans="1:11" ht="19.5" customHeight="1" x14ac:dyDescent="0.3">
      <c r="A156" s="24">
        <v>12</v>
      </c>
      <c r="B156" s="4" t="s">
        <v>15</v>
      </c>
      <c r="C156" s="25" t="s">
        <v>61</v>
      </c>
      <c r="D156" s="26" t="s">
        <v>62</v>
      </c>
      <c r="E156" s="27">
        <v>0</v>
      </c>
      <c r="F156" s="27">
        <v>0</v>
      </c>
      <c r="G156" s="27">
        <v>0</v>
      </c>
      <c r="H156" s="27">
        <v>0</v>
      </c>
      <c r="I156" s="27">
        <v>0</v>
      </c>
      <c r="J156" s="27">
        <v>0</v>
      </c>
      <c r="K156" s="28">
        <v>0</v>
      </c>
    </row>
    <row r="157" spans="1:11" ht="19.5" customHeight="1" x14ac:dyDescent="0.3">
      <c r="A157" s="37">
        <v>12</v>
      </c>
      <c r="B157" s="38" t="s">
        <v>15</v>
      </c>
      <c r="C157" s="39" t="s">
        <v>61</v>
      </c>
      <c r="D157" s="40" t="s">
        <v>63</v>
      </c>
      <c r="E157" s="37">
        <v>0</v>
      </c>
      <c r="F157" s="37">
        <v>0</v>
      </c>
      <c r="G157" s="37">
        <v>0</v>
      </c>
      <c r="H157" s="37">
        <v>0</v>
      </c>
      <c r="I157" s="37">
        <v>0</v>
      </c>
      <c r="J157" s="37">
        <v>0</v>
      </c>
      <c r="K157" s="14">
        <v>0</v>
      </c>
    </row>
    <row r="158" spans="1:11" ht="19.5" customHeight="1" x14ac:dyDescent="0.3">
      <c r="A158" s="24">
        <v>12</v>
      </c>
      <c r="B158" s="4" t="s">
        <v>15</v>
      </c>
      <c r="C158" s="25" t="s">
        <v>61</v>
      </c>
      <c r="D158" s="26" t="s">
        <v>64</v>
      </c>
      <c r="E158" s="27">
        <v>0</v>
      </c>
      <c r="F158" s="27">
        <v>0</v>
      </c>
      <c r="G158" s="27">
        <v>0</v>
      </c>
      <c r="H158" s="27">
        <v>0</v>
      </c>
      <c r="I158" s="27">
        <v>0</v>
      </c>
      <c r="J158" s="27">
        <v>0</v>
      </c>
      <c r="K158" s="28">
        <v>0</v>
      </c>
    </row>
    <row r="159" spans="1:11" ht="19.5" customHeight="1" x14ac:dyDescent="0.3">
      <c r="A159" s="37">
        <v>12</v>
      </c>
      <c r="B159" s="38" t="s">
        <v>15</v>
      </c>
      <c r="C159" s="39" t="s">
        <v>61</v>
      </c>
      <c r="D159" s="40" t="s">
        <v>65</v>
      </c>
      <c r="E159" s="37">
        <v>0</v>
      </c>
      <c r="F159" s="37">
        <v>0</v>
      </c>
      <c r="G159" s="37">
        <v>0</v>
      </c>
      <c r="H159" s="37">
        <v>0</v>
      </c>
      <c r="I159" s="37">
        <v>0</v>
      </c>
      <c r="J159" s="37">
        <v>0</v>
      </c>
      <c r="K159" s="14">
        <v>0</v>
      </c>
    </row>
    <row r="160" spans="1:11" ht="19.5" customHeight="1" x14ac:dyDescent="0.3">
      <c r="A160" s="24">
        <v>12</v>
      </c>
      <c r="B160" s="4" t="s">
        <v>15</v>
      </c>
      <c r="C160" s="25" t="s">
        <v>61</v>
      </c>
      <c r="D160" s="26" t="s">
        <v>66</v>
      </c>
      <c r="E160" s="27">
        <v>0</v>
      </c>
      <c r="F160" s="27">
        <v>0</v>
      </c>
      <c r="G160" s="27">
        <v>0</v>
      </c>
      <c r="H160" s="27">
        <v>0</v>
      </c>
      <c r="I160" s="27">
        <v>0</v>
      </c>
      <c r="J160" s="27">
        <v>0</v>
      </c>
      <c r="K160" s="28">
        <v>0</v>
      </c>
    </row>
    <row r="161" spans="1:11" ht="19.5" customHeight="1" x14ac:dyDescent="0.3">
      <c r="A161" s="37">
        <v>12</v>
      </c>
      <c r="B161" s="38" t="s">
        <v>15</v>
      </c>
      <c r="C161" s="39" t="s">
        <v>61</v>
      </c>
      <c r="D161" s="40" t="s">
        <v>67</v>
      </c>
      <c r="E161" s="37">
        <v>0</v>
      </c>
      <c r="F161" s="37">
        <v>0</v>
      </c>
      <c r="G161" s="37">
        <v>0</v>
      </c>
      <c r="H161" s="37">
        <v>0</v>
      </c>
      <c r="I161" s="37">
        <v>0</v>
      </c>
      <c r="J161" s="37">
        <v>0</v>
      </c>
      <c r="K161" s="14">
        <v>0</v>
      </c>
    </row>
    <row r="162" spans="1:11" ht="19.5" customHeight="1" x14ac:dyDescent="0.3">
      <c r="A162" s="5">
        <v>12</v>
      </c>
      <c r="B162" s="33" t="s">
        <v>15</v>
      </c>
      <c r="C162" s="34" t="s">
        <v>61</v>
      </c>
      <c r="D162" s="35" t="s">
        <v>55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36">
        <v>0</v>
      </c>
    </row>
    <row r="163" spans="1:11" ht="19.5" customHeight="1" x14ac:dyDescent="0.3">
      <c r="A163" s="14">
        <v>12</v>
      </c>
      <c r="B163" s="41" t="s">
        <v>15</v>
      </c>
      <c r="C163" s="42" t="s">
        <v>61</v>
      </c>
      <c r="D163" s="43" t="s">
        <v>68</v>
      </c>
      <c r="E163" s="14">
        <v>0</v>
      </c>
      <c r="F163" s="14">
        <v>0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</row>
    <row r="164" spans="1:11" ht="19.5" customHeight="1" x14ac:dyDescent="0.3">
      <c r="A164" s="5">
        <v>12</v>
      </c>
      <c r="B164" s="33" t="s">
        <v>15</v>
      </c>
      <c r="C164" s="34" t="s">
        <v>69</v>
      </c>
      <c r="D164" s="35" t="s">
        <v>55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36">
        <v>0</v>
      </c>
    </row>
    <row r="165" spans="1:11" ht="3.75" customHeight="1" x14ac:dyDescent="0.3">
      <c r="A165" s="44"/>
      <c r="B165" s="45"/>
      <c r="C165" s="46"/>
      <c r="D165" s="47"/>
      <c r="E165" s="44"/>
      <c r="F165" s="44"/>
      <c r="G165" s="44"/>
      <c r="H165" s="44"/>
      <c r="I165" s="44"/>
      <c r="J165" s="44"/>
      <c r="K165" s="48"/>
    </row>
    <row r="166" spans="1:11" ht="19.5" customHeight="1" x14ac:dyDescent="0.3">
      <c r="A166" s="24">
        <v>13</v>
      </c>
      <c r="B166" s="4" t="s">
        <v>16</v>
      </c>
      <c r="C166" s="25" t="s">
        <v>56</v>
      </c>
      <c r="D166" s="26" t="s">
        <v>57</v>
      </c>
      <c r="E166" s="27">
        <v>0</v>
      </c>
      <c r="F166" s="27">
        <v>0</v>
      </c>
      <c r="G166" s="27">
        <v>0</v>
      </c>
      <c r="H166" s="27">
        <v>0</v>
      </c>
      <c r="I166" s="27">
        <v>0</v>
      </c>
      <c r="J166" s="27">
        <v>0</v>
      </c>
      <c r="K166" s="28">
        <v>0</v>
      </c>
    </row>
    <row r="167" spans="1:11" ht="19.5" customHeight="1" x14ac:dyDescent="0.3">
      <c r="A167" s="29">
        <v>13</v>
      </c>
      <c r="B167" s="8" t="s">
        <v>16</v>
      </c>
      <c r="C167" s="30" t="s">
        <v>56</v>
      </c>
      <c r="D167" s="31" t="s">
        <v>58</v>
      </c>
      <c r="E167" s="32">
        <v>0</v>
      </c>
      <c r="F167" s="32">
        <v>0</v>
      </c>
      <c r="G167" s="32">
        <v>0</v>
      </c>
      <c r="H167" s="32">
        <v>0</v>
      </c>
      <c r="I167" s="32">
        <v>0</v>
      </c>
      <c r="J167" s="32">
        <v>0</v>
      </c>
      <c r="K167" s="28">
        <v>0</v>
      </c>
    </row>
    <row r="168" spans="1:11" ht="19.5" customHeight="1" x14ac:dyDescent="0.3">
      <c r="A168" s="24">
        <v>13</v>
      </c>
      <c r="B168" s="4" t="s">
        <v>16</v>
      </c>
      <c r="C168" s="25" t="s">
        <v>56</v>
      </c>
      <c r="D168" s="26" t="s">
        <v>59</v>
      </c>
      <c r="E168" s="27">
        <v>0</v>
      </c>
      <c r="F168" s="27">
        <v>0</v>
      </c>
      <c r="G168" s="27">
        <v>0</v>
      </c>
      <c r="H168" s="27">
        <v>0</v>
      </c>
      <c r="I168" s="27">
        <v>0</v>
      </c>
      <c r="J168" s="27">
        <v>0</v>
      </c>
      <c r="K168" s="28">
        <v>0</v>
      </c>
    </row>
    <row r="169" spans="1:11" ht="19.5" customHeight="1" x14ac:dyDescent="0.3">
      <c r="A169" s="5">
        <v>13</v>
      </c>
      <c r="B169" s="33" t="s">
        <v>16</v>
      </c>
      <c r="C169" s="34" t="s">
        <v>56</v>
      </c>
      <c r="D169" s="35" t="s">
        <v>55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36">
        <v>0</v>
      </c>
    </row>
    <row r="170" spans="1:11" ht="19.5" customHeight="1" x14ac:dyDescent="0.3">
      <c r="A170" s="24">
        <v>13</v>
      </c>
      <c r="B170" s="4" t="s">
        <v>16</v>
      </c>
      <c r="C170" s="25" t="s">
        <v>60</v>
      </c>
      <c r="D170" s="26" t="s">
        <v>57</v>
      </c>
      <c r="E170" s="27">
        <v>0</v>
      </c>
      <c r="F170" s="27">
        <v>0</v>
      </c>
      <c r="G170" s="27">
        <v>0</v>
      </c>
      <c r="H170" s="27">
        <v>0</v>
      </c>
      <c r="I170" s="27">
        <v>0</v>
      </c>
      <c r="J170" s="27">
        <v>0</v>
      </c>
      <c r="K170" s="28">
        <v>0</v>
      </c>
    </row>
    <row r="171" spans="1:11" ht="19.5" customHeight="1" x14ac:dyDescent="0.3">
      <c r="A171" s="29">
        <v>13</v>
      </c>
      <c r="B171" s="8" t="s">
        <v>16</v>
      </c>
      <c r="C171" s="30" t="s">
        <v>60</v>
      </c>
      <c r="D171" s="31" t="s">
        <v>58</v>
      </c>
      <c r="E171" s="32">
        <v>0</v>
      </c>
      <c r="F171" s="32">
        <v>0</v>
      </c>
      <c r="G171" s="32">
        <v>0</v>
      </c>
      <c r="H171" s="32">
        <v>0</v>
      </c>
      <c r="I171" s="32">
        <v>0</v>
      </c>
      <c r="J171" s="32">
        <v>0</v>
      </c>
      <c r="K171" s="28">
        <v>0</v>
      </c>
    </row>
    <row r="172" spans="1:11" ht="19.5" customHeight="1" x14ac:dyDescent="0.3">
      <c r="A172" s="24">
        <v>13</v>
      </c>
      <c r="B172" s="4" t="s">
        <v>16</v>
      </c>
      <c r="C172" s="25" t="s">
        <v>60</v>
      </c>
      <c r="D172" s="26" t="s">
        <v>59</v>
      </c>
      <c r="E172" s="27">
        <v>0</v>
      </c>
      <c r="F172" s="27">
        <v>0</v>
      </c>
      <c r="G172" s="27">
        <v>0</v>
      </c>
      <c r="H172" s="27">
        <v>0</v>
      </c>
      <c r="I172" s="27">
        <v>0</v>
      </c>
      <c r="J172" s="27">
        <v>0</v>
      </c>
      <c r="K172" s="28">
        <v>0</v>
      </c>
    </row>
    <row r="173" spans="1:11" ht="19.5" customHeight="1" x14ac:dyDescent="0.3">
      <c r="A173" s="5">
        <v>13</v>
      </c>
      <c r="B173" s="33" t="s">
        <v>16</v>
      </c>
      <c r="C173" s="34" t="s">
        <v>60</v>
      </c>
      <c r="D173" s="35" t="s">
        <v>55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36">
        <v>0</v>
      </c>
    </row>
    <row r="174" spans="1:11" ht="19.5" customHeight="1" x14ac:dyDescent="0.3">
      <c r="A174" s="24">
        <v>13</v>
      </c>
      <c r="B174" s="4" t="s">
        <v>16</v>
      </c>
      <c r="C174" s="25" t="s">
        <v>61</v>
      </c>
      <c r="D174" s="26" t="s">
        <v>62</v>
      </c>
      <c r="E174" s="27">
        <v>0</v>
      </c>
      <c r="F174" s="27">
        <v>0</v>
      </c>
      <c r="G174" s="27">
        <v>0</v>
      </c>
      <c r="H174" s="27">
        <v>0</v>
      </c>
      <c r="I174" s="27">
        <v>0</v>
      </c>
      <c r="J174" s="27">
        <v>0</v>
      </c>
      <c r="K174" s="28">
        <v>0</v>
      </c>
    </row>
    <row r="175" spans="1:11" ht="19.5" customHeight="1" x14ac:dyDescent="0.3">
      <c r="A175" s="37">
        <v>13</v>
      </c>
      <c r="B175" s="38" t="s">
        <v>16</v>
      </c>
      <c r="C175" s="39" t="s">
        <v>61</v>
      </c>
      <c r="D175" s="40" t="s">
        <v>63</v>
      </c>
      <c r="E175" s="37">
        <v>0</v>
      </c>
      <c r="F175" s="37">
        <v>0</v>
      </c>
      <c r="G175" s="37">
        <v>0</v>
      </c>
      <c r="H175" s="37">
        <v>0</v>
      </c>
      <c r="I175" s="37">
        <v>0</v>
      </c>
      <c r="J175" s="37">
        <v>0</v>
      </c>
      <c r="K175" s="14">
        <v>0</v>
      </c>
    </row>
    <row r="176" spans="1:11" ht="19.5" customHeight="1" x14ac:dyDescent="0.3">
      <c r="A176" s="24">
        <v>13</v>
      </c>
      <c r="B176" s="4" t="s">
        <v>16</v>
      </c>
      <c r="C176" s="25" t="s">
        <v>61</v>
      </c>
      <c r="D176" s="26" t="s">
        <v>64</v>
      </c>
      <c r="E176" s="27">
        <v>0</v>
      </c>
      <c r="F176" s="27">
        <v>0</v>
      </c>
      <c r="G176" s="27">
        <v>0</v>
      </c>
      <c r="H176" s="27">
        <v>0</v>
      </c>
      <c r="I176" s="27">
        <v>0</v>
      </c>
      <c r="J176" s="27">
        <v>0</v>
      </c>
      <c r="K176" s="28">
        <v>0</v>
      </c>
    </row>
    <row r="177" spans="1:11" ht="19.5" customHeight="1" x14ac:dyDescent="0.3">
      <c r="A177" s="37">
        <v>13</v>
      </c>
      <c r="B177" s="38" t="s">
        <v>16</v>
      </c>
      <c r="C177" s="39" t="s">
        <v>61</v>
      </c>
      <c r="D177" s="40" t="s">
        <v>65</v>
      </c>
      <c r="E177" s="37">
        <v>0</v>
      </c>
      <c r="F177" s="37">
        <v>0</v>
      </c>
      <c r="G177" s="37">
        <v>0</v>
      </c>
      <c r="H177" s="37">
        <v>0</v>
      </c>
      <c r="I177" s="37">
        <v>0</v>
      </c>
      <c r="J177" s="37">
        <v>0</v>
      </c>
      <c r="K177" s="14">
        <v>0</v>
      </c>
    </row>
    <row r="178" spans="1:11" ht="19.5" customHeight="1" x14ac:dyDescent="0.3">
      <c r="A178" s="24">
        <v>13</v>
      </c>
      <c r="B178" s="4" t="s">
        <v>16</v>
      </c>
      <c r="C178" s="25" t="s">
        <v>61</v>
      </c>
      <c r="D178" s="26" t="s">
        <v>66</v>
      </c>
      <c r="E178" s="27">
        <v>0</v>
      </c>
      <c r="F178" s="27">
        <v>0</v>
      </c>
      <c r="G178" s="27">
        <v>0</v>
      </c>
      <c r="H178" s="27">
        <v>0</v>
      </c>
      <c r="I178" s="27">
        <v>0</v>
      </c>
      <c r="J178" s="27">
        <v>0</v>
      </c>
      <c r="K178" s="28">
        <v>0</v>
      </c>
    </row>
    <row r="179" spans="1:11" ht="19.5" customHeight="1" x14ac:dyDescent="0.3">
      <c r="A179" s="37">
        <v>13</v>
      </c>
      <c r="B179" s="38" t="s">
        <v>16</v>
      </c>
      <c r="C179" s="39" t="s">
        <v>61</v>
      </c>
      <c r="D179" s="40" t="s">
        <v>67</v>
      </c>
      <c r="E179" s="37">
        <v>0</v>
      </c>
      <c r="F179" s="37">
        <v>0</v>
      </c>
      <c r="G179" s="37">
        <v>0</v>
      </c>
      <c r="H179" s="37">
        <v>0</v>
      </c>
      <c r="I179" s="37">
        <v>0</v>
      </c>
      <c r="J179" s="37">
        <v>0</v>
      </c>
      <c r="K179" s="14">
        <v>0</v>
      </c>
    </row>
    <row r="180" spans="1:11" ht="19.5" customHeight="1" x14ac:dyDescent="0.3">
      <c r="A180" s="5">
        <v>13</v>
      </c>
      <c r="B180" s="33" t="s">
        <v>16</v>
      </c>
      <c r="C180" s="34" t="s">
        <v>61</v>
      </c>
      <c r="D180" s="35" t="s">
        <v>55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36">
        <v>0</v>
      </c>
    </row>
    <row r="181" spans="1:11" ht="19.5" customHeight="1" x14ac:dyDescent="0.3">
      <c r="A181" s="14">
        <v>13</v>
      </c>
      <c r="B181" s="41" t="s">
        <v>16</v>
      </c>
      <c r="C181" s="42" t="s">
        <v>61</v>
      </c>
      <c r="D181" s="43" t="s">
        <v>68</v>
      </c>
      <c r="E181" s="14">
        <v>0</v>
      </c>
      <c r="F181" s="14">
        <v>0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</row>
    <row r="182" spans="1:11" ht="19.5" customHeight="1" x14ac:dyDescent="0.3">
      <c r="A182" s="5">
        <v>13</v>
      </c>
      <c r="B182" s="33" t="s">
        <v>16</v>
      </c>
      <c r="C182" s="34" t="s">
        <v>69</v>
      </c>
      <c r="D182" s="35" t="s">
        <v>55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36">
        <v>0</v>
      </c>
    </row>
    <row r="183" spans="1:11" ht="3.75" customHeight="1" x14ac:dyDescent="0.3">
      <c r="A183" s="44"/>
      <c r="B183" s="45"/>
      <c r="C183" s="46"/>
      <c r="D183" s="47"/>
      <c r="E183" s="44"/>
      <c r="F183" s="44"/>
      <c r="G183" s="44"/>
      <c r="H183" s="44"/>
      <c r="I183" s="44"/>
      <c r="J183" s="44"/>
      <c r="K183" s="48"/>
    </row>
    <row r="184" spans="1:11" ht="19.5" customHeight="1" x14ac:dyDescent="0.3">
      <c r="A184" s="24">
        <v>14</v>
      </c>
      <c r="B184" s="4" t="s">
        <v>17</v>
      </c>
      <c r="C184" s="25" t="s">
        <v>56</v>
      </c>
      <c r="D184" s="26" t="s">
        <v>57</v>
      </c>
      <c r="E184" s="27">
        <v>0</v>
      </c>
      <c r="F184" s="27">
        <v>0</v>
      </c>
      <c r="G184" s="27">
        <v>0</v>
      </c>
      <c r="H184" s="27">
        <v>0</v>
      </c>
      <c r="I184" s="27">
        <v>0</v>
      </c>
      <c r="J184" s="27">
        <v>0</v>
      </c>
      <c r="K184" s="28">
        <v>0</v>
      </c>
    </row>
    <row r="185" spans="1:11" ht="19.5" customHeight="1" x14ac:dyDescent="0.3">
      <c r="A185" s="29">
        <v>14</v>
      </c>
      <c r="B185" s="8" t="s">
        <v>17</v>
      </c>
      <c r="C185" s="30" t="s">
        <v>56</v>
      </c>
      <c r="D185" s="31" t="s">
        <v>58</v>
      </c>
      <c r="E185" s="32">
        <v>0</v>
      </c>
      <c r="F185" s="32">
        <v>0</v>
      </c>
      <c r="G185" s="32">
        <v>0</v>
      </c>
      <c r="H185" s="32">
        <v>0</v>
      </c>
      <c r="I185" s="32">
        <v>0</v>
      </c>
      <c r="J185" s="32">
        <v>0</v>
      </c>
      <c r="K185" s="28">
        <v>0</v>
      </c>
    </row>
    <row r="186" spans="1:11" ht="19.5" customHeight="1" x14ac:dyDescent="0.3">
      <c r="A186" s="24">
        <v>14</v>
      </c>
      <c r="B186" s="4" t="s">
        <v>17</v>
      </c>
      <c r="C186" s="25" t="s">
        <v>56</v>
      </c>
      <c r="D186" s="26" t="s">
        <v>59</v>
      </c>
      <c r="E186" s="27">
        <v>0</v>
      </c>
      <c r="F186" s="27">
        <v>0</v>
      </c>
      <c r="G186" s="27">
        <v>0</v>
      </c>
      <c r="H186" s="27">
        <v>0</v>
      </c>
      <c r="I186" s="27">
        <v>0</v>
      </c>
      <c r="J186" s="27">
        <v>0</v>
      </c>
      <c r="K186" s="28">
        <v>0</v>
      </c>
    </row>
    <row r="187" spans="1:11" ht="19.5" customHeight="1" x14ac:dyDescent="0.3">
      <c r="A187" s="5">
        <v>14</v>
      </c>
      <c r="B187" s="33" t="s">
        <v>17</v>
      </c>
      <c r="C187" s="34" t="s">
        <v>56</v>
      </c>
      <c r="D187" s="35" t="s">
        <v>55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36">
        <v>0</v>
      </c>
    </row>
    <row r="188" spans="1:11" ht="19.5" customHeight="1" x14ac:dyDescent="0.3">
      <c r="A188" s="24">
        <v>14</v>
      </c>
      <c r="B188" s="4" t="s">
        <v>17</v>
      </c>
      <c r="C188" s="25" t="s">
        <v>60</v>
      </c>
      <c r="D188" s="26" t="s">
        <v>57</v>
      </c>
      <c r="E188" s="27">
        <v>0</v>
      </c>
      <c r="F188" s="27">
        <v>0</v>
      </c>
      <c r="G188" s="27">
        <v>0</v>
      </c>
      <c r="H188" s="27">
        <v>0</v>
      </c>
      <c r="I188" s="27">
        <v>0</v>
      </c>
      <c r="J188" s="27">
        <v>0</v>
      </c>
      <c r="K188" s="28">
        <v>0</v>
      </c>
    </row>
    <row r="189" spans="1:11" ht="19.5" customHeight="1" x14ac:dyDescent="0.3">
      <c r="A189" s="29">
        <v>14</v>
      </c>
      <c r="B189" s="8" t="s">
        <v>17</v>
      </c>
      <c r="C189" s="30" t="s">
        <v>60</v>
      </c>
      <c r="D189" s="31" t="s">
        <v>58</v>
      </c>
      <c r="E189" s="32">
        <v>0</v>
      </c>
      <c r="F189" s="32">
        <v>0</v>
      </c>
      <c r="G189" s="32">
        <v>0</v>
      </c>
      <c r="H189" s="32">
        <v>0</v>
      </c>
      <c r="I189" s="32">
        <v>0</v>
      </c>
      <c r="J189" s="32">
        <v>0</v>
      </c>
      <c r="K189" s="28">
        <v>0</v>
      </c>
    </row>
    <row r="190" spans="1:11" ht="19.5" customHeight="1" x14ac:dyDescent="0.3">
      <c r="A190" s="24">
        <v>14</v>
      </c>
      <c r="B190" s="4" t="s">
        <v>17</v>
      </c>
      <c r="C190" s="25" t="s">
        <v>60</v>
      </c>
      <c r="D190" s="26" t="s">
        <v>59</v>
      </c>
      <c r="E190" s="27">
        <v>0</v>
      </c>
      <c r="F190" s="27">
        <v>0</v>
      </c>
      <c r="G190" s="27">
        <v>0</v>
      </c>
      <c r="H190" s="27">
        <v>0</v>
      </c>
      <c r="I190" s="27">
        <v>0</v>
      </c>
      <c r="J190" s="27">
        <v>0</v>
      </c>
      <c r="K190" s="28">
        <v>0</v>
      </c>
    </row>
    <row r="191" spans="1:11" ht="19.5" customHeight="1" x14ac:dyDescent="0.3">
      <c r="A191" s="5">
        <v>14</v>
      </c>
      <c r="B191" s="33" t="s">
        <v>17</v>
      </c>
      <c r="C191" s="34" t="s">
        <v>60</v>
      </c>
      <c r="D191" s="35" t="s">
        <v>55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36">
        <v>0</v>
      </c>
    </row>
    <row r="192" spans="1:11" ht="19.5" customHeight="1" x14ac:dyDescent="0.3">
      <c r="A192" s="24">
        <v>14</v>
      </c>
      <c r="B192" s="4" t="s">
        <v>17</v>
      </c>
      <c r="C192" s="25" t="s">
        <v>61</v>
      </c>
      <c r="D192" s="26" t="s">
        <v>62</v>
      </c>
      <c r="E192" s="27">
        <v>0</v>
      </c>
      <c r="F192" s="27">
        <v>0</v>
      </c>
      <c r="G192" s="27">
        <v>0</v>
      </c>
      <c r="H192" s="27">
        <v>0</v>
      </c>
      <c r="I192" s="27">
        <v>0</v>
      </c>
      <c r="J192" s="27">
        <v>0</v>
      </c>
      <c r="K192" s="28">
        <v>0</v>
      </c>
    </row>
    <row r="193" spans="1:11" ht="19.5" customHeight="1" x14ac:dyDescent="0.3">
      <c r="A193" s="37">
        <v>14</v>
      </c>
      <c r="B193" s="38" t="s">
        <v>17</v>
      </c>
      <c r="C193" s="39" t="s">
        <v>61</v>
      </c>
      <c r="D193" s="40" t="s">
        <v>63</v>
      </c>
      <c r="E193" s="37">
        <v>0</v>
      </c>
      <c r="F193" s="37">
        <v>0</v>
      </c>
      <c r="G193" s="37">
        <v>0</v>
      </c>
      <c r="H193" s="37">
        <v>0</v>
      </c>
      <c r="I193" s="37">
        <v>0</v>
      </c>
      <c r="J193" s="37">
        <v>0</v>
      </c>
      <c r="K193" s="14">
        <v>0</v>
      </c>
    </row>
    <row r="194" spans="1:11" ht="19.5" customHeight="1" x14ac:dyDescent="0.3">
      <c r="A194" s="24">
        <v>14</v>
      </c>
      <c r="B194" s="4" t="s">
        <v>17</v>
      </c>
      <c r="C194" s="25" t="s">
        <v>61</v>
      </c>
      <c r="D194" s="26" t="s">
        <v>64</v>
      </c>
      <c r="E194" s="27">
        <v>0</v>
      </c>
      <c r="F194" s="27">
        <v>0</v>
      </c>
      <c r="G194" s="27">
        <v>0</v>
      </c>
      <c r="H194" s="27">
        <v>0</v>
      </c>
      <c r="I194" s="27">
        <v>0</v>
      </c>
      <c r="J194" s="27">
        <v>0</v>
      </c>
      <c r="K194" s="28">
        <v>0</v>
      </c>
    </row>
    <row r="195" spans="1:11" ht="19.5" customHeight="1" x14ac:dyDescent="0.3">
      <c r="A195" s="37">
        <v>14</v>
      </c>
      <c r="B195" s="38" t="s">
        <v>17</v>
      </c>
      <c r="C195" s="39" t="s">
        <v>61</v>
      </c>
      <c r="D195" s="40" t="s">
        <v>65</v>
      </c>
      <c r="E195" s="37">
        <v>0</v>
      </c>
      <c r="F195" s="37">
        <v>0</v>
      </c>
      <c r="G195" s="37">
        <v>0</v>
      </c>
      <c r="H195" s="37">
        <v>0</v>
      </c>
      <c r="I195" s="37">
        <v>0</v>
      </c>
      <c r="J195" s="37">
        <v>0</v>
      </c>
      <c r="K195" s="14">
        <v>0</v>
      </c>
    </row>
    <row r="196" spans="1:11" ht="19.5" customHeight="1" x14ac:dyDescent="0.3">
      <c r="A196" s="24">
        <v>14</v>
      </c>
      <c r="B196" s="4" t="s">
        <v>17</v>
      </c>
      <c r="C196" s="25" t="s">
        <v>61</v>
      </c>
      <c r="D196" s="26" t="s">
        <v>66</v>
      </c>
      <c r="E196" s="27">
        <v>0</v>
      </c>
      <c r="F196" s="27">
        <v>0</v>
      </c>
      <c r="G196" s="27">
        <v>0</v>
      </c>
      <c r="H196" s="27">
        <v>0</v>
      </c>
      <c r="I196" s="27">
        <v>0</v>
      </c>
      <c r="J196" s="27">
        <v>0</v>
      </c>
      <c r="K196" s="28">
        <v>0</v>
      </c>
    </row>
    <row r="197" spans="1:11" ht="19.5" customHeight="1" x14ac:dyDescent="0.3">
      <c r="A197" s="37">
        <v>14</v>
      </c>
      <c r="B197" s="38" t="s">
        <v>17</v>
      </c>
      <c r="C197" s="39" t="s">
        <v>61</v>
      </c>
      <c r="D197" s="40" t="s">
        <v>67</v>
      </c>
      <c r="E197" s="37">
        <v>0</v>
      </c>
      <c r="F197" s="37">
        <v>0</v>
      </c>
      <c r="G197" s="37">
        <v>0</v>
      </c>
      <c r="H197" s="37">
        <v>0</v>
      </c>
      <c r="I197" s="37">
        <v>0</v>
      </c>
      <c r="J197" s="37">
        <v>0</v>
      </c>
      <c r="K197" s="14">
        <v>0</v>
      </c>
    </row>
    <row r="198" spans="1:11" ht="19.5" customHeight="1" x14ac:dyDescent="0.3">
      <c r="A198" s="5">
        <v>14</v>
      </c>
      <c r="B198" s="33" t="s">
        <v>17</v>
      </c>
      <c r="C198" s="34" t="s">
        <v>61</v>
      </c>
      <c r="D198" s="35" t="s">
        <v>55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36">
        <v>0</v>
      </c>
    </row>
    <row r="199" spans="1:11" ht="19.5" customHeight="1" x14ac:dyDescent="0.3">
      <c r="A199" s="14">
        <v>14</v>
      </c>
      <c r="B199" s="41" t="s">
        <v>17</v>
      </c>
      <c r="C199" s="42" t="s">
        <v>61</v>
      </c>
      <c r="D199" s="43" t="s">
        <v>68</v>
      </c>
      <c r="E199" s="14">
        <v>0</v>
      </c>
      <c r="F199" s="14">
        <v>0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</row>
    <row r="200" spans="1:11" ht="19.5" customHeight="1" x14ac:dyDescent="0.3">
      <c r="A200" s="5">
        <v>14</v>
      </c>
      <c r="B200" s="33" t="s">
        <v>17</v>
      </c>
      <c r="C200" s="34" t="s">
        <v>69</v>
      </c>
      <c r="D200" s="35" t="s">
        <v>55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36">
        <v>0</v>
      </c>
    </row>
    <row r="201" spans="1:11" ht="3.75" customHeight="1" x14ac:dyDescent="0.3">
      <c r="A201" s="48"/>
      <c r="B201" s="49"/>
      <c r="C201" s="50"/>
      <c r="D201" s="51"/>
      <c r="E201" s="52"/>
      <c r="F201" s="52"/>
      <c r="G201" s="52"/>
      <c r="H201" s="52"/>
      <c r="I201" s="52"/>
      <c r="J201" s="52"/>
      <c r="K201" s="48"/>
    </row>
    <row r="202" spans="1:11" ht="19.5" customHeight="1" x14ac:dyDescent="0.3">
      <c r="A202" s="24">
        <v>15</v>
      </c>
      <c r="B202" s="4" t="s">
        <v>18</v>
      </c>
      <c r="C202" s="25" t="s">
        <v>56</v>
      </c>
      <c r="D202" s="26" t="s">
        <v>57</v>
      </c>
      <c r="E202" s="27">
        <v>0</v>
      </c>
      <c r="F202" s="27">
        <v>0</v>
      </c>
      <c r="G202" s="27">
        <v>0</v>
      </c>
      <c r="H202" s="27">
        <v>0</v>
      </c>
      <c r="I202" s="27">
        <v>0</v>
      </c>
      <c r="J202" s="27">
        <v>0</v>
      </c>
      <c r="K202" s="28">
        <v>0</v>
      </c>
    </row>
    <row r="203" spans="1:11" ht="19.5" customHeight="1" x14ac:dyDescent="0.3">
      <c r="A203" s="29">
        <v>15</v>
      </c>
      <c r="B203" s="8" t="s">
        <v>18</v>
      </c>
      <c r="C203" s="30" t="s">
        <v>56</v>
      </c>
      <c r="D203" s="31" t="s">
        <v>58</v>
      </c>
      <c r="E203" s="32">
        <v>0</v>
      </c>
      <c r="F203" s="32">
        <v>0</v>
      </c>
      <c r="G203" s="32">
        <v>0</v>
      </c>
      <c r="H203" s="32">
        <v>0</v>
      </c>
      <c r="I203" s="32">
        <v>0</v>
      </c>
      <c r="J203" s="32">
        <v>0</v>
      </c>
      <c r="K203" s="28">
        <v>0</v>
      </c>
    </row>
    <row r="204" spans="1:11" ht="19.5" customHeight="1" x14ac:dyDescent="0.3">
      <c r="A204" s="24">
        <v>15</v>
      </c>
      <c r="B204" s="4" t="s">
        <v>18</v>
      </c>
      <c r="C204" s="25" t="s">
        <v>56</v>
      </c>
      <c r="D204" s="26" t="s">
        <v>59</v>
      </c>
      <c r="E204" s="27">
        <v>0</v>
      </c>
      <c r="F204" s="27">
        <v>0</v>
      </c>
      <c r="G204" s="27">
        <v>0</v>
      </c>
      <c r="H204" s="27">
        <v>0</v>
      </c>
      <c r="I204" s="27">
        <v>0</v>
      </c>
      <c r="J204" s="27">
        <v>0</v>
      </c>
      <c r="K204" s="28">
        <v>0</v>
      </c>
    </row>
    <row r="205" spans="1:11" ht="19.5" customHeight="1" x14ac:dyDescent="0.3">
      <c r="A205" s="5">
        <v>15</v>
      </c>
      <c r="B205" s="33" t="s">
        <v>18</v>
      </c>
      <c r="C205" s="34" t="s">
        <v>56</v>
      </c>
      <c r="D205" s="35" t="s">
        <v>55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36">
        <v>0</v>
      </c>
    </row>
    <row r="206" spans="1:11" ht="19.5" customHeight="1" x14ac:dyDescent="0.3">
      <c r="A206" s="24">
        <v>15</v>
      </c>
      <c r="B206" s="4" t="s">
        <v>18</v>
      </c>
      <c r="C206" s="25" t="s">
        <v>60</v>
      </c>
      <c r="D206" s="26" t="s">
        <v>57</v>
      </c>
      <c r="E206" s="27">
        <v>0</v>
      </c>
      <c r="F206" s="27">
        <v>0</v>
      </c>
      <c r="G206" s="27">
        <v>0</v>
      </c>
      <c r="H206" s="27">
        <v>0</v>
      </c>
      <c r="I206" s="27">
        <v>0</v>
      </c>
      <c r="J206" s="27">
        <v>0</v>
      </c>
      <c r="K206" s="28">
        <v>0</v>
      </c>
    </row>
    <row r="207" spans="1:11" ht="19.5" customHeight="1" x14ac:dyDescent="0.3">
      <c r="A207" s="29">
        <v>15</v>
      </c>
      <c r="B207" s="8" t="s">
        <v>18</v>
      </c>
      <c r="C207" s="30" t="s">
        <v>60</v>
      </c>
      <c r="D207" s="31" t="s">
        <v>58</v>
      </c>
      <c r="E207" s="32">
        <v>0</v>
      </c>
      <c r="F207" s="32">
        <v>0</v>
      </c>
      <c r="G207" s="32">
        <v>0</v>
      </c>
      <c r="H207" s="32">
        <v>0</v>
      </c>
      <c r="I207" s="32">
        <v>0</v>
      </c>
      <c r="J207" s="32">
        <v>0</v>
      </c>
      <c r="K207" s="28">
        <v>0</v>
      </c>
    </row>
    <row r="208" spans="1:11" ht="19.5" customHeight="1" x14ac:dyDescent="0.3">
      <c r="A208" s="24">
        <v>15</v>
      </c>
      <c r="B208" s="4" t="s">
        <v>18</v>
      </c>
      <c r="C208" s="25" t="s">
        <v>60</v>
      </c>
      <c r="D208" s="26" t="s">
        <v>59</v>
      </c>
      <c r="E208" s="27">
        <v>0</v>
      </c>
      <c r="F208" s="27">
        <v>0</v>
      </c>
      <c r="G208" s="27">
        <v>0</v>
      </c>
      <c r="H208" s="27">
        <v>0</v>
      </c>
      <c r="I208" s="27">
        <v>0</v>
      </c>
      <c r="J208" s="27">
        <v>0</v>
      </c>
      <c r="K208" s="28">
        <v>0</v>
      </c>
    </row>
    <row r="209" spans="1:11" ht="19.5" customHeight="1" x14ac:dyDescent="0.3">
      <c r="A209" s="5">
        <v>15</v>
      </c>
      <c r="B209" s="33" t="s">
        <v>18</v>
      </c>
      <c r="C209" s="34" t="s">
        <v>60</v>
      </c>
      <c r="D209" s="35" t="s">
        <v>55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36">
        <v>0</v>
      </c>
    </row>
    <row r="210" spans="1:11" ht="19.5" customHeight="1" x14ac:dyDescent="0.3">
      <c r="A210" s="24">
        <v>15</v>
      </c>
      <c r="B210" s="4" t="s">
        <v>18</v>
      </c>
      <c r="C210" s="25" t="s">
        <v>61</v>
      </c>
      <c r="D210" s="26" t="s">
        <v>62</v>
      </c>
      <c r="E210" s="27">
        <v>0</v>
      </c>
      <c r="F210" s="27">
        <v>0</v>
      </c>
      <c r="G210" s="27">
        <v>0</v>
      </c>
      <c r="H210" s="27">
        <v>0</v>
      </c>
      <c r="I210" s="27">
        <v>0</v>
      </c>
      <c r="J210" s="27">
        <v>0</v>
      </c>
      <c r="K210" s="28">
        <v>0</v>
      </c>
    </row>
    <row r="211" spans="1:11" ht="19.5" customHeight="1" x14ac:dyDescent="0.3">
      <c r="A211" s="37">
        <v>15</v>
      </c>
      <c r="B211" s="38" t="s">
        <v>18</v>
      </c>
      <c r="C211" s="39" t="s">
        <v>61</v>
      </c>
      <c r="D211" s="40" t="s">
        <v>63</v>
      </c>
      <c r="E211" s="37">
        <v>0</v>
      </c>
      <c r="F211" s="37">
        <v>0</v>
      </c>
      <c r="G211" s="37">
        <v>0</v>
      </c>
      <c r="H211" s="37">
        <v>0</v>
      </c>
      <c r="I211" s="37">
        <v>0</v>
      </c>
      <c r="J211" s="37">
        <v>0</v>
      </c>
      <c r="K211" s="14">
        <v>0</v>
      </c>
    </row>
    <row r="212" spans="1:11" ht="19.5" customHeight="1" x14ac:dyDescent="0.3">
      <c r="A212" s="24">
        <v>15</v>
      </c>
      <c r="B212" s="4" t="s">
        <v>18</v>
      </c>
      <c r="C212" s="25" t="s">
        <v>61</v>
      </c>
      <c r="D212" s="26" t="s">
        <v>64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8">
        <v>0</v>
      </c>
    </row>
    <row r="213" spans="1:11" ht="19.5" customHeight="1" x14ac:dyDescent="0.3">
      <c r="A213" s="37">
        <v>15</v>
      </c>
      <c r="B213" s="38" t="s">
        <v>18</v>
      </c>
      <c r="C213" s="39" t="s">
        <v>61</v>
      </c>
      <c r="D213" s="40" t="s">
        <v>65</v>
      </c>
      <c r="E213" s="37">
        <v>0</v>
      </c>
      <c r="F213" s="37">
        <v>0</v>
      </c>
      <c r="G213" s="37">
        <v>0</v>
      </c>
      <c r="H213" s="37">
        <v>0</v>
      </c>
      <c r="I213" s="37">
        <v>0</v>
      </c>
      <c r="J213" s="37">
        <v>0</v>
      </c>
      <c r="K213" s="14">
        <v>0</v>
      </c>
    </row>
    <row r="214" spans="1:11" ht="19.5" customHeight="1" x14ac:dyDescent="0.3">
      <c r="A214" s="24">
        <v>15</v>
      </c>
      <c r="B214" s="4" t="s">
        <v>18</v>
      </c>
      <c r="C214" s="25" t="s">
        <v>61</v>
      </c>
      <c r="D214" s="26" t="s">
        <v>66</v>
      </c>
      <c r="E214" s="27">
        <v>0</v>
      </c>
      <c r="F214" s="27">
        <v>0</v>
      </c>
      <c r="G214" s="27">
        <v>0</v>
      </c>
      <c r="H214" s="27">
        <v>0</v>
      </c>
      <c r="I214" s="27">
        <v>0</v>
      </c>
      <c r="J214" s="27">
        <v>0</v>
      </c>
      <c r="K214" s="28">
        <v>0</v>
      </c>
    </row>
    <row r="215" spans="1:11" ht="19.5" customHeight="1" x14ac:dyDescent="0.3">
      <c r="A215" s="37">
        <v>15</v>
      </c>
      <c r="B215" s="38" t="s">
        <v>18</v>
      </c>
      <c r="C215" s="39" t="s">
        <v>61</v>
      </c>
      <c r="D215" s="40" t="s">
        <v>67</v>
      </c>
      <c r="E215" s="37">
        <v>0</v>
      </c>
      <c r="F215" s="37">
        <v>0</v>
      </c>
      <c r="G215" s="37">
        <v>0</v>
      </c>
      <c r="H215" s="37">
        <v>0</v>
      </c>
      <c r="I215" s="37">
        <v>0</v>
      </c>
      <c r="J215" s="37">
        <v>0</v>
      </c>
      <c r="K215" s="14">
        <v>0</v>
      </c>
    </row>
    <row r="216" spans="1:11" ht="19.5" customHeight="1" x14ac:dyDescent="0.3">
      <c r="A216" s="5">
        <v>15</v>
      </c>
      <c r="B216" s="33" t="s">
        <v>18</v>
      </c>
      <c r="C216" s="34" t="s">
        <v>61</v>
      </c>
      <c r="D216" s="35" t="s">
        <v>55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36">
        <v>0</v>
      </c>
    </row>
    <row r="217" spans="1:11" ht="19.5" customHeight="1" x14ac:dyDescent="0.3">
      <c r="A217" s="14">
        <v>15</v>
      </c>
      <c r="B217" s="41" t="s">
        <v>18</v>
      </c>
      <c r="C217" s="42" t="s">
        <v>61</v>
      </c>
      <c r="D217" s="43" t="s">
        <v>68</v>
      </c>
      <c r="E217" s="14">
        <v>0</v>
      </c>
      <c r="F217" s="14">
        <v>0</v>
      </c>
      <c r="G217" s="14">
        <v>0</v>
      </c>
      <c r="H217" s="14">
        <v>0</v>
      </c>
      <c r="I217" s="14">
        <v>0</v>
      </c>
      <c r="J217" s="14">
        <v>0</v>
      </c>
      <c r="K217" s="14">
        <v>0</v>
      </c>
    </row>
    <row r="218" spans="1:11" ht="19.5" customHeight="1" x14ac:dyDescent="0.3">
      <c r="A218" s="5">
        <v>15</v>
      </c>
      <c r="B218" s="33" t="s">
        <v>18</v>
      </c>
      <c r="C218" s="34" t="s">
        <v>69</v>
      </c>
      <c r="D218" s="35" t="s">
        <v>55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36">
        <v>0</v>
      </c>
    </row>
    <row r="219" spans="1:11" ht="3.75" customHeight="1" x14ac:dyDescent="0.3">
      <c r="A219" s="48"/>
      <c r="B219" s="49"/>
      <c r="C219" s="50"/>
      <c r="D219" s="51"/>
      <c r="E219" s="52"/>
      <c r="F219" s="52"/>
      <c r="G219" s="52"/>
      <c r="H219" s="52"/>
      <c r="I219" s="52"/>
      <c r="J219" s="52"/>
      <c r="K219" s="48"/>
    </row>
    <row r="220" spans="1:11" ht="19.5" customHeight="1" x14ac:dyDescent="0.3">
      <c r="A220" s="24">
        <v>17</v>
      </c>
      <c r="B220" s="4" t="s">
        <v>19</v>
      </c>
      <c r="C220" s="25" t="s">
        <v>56</v>
      </c>
      <c r="D220" s="26" t="s">
        <v>57</v>
      </c>
      <c r="E220" s="27">
        <v>0</v>
      </c>
      <c r="F220" s="27">
        <v>0</v>
      </c>
      <c r="G220" s="27">
        <v>0</v>
      </c>
      <c r="H220" s="27">
        <v>0</v>
      </c>
      <c r="I220" s="27">
        <v>0</v>
      </c>
      <c r="J220" s="27">
        <v>0</v>
      </c>
      <c r="K220" s="28">
        <v>0</v>
      </c>
    </row>
    <row r="221" spans="1:11" ht="19.5" customHeight="1" x14ac:dyDescent="0.3">
      <c r="A221" s="29">
        <v>17</v>
      </c>
      <c r="B221" s="8" t="s">
        <v>19</v>
      </c>
      <c r="C221" s="30" t="s">
        <v>56</v>
      </c>
      <c r="D221" s="31" t="s">
        <v>58</v>
      </c>
      <c r="E221" s="32">
        <v>0</v>
      </c>
      <c r="F221" s="32">
        <v>0</v>
      </c>
      <c r="G221" s="32">
        <v>0</v>
      </c>
      <c r="H221" s="32">
        <v>0</v>
      </c>
      <c r="I221" s="32">
        <v>0</v>
      </c>
      <c r="J221" s="32">
        <v>0</v>
      </c>
      <c r="K221" s="28">
        <v>0</v>
      </c>
    </row>
    <row r="222" spans="1:11" ht="19.5" customHeight="1" x14ac:dyDescent="0.3">
      <c r="A222" s="24">
        <v>17</v>
      </c>
      <c r="B222" s="4" t="s">
        <v>19</v>
      </c>
      <c r="C222" s="25" t="s">
        <v>56</v>
      </c>
      <c r="D222" s="26" t="s">
        <v>59</v>
      </c>
      <c r="E222" s="27">
        <v>0</v>
      </c>
      <c r="F222" s="27">
        <v>0</v>
      </c>
      <c r="G222" s="27">
        <v>0</v>
      </c>
      <c r="H222" s="27">
        <v>0</v>
      </c>
      <c r="I222" s="27">
        <v>0</v>
      </c>
      <c r="J222" s="27">
        <v>0</v>
      </c>
      <c r="K222" s="28">
        <v>0</v>
      </c>
    </row>
    <row r="223" spans="1:11" ht="19.5" customHeight="1" x14ac:dyDescent="0.3">
      <c r="A223" s="5">
        <v>17</v>
      </c>
      <c r="B223" s="33" t="s">
        <v>19</v>
      </c>
      <c r="C223" s="34" t="s">
        <v>56</v>
      </c>
      <c r="D223" s="35" t="s">
        <v>55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36">
        <v>0</v>
      </c>
    </row>
    <row r="224" spans="1:11" ht="19.5" customHeight="1" x14ac:dyDescent="0.3">
      <c r="A224" s="24">
        <v>17</v>
      </c>
      <c r="B224" s="4" t="s">
        <v>19</v>
      </c>
      <c r="C224" s="25" t="s">
        <v>60</v>
      </c>
      <c r="D224" s="26" t="s">
        <v>57</v>
      </c>
      <c r="E224" s="27">
        <v>0</v>
      </c>
      <c r="F224" s="27">
        <v>0</v>
      </c>
      <c r="G224" s="27">
        <v>0</v>
      </c>
      <c r="H224" s="27">
        <v>0</v>
      </c>
      <c r="I224" s="27">
        <v>0</v>
      </c>
      <c r="J224" s="27">
        <v>0</v>
      </c>
      <c r="K224" s="28">
        <v>0</v>
      </c>
    </row>
    <row r="225" spans="1:11" ht="19.5" customHeight="1" x14ac:dyDescent="0.3">
      <c r="A225" s="29">
        <v>17</v>
      </c>
      <c r="B225" s="8" t="s">
        <v>19</v>
      </c>
      <c r="C225" s="30" t="s">
        <v>60</v>
      </c>
      <c r="D225" s="31" t="s">
        <v>58</v>
      </c>
      <c r="E225" s="32">
        <v>0</v>
      </c>
      <c r="F225" s="32">
        <v>0</v>
      </c>
      <c r="G225" s="32">
        <v>0</v>
      </c>
      <c r="H225" s="32">
        <v>0</v>
      </c>
      <c r="I225" s="32">
        <v>0</v>
      </c>
      <c r="J225" s="32">
        <v>0</v>
      </c>
      <c r="K225" s="28">
        <v>0</v>
      </c>
    </row>
    <row r="226" spans="1:11" ht="19.5" customHeight="1" x14ac:dyDescent="0.3">
      <c r="A226" s="24">
        <v>17</v>
      </c>
      <c r="B226" s="4" t="s">
        <v>19</v>
      </c>
      <c r="C226" s="25" t="s">
        <v>60</v>
      </c>
      <c r="D226" s="26" t="s">
        <v>59</v>
      </c>
      <c r="E226" s="27">
        <v>0</v>
      </c>
      <c r="F226" s="27">
        <v>0</v>
      </c>
      <c r="G226" s="27">
        <v>0</v>
      </c>
      <c r="H226" s="27">
        <v>0</v>
      </c>
      <c r="I226" s="27">
        <v>0</v>
      </c>
      <c r="J226" s="27">
        <v>0</v>
      </c>
      <c r="K226" s="28">
        <v>0</v>
      </c>
    </row>
    <row r="227" spans="1:11" ht="19.5" customHeight="1" x14ac:dyDescent="0.3">
      <c r="A227" s="5">
        <v>17</v>
      </c>
      <c r="B227" s="33" t="s">
        <v>19</v>
      </c>
      <c r="C227" s="34" t="s">
        <v>60</v>
      </c>
      <c r="D227" s="35" t="s">
        <v>55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36">
        <v>0</v>
      </c>
    </row>
    <row r="228" spans="1:11" ht="19.5" customHeight="1" x14ac:dyDescent="0.3">
      <c r="A228" s="24">
        <v>17</v>
      </c>
      <c r="B228" s="4" t="s">
        <v>19</v>
      </c>
      <c r="C228" s="25" t="s">
        <v>61</v>
      </c>
      <c r="D228" s="26" t="s">
        <v>62</v>
      </c>
      <c r="E228" s="27">
        <v>0</v>
      </c>
      <c r="F228" s="27">
        <v>0</v>
      </c>
      <c r="G228" s="27">
        <v>0</v>
      </c>
      <c r="H228" s="27">
        <v>0</v>
      </c>
      <c r="I228" s="27">
        <v>0</v>
      </c>
      <c r="J228" s="27">
        <v>0</v>
      </c>
      <c r="K228" s="28">
        <v>0</v>
      </c>
    </row>
    <row r="229" spans="1:11" ht="19.5" customHeight="1" x14ac:dyDescent="0.3">
      <c r="A229" s="37">
        <v>17</v>
      </c>
      <c r="B229" s="38" t="s">
        <v>19</v>
      </c>
      <c r="C229" s="39" t="s">
        <v>61</v>
      </c>
      <c r="D229" s="40" t="s">
        <v>63</v>
      </c>
      <c r="E229" s="37">
        <v>0</v>
      </c>
      <c r="F229" s="37">
        <v>0</v>
      </c>
      <c r="G229" s="37">
        <v>0</v>
      </c>
      <c r="H229" s="37">
        <v>0</v>
      </c>
      <c r="I229" s="37">
        <v>0</v>
      </c>
      <c r="J229" s="37">
        <v>0</v>
      </c>
      <c r="K229" s="14">
        <v>0</v>
      </c>
    </row>
    <row r="230" spans="1:11" ht="19.5" customHeight="1" x14ac:dyDescent="0.3">
      <c r="A230" s="24">
        <v>17</v>
      </c>
      <c r="B230" s="4" t="s">
        <v>19</v>
      </c>
      <c r="C230" s="25" t="s">
        <v>61</v>
      </c>
      <c r="D230" s="26" t="s">
        <v>64</v>
      </c>
      <c r="E230" s="27">
        <v>0</v>
      </c>
      <c r="F230" s="27">
        <v>0</v>
      </c>
      <c r="G230" s="27">
        <v>0</v>
      </c>
      <c r="H230" s="27">
        <v>0</v>
      </c>
      <c r="I230" s="27">
        <v>0</v>
      </c>
      <c r="J230" s="27">
        <v>0</v>
      </c>
      <c r="K230" s="28">
        <v>0</v>
      </c>
    </row>
    <row r="231" spans="1:11" ht="19.5" customHeight="1" x14ac:dyDescent="0.3">
      <c r="A231" s="37">
        <v>17</v>
      </c>
      <c r="B231" s="38" t="s">
        <v>19</v>
      </c>
      <c r="C231" s="39" t="s">
        <v>61</v>
      </c>
      <c r="D231" s="40" t="s">
        <v>65</v>
      </c>
      <c r="E231" s="37">
        <v>0</v>
      </c>
      <c r="F231" s="37">
        <v>0</v>
      </c>
      <c r="G231" s="37">
        <v>0</v>
      </c>
      <c r="H231" s="37">
        <v>0</v>
      </c>
      <c r="I231" s="37">
        <v>0</v>
      </c>
      <c r="J231" s="37">
        <v>0</v>
      </c>
      <c r="K231" s="14">
        <v>0</v>
      </c>
    </row>
    <row r="232" spans="1:11" ht="19.5" customHeight="1" x14ac:dyDescent="0.3">
      <c r="A232" s="24">
        <v>17</v>
      </c>
      <c r="B232" s="4" t="s">
        <v>19</v>
      </c>
      <c r="C232" s="25" t="s">
        <v>61</v>
      </c>
      <c r="D232" s="26" t="s">
        <v>66</v>
      </c>
      <c r="E232" s="27">
        <v>0</v>
      </c>
      <c r="F232" s="27">
        <v>0</v>
      </c>
      <c r="G232" s="27">
        <v>0</v>
      </c>
      <c r="H232" s="27">
        <v>0</v>
      </c>
      <c r="I232" s="27">
        <v>0</v>
      </c>
      <c r="J232" s="27">
        <v>0</v>
      </c>
      <c r="K232" s="28">
        <v>0</v>
      </c>
    </row>
    <row r="233" spans="1:11" ht="19.5" customHeight="1" x14ac:dyDescent="0.3">
      <c r="A233" s="37">
        <v>17</v>
      </c>
      <c r="B233" s="38" t="s">
        <v>19</v>
      </c>
      <c r="C233" s="39" t="s">
        <v>61</v>
      </c>
      <c r="D233" s="40" t="s">
        <v>67</v>
      </c>
      <c r="E233" s="37">
        <v>0</v>
      </c>
      <c r="F233" s="37">
        <v>0</v>
      </c>
      <c r="G233" s="37">
        <v>0</v>
      </c>
      <c r="H233" s="37">
        <v>0</v>
      </c>
      <c r="I233" s="37">
        <v>0</v>
      </c>
      <c r="J233" s="37">
        <v>0</v>
      </c>
      <c r="K233" s="14">
        <v>0</v>
      </c>
    </row>
    <row r="234" spans="1:11" ht="19.5" customHeight="1" x14ac:dyDescent="0.3">
      <c r="A234" s="5">
        <v>17</v>
      </c>
      <c r="B234" s="33" t="s">
        <v>19</v>
      </c>
      <c r="C234" s="34" t="s">
        <v>61</v>
      </c>
      <c r="D234" s="35" t="s">
        <v>55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36">
        <v>0</v>
      </c>
    </row>
    <row r="235" spans="1:11" ht="19.5" customHeight="1" x14ac:dyDescent="0.3">
      <c r="A235" s="14">
        <v>17</v>
      </c>
      <c r="B235" s="41" t="s">
        <v>19</v>
      </c>
      <c r="C235" s="42" t="s">
        <v>61</v>
      </c>
      <c r="D235" s="43" t="s">
        <v>68</v>
      </c>
      <c r="E235" s="14">
        <v>0</v>
      </c>
      <c r="F235" s="14">
        <v>0</v>
      </c>
      <c r="G235" s="14">
        <v>0</v>
      </c>
      <c r="H235" s="14">
        <v>0</v>
      </c>
      <c r="I235" s="14">
        <v>0</v>
      </c>
      <c r="J235" s="14">
        <v>0</v>
      </c>
      <c r="K235" s="14">
        <v>0</v>
      </c>
    </row>
    <row r="236" spans="1:11" ht="19.5" customHeight="1" x14ac:dyDescent="0.3">
      <c r="A236" s="5">
        <v>17</v>
      </c>
      <c r="B236" s="33" t="s">
        <v>19</v>
      </c>
      <c r="C236" s="34" t="s">
        <v>69</v>
      </c>
      <c r="D236" s="35" t="s">
        <v>55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36">
        <v>0</v>
      </c>
    </row>
    <row r="237" spans="1:11" ht="3.75" customHeight="1" x14ac:dyDescent="0.3">
      <c r="A237" s="44"/>
      <c r="B237" s="45"/>
      <c r="C237" s="46"/>
      <c r="D237" s="47"/>
      <c r="E237" s="44"/>
      <c r="F237" s="44"/>
      <c r="G237" s="44"/>
      <c r="H237" s="44"/>
      <c r="I237" s="44"/>
      <c r="J237" s="44"/>
      <c r="K237" s="48"/>
    </row>
    <row r="238" spans="1:11" ht="19.5" customHeight="1" x14ac:dyDescent="0.3">
      <c r="A238" s="24">
        <v>18</v>
      </c>
      <c r="B238" s="4" t="s">
        <v>20</v>
      </c>
      <c r="C238" s="25" t="s">
        <v>56</v>
      </c>
      <c r="D238" s="26" t="s">
        <v>57</v>
      </c>
      <c r="E238" s="27">
        <v>0</v>
      </c>
      <c r="F238" s="27">
        <v>0</v>
      </c>
      <c r="G238" s="27">
        <v>0</v>
      </c>
      <c r="H238" s="27">
        <v>0</v>
      </c>
      <c r="I238" s="27">
        <v>0</v>
      </c>
      <c r="J238" s="27">
        <v>0</v>
      </c>
      <c r="K238" s="28">
        <v>0</v>
      </c>
    </row>
    <row r="239" spans="1:11" ht="19.5" customHeight="1" x14ac:dyDescent="0.3">
      <c r="A239" s="29">
        <v>18</v>
      </c>
      <c r="B239" s="8" t="s">
        <v>20</v>
      </c>
      <c r="C239" s="30" t="s">
        <v>56</v>
      </c>
      <c r="D239" s="31" t="s">
        <v>58</v>
      </c>
      <c r="E239" s="32">
        <v>0</v>
      </c>
      <c r="F239" s="32">
        <v>0</v>
      </c>
      <c r="G239" s="32">
        <v>0</v>
      </c>
      <c r="H239" s="32">
        <v>0</v>
      </c>
      <c r="I239" s="32">
        <v>0</v>
      </c>
      <c r="J239" s="32">
        <v>0</v>
      </c>
      <c r="K239" s="28">
        <v>0</v>
      </c>
    </row>
    <row r="240" spans="1:11" ht="19.5" customHeight="1" x14ac:dyDescent="0.3">
      <c r="A240" s="24">
        <v>18</v>
      </c>
      <c r="B240" s="4" t="s">
        <v>20</v>
      </c>
      <c r="C240" s="25" t="s">
        <v>56</v>
      </c>
      <c r="D240" s="26" t="s">
        <v>59</v>
      </c>
      <c r="E240" s="27">
        <v>0</v>
      </c>
      <c r="F240" s="27">
        <v>0</v>
      </c>
      <c r="G240" s="27">
        <v>0</v>
      </c>
      <c r="H240" s="27">
        <v>0</v>
      </c>
      <c r="I240" s="27">
        <v>0</v>
      </c>
      <c r="J240" s="27">
        <v>0</v>
      </c>
      <c r="K240" s="28">
        <v>0</v>
      </c>
    </row>
    <row r="241" spans="1:11" ht="19.5" customHeight="1" x14ac:dyDescent="0.3">
      <c r="A241" s="5">
        <v>18</v>
      </c>
      <c r="B241" s="33" t="s">
        <v>20</v>
      </c>
      <c r="C241" s="34" t="s">
        <v>56</v>
      </c>
      <c r="D241" s="35" t="s">
        <v>55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36">
        <v>0</v>
      </c>
    </row>
    <row r="242" spans="1:11" ht="19.5" customHeight="1" x14ac:dyDescent="0.3">
      <c r="A242" s="24">
        <v>18</v>
      </c>
      <c r="B242" s="4" t="s">
        <v>20</v>
      </c>
      <c r="C242" s="25" t="s">
        <v>60</v>
      </c>
      <c r="D242" s="26" t="s">
        <v>57</v>
      </c>
      <c r="E242" s="27">
        <v>0</v>
      </c>
      <c r="F242" s="27">
        <v>0</v>
      </c>
      <c r="G242" s="27">
        <v>0</v>
      </c>
      <c r="H242" s="27">
        <v>0</v>
      </c>
      <c r="I242" s="27">
        <v>0</v>
      </c>
      <c r="J242" s="27">
        <v>0</v>
      </c>
      <c r="K242" s="28">
        <v>0</v>
      </c>
    </row>
    <row r="243" spans="1:11" ht="19.5" customHeight="1" x14ac:dyDescent="0.3">
      <c r="A243" s="29">
        <v>18</v>
      </c>
      <c r="B243" s="8" t="s">
        <v>20</v>
      </c>
      <c r="C243" s="30" t="s">
        <v>60</v>
      </c>
      <c r="D243" s="31" t="s">
        <v>58</v>
      </c>
      <c r="E243" s="32">
        <v>0</v>
      </c>
      <c r="F243" s="32">
        <v>0</v>
      </c>
      <c r="G243" s="32">
        <v>0</v>
      </c>
      <c r="H243" s="32">
        <v>0</v>
      </c>
      <c r="I243" s="32">
        <v>0</v>
      </c>
      <c r="J243" s="32">
        <v>0</v>
      </c>
      <c r="K243" s="28">
        <v>0</v>
      </c>
    </row>
    <row r="244" spans="1:11" ht="19.5" customHeight="1" x14ac:dyDescent="0.3">
      <c r="A244" s="24">
        <v>18</v>
      </c>
      <c r="B244" s="4" t="s">
        <v>20</v>
      </c>
      <c r="C244" s="25" t="s">
        <v>60</v>
      </c>
      <c r="D244" s="26" t="s">
        <v>59</v>
      </c>
      <c r="E244" s="27">
        <v>0</v>
      </c>
      <c r="F244" s="27">
        <v>0</v>
      </c>
      <c r="G244" s="27">
        <v>0</v>
      </c>
      <c r="H244" s="27">
        <v>0</v>
      </c>
      <c r="I244" s="27">
        <v>0</v>
      </c>
      <c r="J244" s="27">
        <v>0</v>
      </c>
      <c r="K244" s="28">
        <v>0</v>
      </c>
    </row>
    <row r="245" spans="1:11" ht="19.5" customHeight="1" x14ac:dyDescent="0.3">
      <c r="A245" s="5">
        <v>18</v>
      </c>
      <c r="B245" s="33" t="s">
        <v>20</v>
      </c>
      <c r="C245" s="34" t="s">
        <v>60</v>
      </c>
      <c r="D245" s="35" t="s">
        <v>55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36">
        <v>0</v>
      </c>
    </row>
    <row r="246" spans="1:11" ht="19.5" customHeight="1" x14ac:dyDescent="0.3">
      <c r="A246" s="24">
        <v>18</v>
      </c>
      <c r="B246" s="4" t="s">
        <v>20</v>
      </c>
      <c r="C246" s="25" t="s">
        <v>61</v>
      </c>
      <c r="D246" s="26" t="s">
        <v>62</v>
      </c>
      <c r="E246" s="27">
        <v>0</v>
      </c>
      <c r="F246" s="27">
        <v>0</v>
      </c>
      <c r="G246" s="27">
        <v>0</v>
      </c>
      <c r="H246" s="27">
        <v>0</v>
      </c>
      <c r="I246" s="27">
        <v>0</v>
      </c>
      <c r="J246" s="27">
        <v>0</v>
      </c>
      <c r="K246" s="28">
        <v>0</v>
      </c>
    </row>
    <row r="247" spans="1:11" ht="19.5" customHeight="1" x14ac:dyDescent="0.3">
      <c r="A247" s="37">
        <v>18</v>
      </c>
      <c r="B247" s="38" t="s">
        <v>20</v>
      </c>
      <c r="C247" s="39" t="s">
        <v>61</v>
      </c>
      <c r="D247" s="40" t="s">
        <v>63</v>
      </c>
      <c r="E247" s="37">
        <v>0</v>
      </c>
      <c r="F247" s="37">
        <v>0</v>
      </c>
      <c r="G247" s="37">
        <v>0</v>
      </c>
      <c r="H247" s="37">
        <v>0</v>
      </c>
      <c r="I247" s="37">
        <v>0</v>
      </c>
      <c r="J247" s="37">
        <v>0</v>
      </c>
      <c r="K247" s="14">
        <v>0</v>
      </c>
    </row>
    <row r="248" spans="1:11" ht="19.5" customHeight="1" x14ac:dyDescent="0.3">
      <c r="A248" s="24">
        <v>18</v>
      </c>
      <c r="B248" s="4" t="s">
        <v>20</v>
      </c>
      <c r="C248" s="25" t="s">
        <v>61</v>
      </c>
      <c r="D248" s="26" t="s">
        <v>64</v>
      </c>
      <c r="E248" s="27">
        <v>0</v>
      </c>
      <c r="F248" s="27">
        <v>0</v>
      </c>
      <c r="G248" s="27">
        <v>0</v>
      </c>
      <c r="H248" s="27">
        <v>0</v>
      </c>
      <c r="I248" s="27">
        <v>0</v>
      </c>
      <c r="J248" s="27">
        <v>0</v>
      </c>
      <c r="K248" s="28">
        <v>0</v>
      </c>
    </row>
    <row r="249" spans="1:11" ht="19.5" customHeight="1" x14ac:dyDescent="0.3">
      <c r="A249" s="37">
        <v>18</v>
      </c>
      <c r="B249" s="38" t="s">
        <v>20</v>
      </c>
      <c r="C249" s="39" t="s">
        <v>61</v>
      </c>
      <c r="D249" s="40" t="s">
        <v>65</v>
      </c>
      <c r="E249" s="37">
        <v>0</v>
      </c>
      <c r="F249" s="37">
        <v>0</v>
      </c>
      <c r="G249" s="37">
        <v>0</v>
      </c>
      <c r="H249" s="37">
        <v>0</v>
      </c>
      <c r="I249" s="37">
        <v>0</v>
      </c>
      <c r="J249" s="37">
        <v>0</v>
      </c>
      <c r="K249" s="14">
        <v>0</v>
      </c>
    </row>
    <row r="250" spans="1:11" ht="19.5" customHeight="1" x14ac:dyDescent="0.3">
      <c r="A250" s="24">
        <v>18</v>
      </c>
      <c r="B250" s="4" t="s">
        <v>20</v>
      </c>
      <c r="C250" s="25" t="s">
        <v>61</v>
      </c>
      <c r="D250" s="26" t="s">
        <v>66</v>
      </c>
      <c r="E250" s="27">
        <v>0</v>
      </c>
      <c r="F250" s="27">
        <v>0</v>
      </c>
      <c r="G250" s="27">
        <v>0</v>
      </c>
      <c r="H250" s="27">
        <v>0</v>
      </c>
      <c r="I250" s="27">
        <v>0</v>
      </c>
      <c r="J250" s="27">
        <v>0</v>
      </c>
      <c r="K250" s="28">
        <v>0</v>
      </c>
    </row>
    <row r="251" spans="1:11" ht="19.5" customHeight="1" x14ac:dyDescent="0.3">
      <c r="A251" s="37">
        <v>18</v>
      </c>
      <c r="B251" s="38" t="s">
        <v>20</v>
      </c>
      <c r="C251" s="39" t="s">
        <v>61</v>
      </c>
      <c r="D251" s="40" t="s">
        <v>67</v>
      </c>
      <c r="E251" s="37">
        <v>0</v>
      </c>
      <c r="F251" s="37">
        <v>0</v>
      </c>
      <c r="G251" s="37">
        <v>0</v>
      </c>
      <c r="H251" s="37">
        <v>0</v>
      </c>
      <c r="I251" s="37">
        <v>0</v>
      </c>
      <c r="J251" s="37">
        <v>0</v>
      </c>
      <c r="K251" s="14">
        <v>0</v>
      </c>
    </row>
    <row r="252" spans="1:11" ht="19.5" customHeight="1" x14ac:dyDescent="0.3">
      <c r="A252" s="5">
        <v>18</v>
      </c>
      <c r="B252" s="33" t="s">
        <v>20</v>
      </c>
      <c r="C252" s="34" t="s">
        <v>61</v>
      </c>
      <c r="D252" s="35" t="s">
        <v>55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36">
        <v>0</v>
      </c>
    </row>
    <row r="253" spans="1:11" ht="19.5" customHeight="1" x14ac:dyDescent="0.3">
      <c r="A253" s="14">
        <v>18</v>
      </c>
      <c r="B253" s="41" t="s">
        <v>20</v>
      </c>
      <c r="C253" s="42" t="s">
        <v>61</v>
      </c>
      <c r="D253" s="43" t="s">
        <v>68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K253" s="14">
        <v>0</v>
      </c>
    </row>
    <row r="254" spans="1:11" ht="19.5" customHeight="1" x14ac:dyDescent="0.3">
      <c r="A254" s="5">
        <v>18</v>
      </c>
      <c r="B254" s="33" t="s">
        <v>20</v>
      </c>
      <c r="C254" s="34" t="s">
        <v>69</v>
      </c>
      <c r="D254" s="35" t="s">
        <v>55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36">
        <v>0</v>
      </c>
    </row>
    <row r="255" spans="1:11" ht="3.75" customHeight="1" x14ac:dyDescent="0.3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</row>
    <row r="256" spans="1:11" ht="19.5" customHeight="1" x14ac:dyDescent="0.3">
      <c r="A256" s="24">
        <v>19</v>
      </c>
      <c r="B256" s="4" t="s">
        <v>21</v>
      </c>
      <c r="C256" s="25" t="s">
        <v>56</v>
      </c>
      <c r="D256" s="26" t="s">
        <v>57</v>
      </c>
      <c r="E256" s="27">
        <v>0</v>
      </c>
      <c r="F256" s="27">
        <v>0</v>
      </c>
      <c r="G256" s="27">
        <v>0</v>
      </c>
      <c r="H256" s="27">
        <v>0</v>
      </c>
      <c r="I256" s="27">
        <v>0</v>
      </c>
      <c r="J256" s="27">
        <v>0</v>
      </c>
      <c r="K256" s="28">
        <v>0</v>
      </c>
    </row>
    <row r="257" spans="1:11" ht="19.5" customHeight="1" x14ac:dyDescent="0.3">
      <c r="A257" s="29">
        <v>19</v>
      </c>
      <c r="B257" s="8" t="s">
        <v>21</v>
      </c>
      <c r="C257" s="30" t="s">
        <v>56</v>
      </c>
      <c r="D257" s="31" t="s">
        <v>58</v>
      </c>
      <c r="E257" s="32">
        <v>0</v>
      </c>
      <c r="F257" s="32">
        <v>0</v>
      </c>
      <c r="G257" s="32">
        <v>0</v>
      </c>
      <c r="H257" s="32">
        <v>0</v>
      </c>
      <c r="I257" s="32">
        <v>0</v>
      </c>
      <c r="J257" s="32">
        <v>0</v>
      </c>
      <c r="K257" s="28">
        <v>0</v>
      </c>
    </row>
    <row r="258" spans="1:11" ht="19.5" customHeight="1" x14ac:dyDescent="0.3">
      <c r="A258" s="24">
        <v>19</v>
      </c>
      <c r="B258" s="4" t="s">
        <v>21</v>
      </c>
      <c r="C258" s="25" t="s">
        <v>56</v>
      </c>
      <c r="D258" s="26" t="s">
        <v>59</v>
      </c>
      <c r="E258" s="27">
        <v>0</v>
      </c>
      <c r="F258" s="27">
        <v>0</v>
      </c>
      <c r="G258" s="27">
        <v>0</v>
      </c>
      <c r="H258" s="27">
        <v>0</v>
      </c>
      <c r="I258" s="27">
        <v>0</v>
      </c>
      <c r="J258" s="27">
        <v>0</v>
      </c>
      <c r="K258" s="28">
        <v>0</v>
      </c>
    </row>
    <row r="259" spans="1:11" ht="19.5" customHeight="1" x14ac:dyDescent="0.3">
      <c r="A259" s="5">
        <v>19</v>
      </c>
      <c r="B259" s="33" t="s">
        <v>21</v>
      </c>
      <c r="C259" s="34" t="s">
        <v>56</v>
      </c>
      <c r="D259" s="35" t="s">
        <v>55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36">
        <v>0</v>
      </c>
    </row>
    <row r="260" spans="1:11" ht="19.5" customHeight="1" x14ac:dyDescent="0.3">
      <c r="A260" s="24">
        <v>19</v>
      </c>
      <c r="B260" s="4" t="s">
        <v>21</v>
      </c>
      <c r="C260" s="25" t="s">
        <v>60</v>
      </c>
      <c r="D260" s="26" t="s">
        <v>57</v>
      </c>
      <c r="E260" s="27">
        <v>0</v>
      </c>
      <c r="F260" s="27">
        <v>0</v>
      </c>
      <c r="G260" s="27">
        <v>0</v>
      </c>
      <c r="H260" s="27">
        <v>0</v>
      </c>
      <c r="I260" s="27">
        <v>0</v>
      </c>
      <c r="J260" s="27">
        <v>0</v>
      </c>
      <c r="K260" s="28">
        <v>0</v>
      </c>
    </row>
    <row r="261" spans="1:11" ht="19.5" customHeight="1" x14ac:dyDescent="0.3">
      <c r="A261" s="29">
        <v>19</v>
      </c>
      <c r="B261" s="8" t="s">
        <v>21</v>
      </c>
      <c r="C261" s="30" t="s">
        <v>60</v>
      </c>
      <c r="D261" s="31" t="s">
        <v>58</v>
      </c>
      <c r="E261" s="32">
        <v>0</v>
      </c>
      <c r="F261" s="32">
        <v>0</v>
      </c>
      <c r="G261" s="32">
        <v>0</v>
      </c>
      <c r="H261" s="32">
        <v>0</v>
      </c>
      <c r="I261" s="32">
        <v>0</v>
      </c>
      <c r="J261" s="32">
        <v>0</v>
      </c>
      <c r="K261" s="28">
        <v>0</v>
      </c>
    </row>
    <row r="262" spans="1:11" ht="19.5" customHeight="1" x14ac:dyDescent="0.3">
      <c r="A262" s="24">
        <v>19</v>
      </c>
      <c r="B262" s="4" t="s">
        <v>21</v>
      </c>
      <c r="C262" s="25" t="s">
        <v>60</v>
      </c>
      <c r="D262" s="26" t="s">
        <v>59</v>
      </c>
      <c r="E262" s="27">
        <v>0</v>
      </c>
      <c r="F262" s="27">
        <v>0</v>
      </c>
      <c r="G262" s="27">
        <v>0</v>
      </c>
      <c r="H262" s="27">
        <v>0</v>
      </c>
      <c r="I262" s="27">
        <v>0</v>
      </c>
      <c r="J262" s="27">
        <v>0</v>
      </c>
      <c r="K262" s="28">
        <v>0</v>
      </c>
    </row>
    <row r="263" spans="1:11" ht="19.5" customHeight="1" x14ac:dyDescent="0.3">
      <c r="A263" s="5">
        <v>19</v>
      </c>
      <c r="B263" s="33" t="s">
        <v>21</v>
      </c>
      <c r="C263" s="34" t="s">
        <v>60</v>
      </c>
      <c r="D263" s="35" t="s">
        <v>55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36">
        <v>0</v>
      </c>
    </row>
    <row r="264" spans="1:11" ht="19.5" customHeight="1" x14ac:dyDescent="0.3">
      <c r="A264" s="24">
        <v>19</v>
      </c>
      <c r="B264" s="4" t="s">
        <v>21</v>
      </c>
      <c r="C264" s="25" t="s">
        <v>61</v>
      </c>
      <c r="D264" s="26" t="s">
        <v>62</v>
      </c>
      <c r="E264" s="27">
        <v>0</v>
      </c>
      <c r="F264" s="27">
        <v>0</v>
      </c>
      <c r="G264" s="27">
        <v>0</v>
      </c>
      <c r="H264" s="27">
        <v>0</v>
      </c>
      <c r="I264" s="27">
        <v>0</v>
      </c>
      <c r="J264" s="27">
        <v>0</v>
      </c>
      <c r="K264" s="28">
        <v>0</v>
      </c>
    </row>
    <row r="265" spans="1:11" ht="19.5" customHeight="1" x14ac:dyDescent="0.3">
      <c r="A265" s="37">
        <v>19</v>
      </c>
      <c r="B265" s="38" t="s">
        <v>21</v>
      </c>
      <c r="C265" s="39" t="s">
        <v>61</v>
      </c>
      <c r="D265" s="40" t="s">
        <v>63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14">
        <v>0</v>
      </c>
    </row>
    <row r="266" spans="1:11" ht="19.5" customHeight="1" x14ac:dyDescent="0.3">
      <c r="A266" s="24">
        <v>19</v>
      </c>
      <c r="B266" s="4" t="s">
        <v>21</v>
      </c>
      <c r="C266" s="25" t="s">
        <v>61</v>
      </c>
      <c r="D266" s="26" t="s">
        <v>64</v>
      </c>
      <c r="E266" s="27">
        <v>0</v>
      </c>
      <c r="F266" s="27">
        <v>0</v>
      </c>
      <c r="G266" s="27">
        <v>0</v>
      </c>
      <c r="H266" s="27">
        <v>0</v>
      </c>
      <c r="I266" s="27">
        <v>0</v>
      </c>
      <c r="J266" s="27">
        <v>0</v>
      </c>
      <c r="K266" s="28">
        <v>0</v>
      </c>
    </row>
    <row r="267" spans="1:11" ht="19.5" customHeight="1" x14ac:dyDescent="0.3">
      <c r="A267" s="37">
        <v>19</v>
      </c>
      <c r="B267" s="38" t="s">
        <v>21</v>
      </c>
      <c r="C267" s="39" t="s">
        <v>61</v>
      </c>
      <c r="D267" s="40" t="s">
        <v>65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0</v>
      </c>
      <c r="K267" s="14">
        <v>0</v>
      </c>
    </row>
    <row r="268" spans="1:11" ht="19.5" customHeight="1" x14ac:dyDescent="0.3">
      <c r="A268" s="24">
        <v>19</v>
      </c>
      <c r="B268" s="4" t="s">
        <v>21</v>
      </c>
      <c r="C268" s="25" t="s">
        <v>61</v>
      </c>
      <c r="D268" s="26" t="s">
        <v>66</v>
      </c>
      <c r="E268" s="27">
        <v>0</v>
      </c>
      <c r="F268" s="27">
        <v>0</v>
      </c>
      <c r="G268" s="27">
        <v>0</v>
      </c>
      <c r="H268" s="27">
        <v>0</v>
      </c>
      <c r="I268" s="27">
        <v>0</v>
      </c>
      <c r="J268" s="27">
        <v>0</v>
      </c>
      <c r="K268" s="28">
        <v>0</v>
      </c>
    </row>
    <row r="269" spans="1:11" ht="19.5" customHeight="1" x14ac:dyDescent="0.3">
      <c r="A269" s="37">
        <v>19</v>
      </c>
      <c r="B269" s="38" t="s">
        <v>21</v>
      </c>
      <c r="C269" s="39" t="s">
        <v>61</v>
      </c>
      <c r="D269" s="40" t="s">
        <v>67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14">
        <v>0</v>
      </c>
    </row>
    <row r="270" spans="1:11" ht="19.5" customHeight="1" x14ac:dyDescent="0.3">
      <c r="A270" s="5">
        <v>19</v>
      </c>
      <c r="B270" s="33" t="s">
        <v>21</v>
      </c>
      <c r="C270" s="34" t="s">
        <v>61</v>
      </c>
      <c r="D270" s="35" t="s">
        <v>55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36">
        <v>0</v>
      </c>
    </row>
    <row r="271" spans="1:11" ht="19.5" customHeight="1" x14ac:dyDescent="0.3">
      <c r="A271" s="14">
        <v>19</v>
      </c>
      <c r="B271" s="41" t="s">
        <v>21</v>
      </c>
      <c r="C271" s="42" t="s">
        <v>61</v>
      </c>
      <c r="D271" s="43" t="s">
        <v>68</v>
      </c>
      <c r="E271" s="14">
        <v>0</v>
      </c>
      <c r="F271" s="14">
        <v>0</v>
      </c>
      <c r="G271" s="14">
        <v>0</v>
      </c>
      <c r="H271" s="14">
        <v>0</v>
      </c>
      <c r="I271" s="14">
        <v>0</v>
      </c>
      <c r="J271" s="14">
        <v>0</v>
      </c>
      <c r="K271" s="14">
        <v>0</v>
      </c>
    </row>
    <row r="272" spans="1:11" ht="19.5" customHeight="1" x14ac:dyDescent="0.3">
      <c r="A272" s="5">
        <v>19</v>
      </c>
      <c r="B272" s="33" t="s">
        <v>21</v>
      </c>
      <c r="C272" s="34" t="s">
        <v>69</v>
      </c>
      <c r="D272" s="35" t="s">
        <v>55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36">
        <v>0</v>
      </c>
    </row>
    <row r="273" spans="1:11" ht="3.75" customHeight="1" x14ac:dyDescent="0.3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</row>
    <row r="274" spans="1:11" ht="19.5" customHeight="1" x14ac:dyDescent="0.3">
      <c r="A274" s="24">
        <v>20</v>
      </c>
      <c r="B274" s="4" t="s">
        <v>22</v>
      </c>
      <c r="C274" s="25" t="s">
        <v>56</v>
      </c>
      <c r="D274" s="26" t="s">
        <v>57</v>
      </c>
      <c r="E274" s="27">
        <v>0</v>
      </c>
      <c r="F274" s="27">
        <v>0</v>
      </c>
      <c r="G274" s="27">
        <v>0</v>
      </c>
      <c r="H274" s="27">
        <v>0</v>
      </c>
      <c r="I274" s="27">
        <v>0</v>
      </c>
      <c r="J274" s="27">
        <v>0</v>
      </c>
      <c r="K274" s="28">
        <v>0</v>
      </c>
    </row>
    <row r="275" spans="1:11" ht="19.5" customHeight="1" x14ac:dyDescent="0.3">
      <c r="A275" s="29">
        <v>20</v>
      </c>
      <c r="B275" s="8" t="s">
        <v>22</v>
      </c>
      <c r="C275" s="30" t="s">
        <v>56</v>
      </c>
      <c r="D275" s="31" t="s">
        <v>58</v>
      </c>
      <c r="E275" s="32">
        <v>0</v>
      </c>
      <c r="F275" s="32">
        <v>0</v>
      </c>
      <c r="G275" s="32">
        <v>0</v>
      </c>
      <c r="H275" s="32">
        <v>0</v>
      </c>
      <c r="I275" s="32">
        <v>0</v>
      </c>
      <c r="J275" s="32">
        <v>0</v>
      </c>
      <c r="K275" s="28">
        <v>0</v>
      </c>
    </row>
    <row r="276" spans="1:11" ht="19.5" customHeight="1" x14ac:dyDescent="0.3">
      <c r="A276" s="24">
        <v>20</v>
      </c>
      <c r="B276" s="4" t="s">
        <v>22</v>
      </c>
      <c r="C276" s="25" t="s">
        <v>56</v>
      </c>
      <c r="D276" s="26" t="s">
        <v>59</v>
      </c>
      <c r="E276" s="27">
        <v>0</v>
      </c>
      <c r="F276" s="27">
        <v>0</v>
      </c>
      <c r="G276" s="27">
        <v>0</v>
      </c>
      <c r="H276" s="27">
        <v>0</v>
      </c>
      <c r="I276" s="27">
        <v>0</v>
      </c>
      <c r="J276" s="27">
        <v>0</v>
      </c>
      <c r="K276" s="28">
        <v>0</v>
      </c>
    </row>
    <row r="277" spans="1:11" ht="19.5" customHeight="1" x14ac:dyDescent="0.3">
      <c r="A277" s="5">
        <v>20</v>
      </c>
      <c r="B277" s="33" t="s">
        <v>22</v>
      </c>
      <c r="C277" s="34" t="s">
        <v>56</v>
      </c>
      <c r="D277" s="35" t="s">
        <v>55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36">
        <v>0</v>
      </c>
    </row>
    <row r="278" spans="1:11" ht="19.5" customHeight="1" x14ac:dyDescent="0.3">
      <c r="A278" s="24">
        <v>20</v>
      </c>
      <c r="B278" s="4" t="s">
        <v>22</v>
      </c>
      <c r="C278" s="25" t="s">
        <v>60</v>
      </c>
      <c r="D278" s="26" t="s">
        <v>57</v>
      </c>
      <c r="E278" s="27">
        <v>0</v>
      </c>
      <c r="F278" s="27">
        <v>0</v>
      </c>
      <c r="G278" s="27">
        <v>0</v>
      </c>
      <c r="H278" s="27">
        <v>0</v>
      </c>
      <c r="I278" s="27">
        <v>0</v>
      </c>
      <c r="J278" s="27">
        <v>0</v>
      </c>
      <c r="K278" s="28">
        <v>0</v>
      </c>
    </row>
    <row r="279" spans="1:11" ht="19.5" customHeight="1" x14ac:dyDescent="0.3">
      <c r="A279" s="29">
        <v>20</v>
      </c>
      <c r="B279" s="8" t="s">
        <v>22</v>
      </c>
      <c r="C279" s="30" t="s">
        <v>60</v>
      </c>
      <c r="D279" s="31" t="s">
        <v>58</v>
      </c>
      <c r="E279" s="32">
        <v>0</v>
      </c>
      <c r="F279" s="32">
        <v>0</v>
      </c>
      <c r="G279" s="32">
        <v>0</v>
      </c>
      <c r="H279" s="32">
        <v>0</v>
      </c>
      <c r="I279" s="32">
        <v>0</v>
      </c>
      <c r="J279" s="32">
        <v>0</v>
      </c>
      <c r="K279" s="28">
        <v>0</v>
      </c>
    </row>
    <row r="280" spans="1:11" ht="19.5" customHeight="1" x14ac:dyDescent="0.3">
      <c r="A280" s="24">
        <v>20</v>
      </c>
      <c r="B280" s="4" t="s">
        <v>22</v>
      </c>
      <c r="C280" s="25" t="s">
        <v>60</v>
      </c>
      <c r="D280" s="26" t="s">
        <v>59</v>
      </c>
      <c r="E280" s="27">
        <v>0</v>
      </c>
      <c r="F280" s="27">
        <v>0</v>
      </c>
      <c r="G280" s="27">
        <v>0</v>
      </c>
      <c r="H280" s="27">
        <v>0</v>
      </c>
      <c r="I280" s="27">
        <v>0</v>
      </c>
      <c r="J280" s="27">
        <v>0</v>
      </c>
      <c r="K280" s="28">
        <v>0</v>
      </c>
    </row>
    <row r="281" spans="1:11" ht="19.5" customHeight="1" x14ac:dyDescent="0.3">
      <c r="A281" s="5">
        <v>20</v>
      </c>
      <c r="B281" s="33" t="s">
        <v>22</v>
      </c>
      <c r="C281" s="34" t="s">
        <v>60</v>
      </c>
      <c r="D281" s="35" t="s">
        <v>55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36">
        <v>0</v>
      </c>
    </row>
    <row r="282" spans="1:11" ht="19.5" customHeight="1" x14ac:dyDescent="0.3">
      <c r="A282" s="24">
        <v>20</v>
      </c>
      <c r="B282" s="4" t="s">
        <v>22</v>
      </c>
      <c r="C282" s="25" t="s">
        <v>61</v>
      </c>
      <c r="D282" s="26" t="s">
        <v>62</v>
      </c>
      <c r="E282" s="27">
        <v>0</v>
      </c>
      <c r="F282" s="27">
        <v>0</v>
      </c>
      <c r="G282" s="27">
        <v>0</v>
      </c>
      <c r="H282" s="27">
        <v>0</v>
      </c>
      <c r="I282" s="27">
        <v>0</v>
      </c>
      <c r="J282" s="27">
        <v>0</v>
      </c>
      <c r="K282" s="28">
        <v>0</v>
      </c>
    </row>
    <row r="283" spans="1:11" ht="19.5" customHeight="1" x14ac:dyDescent="0.3">
      <c r="A283" s="37">
        <v>20</v>
      </c>
      <c r="B283" s="38" t="s">
        <v>22</v>
      </c>
      <c r="C283" s="39" t="s">
        <v>61</v>
      </c>
      <c r="D283" s="40" t="s">
        <v>63</v>
      </c>
      <c r="E283" s="37">
        <v>0</v>
      </c>
      <c r="F283" s="37">
        <v>0</v>
      </c>
      <c r="G283" s="37">
        <v>0</v>
      </c>
      <c r="H283" s="37">
        <v>0</v>
      </c>
      <c r="I283" s="37">
        <v>0</v>
      </c>
      <c r="J283" s="37">
        <v>0</v>
      </c>
      <c r="K283" s="14">
        <v>0</v>
      </c>
    </row>
    <row r="284" spans="1:11" ht="19.5" customHeight="1" x14ac:dyDescent="0.3">
      <c r="A284" s="24">
        <v>20</v>
      </c>
      <c r="B284" s="4" t="s">
        <v>22</v>
      </c>
      <c r="C284" s="25" t="s">
        <v>61</v>
      </c>
      <c r="D284" s="26" t="s">
        <v>64</v>
      </c>
      <c r="E284" s="27">
        <v>0</v>
      </c>
      <c r="F284" s="27">
        <v>0</v>
      </c>
      <c r="G284" s="27">
        <v>0</v>
      </c>
      <c r="H284" s="27">
        <v>0</v>
      </c>
      <c r="I284" s="27">
        <v>0</v>
      </c>
      <c r="J284" s="27">
        <v>0</v>
      </c>
      <c r="K284" s="28">
        <v>0</v>
      </c>
    </row>
    <row r="285" spans="1:11" ht="19.5" customHeight="1" x14ac:dyDescent="0.3">
      <c r="A285" s="37">
        <v>20</v>
      </c>
      <c r="B285" s="38" t="s">
        <v>22</v>
      </c>
      <c r="C285" s="39" t="s">
        <v>61</v>
      </c>
      <c r="D285" s="40" t="s">
        <v>65</v>
      </c>
      <c r="E285" s="37">
        <v>0</v>
      </c>
      <c r="F285" s="37">
        <v>0</v>
      </c>
      <c r="G285" s="37">
        <v>0</v>
      </c>
      <c r="H285" s="37">
        <v>0</v>
      </c>
      <c r="I285" s="37">
        <v>0</v>
      </c>
      <c r="J285" s="37">
        <v>0</v>
      </c>
      <c r="K285" s="14">
        <v>0</v>
      </c>
    </row>
    <row r="286" spans="1:11" ht="19.5" customHeight="1" x14ac:dyDescent="0.3">
      <c r="A286" s="24">
        <v>20</v>
      </c>
      <c r="B286" s="4" t="s">
        <v>22</v>
      </c>
      <c r="C286" s="25" t="s">
        <v>61</v>
      </c>
      <c r="D286" s="26" t="s">
        <v>66</v>
      </c>
      <c r="E286" s="27">
        <v>0</v>
      </c>
      <c r="F286" s="27">
        <v>0</v>
      </c>
      <c r="G286" s="27">
        <v>0</v>
      </c>
      <c r="H286" s="27">
        <v>0</v>
      </c>
      <c r="I286" s="27">
        <v>0</v>
      </c>
      <c r="J286" s="27">
        <v>0</v>
      </c>
      <c r="K286" s="28">
        <v>0</v>
      </c>
    </row>
    <row r="287" spans="1:11" ht="19.5" customHeight="1" x14ac:dyDescent="0.3">
      <c r="A287" s="37">
        <v>20</v>
      </c>
      <c r="B287" s="38" t="s">
        <v>22</v>
      </c>
      <c r="C287" s="39" t="s">
        <v>61</v>
      </c>
      <c r="D287" s="40" t="s">
        <v>67</v>
      </c>
      <c r="E287" s="37">
        <v>0</v>
      </c>
      <c r="F287" s="37">
        <v>0</v>
      </c>
      <c r="G287" s="37">
        <v>0</v>
      </c>
      <c r="H287" s="37">
        <v>0</v>
      </c>
      <c r="I287" s="37">
        <v>0</v>
      </c>
      <c r="J287" s="37">
        <v>0</v>
      </c>
      <c r="K287" s="14">
        <v>0</v>
      </c>
    </row>
    <row r="288" spans="1:11" ht="19.5" customHeight="1" x14ac:dyDescent="0.3">
      <c r="A288" s="5">
        <v>20</v>
      </c>
      <c r="B288" s="33" t="s">
        <v>22</v>
      </c>
      <c r="C288" s="34" t="s">
        <v>61</v>
      </c>
      <c r="D288" s="35" t="s">
        <v>55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36">
        <v>0</v>
      </c>
    </row>
    <row r="289" spans="1:11" ht="19.5" customHeight="1" x14ac:dyDescent="0.3">
      <c r="A289" s="14">
        <v>20</v>
      </c>
      <c r="B289" s="41" t="s">
        <v>22</v>
      </c>
      <c r="C289" s="42" t="s">
        <v>61</v>
      </c>
      <c r="D289" s="43" t="s">
        <v>68</v>
      </c>
      <c r="E289" s="14">
        <v>0</v>
      </c>
      <c r="F289" s="14">
        <v>0</v>
      </c>
      <c r="G289" s="14">
        <v>0</v>
      </c>
      <c r="H289" s="14">
        <v>0</v>
      </c>
      <c r="I289" s="14">
        <v>0</v>
      </c>
      <c r="J289" s="14">
        <v>0</v>
      </c>
      <c r="K289" s="14">
        <v>0</v>
      </c>
    </row>
    <row r="290" spans="1:11" ht="19.5" customHeight="1" x14ac:dyDescent="0.3">
      <c r="A290" s="5">
        <v>20</v>
      </c>
      <c r="B290" s="33" t="s">
        <v>22</v>
      </c>
      <c r="C290" s="34" t="s">
        <v>69</v>
      </c>
      <c r="D290" s="35" t="s">
        <v>55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36">
        <v>0</v>
      </c>
    </row>
    <row r="291" spans="1:11" ht="3.75" customHeight="1" x14ac:dyDescent="0.3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</row>
    <row r="292" spans="1:11" ht="6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</row>
    <row r="293" spans="1:11" ht="25.5" customHeight="1" x14ac:dyDescent="0.3">
      <c r="A293" s="55" t="s">
        <v>70</v>
      </c>
      <c r="B293" s="55"/>
      <c r="C293" s="55"/>
      <c r="D293" s="55"/>
      <c r="E293" s="55">
        <v>0</v>
      </c>
      <c r="F293" s="55">
        <v>0</v>
      </c>
      <c r="G293" s="55">
        <v>0</v>
      </c>
      <c r="H293" s="55">
        <v>0</v>
      </c>
      <c r="I293" s="55">
        <v>0</v>
      </c>
      <c r="J293" s="55">
        <v>0</v>
      </c>
      <c r="K293" s="55">
        <v>0</v>
      </c>
    </row>
    <row r="294" spans="1:11" ht="19.5" customHeight="1" x14ac:dyDescent="0.3">
      <c r="A294" s="56" t="s">
        <v>71</v>
      </c>
      <c r="B294" s="4" t="s">
        <v>72</v>
      </c>
      <c r="C294" s="25" t="s">
        <v>56</v>
      </c>
      <c r="D294" s="26" t="s">
        <v>57</v>
      </c>
      <c r="E294" s="27">
        <v>0</v>
      </c>
      <c r="F294" s="27">
        <v>0</v>
      </c>
      <c r="G294" s="27">
        <v>0</v>
      </c>
      <c r="H294" s="27">
        <v>0</v>
      </c>
      <c r="I294" s="27">
        <v>0</v>
      </c>
      <c r="J294" s="27">
        <v>0</v>
      </c>
      <c r="K294" s="28">
        <v>0</v>
      </c>
    </row>
    <row r="295" spans="1:11" ht="19.5" customHeight="1" x14ac:dyDescent="0.3">
      <c r="A295" s="57" t="s">
        <v>71</v>
      </c>
      <c r="B295" s="8" t="s">
        <v>73</v>
      </c>
      <c r="C295" s="30" t="s">
        <v>56</v>
      </c>
      <c r="D295" s="31" t="s">
        <v>58</v>
      </c>
      <c r="E295" s="32">
        <v>0</v>
      </c>
      <c r="F295" s="32">
        <v>0</v>
      </c>
      <c r="G295" s="32">
        <v>0</v>
      </c>
      <c r="H295" s="32">
        <v>0</v>
      </c>
      <c r="I295" s="32">
        <v>0</v>
      </c>
      <c r="J295" s="32">
        <v>0</v>
      </c>
      <c r="K295" s="28">
        <v>0</v>
      </c>
    </row>
    <row r="296" spans="1:11" ht="19.5" customHeight="1" x14ac:dyDescent="0.3">
      <c r="A296" s="56" t="s">
        <v>71</v>
      </c>
      <c r="B296" s="4" t="s">
        <v>74</v>
      </c>
      <c r="C296" s="25" t="s">
        <v>56</v>
      </c>
      <c r="D296" s="26" t="s">
        <v>59</v>
      </c>
      <c r="E296" s="27">
        <v>0</v>
      </c>
      <c r="F296" s="27">
        <v>0</v>
      </c>
      <c r="G296" s="27">
        <v>0</v>
      </c>
      <c r="H296" s="27">
        <v>0</v>
      </c>
      <c r="I296" s="27">
        <v>0</v>
      </c>
      <c r="J296" s="27">
        <v>0</v>
      </c>
      <c r="K296" s="28">
        <v>0</v>
      </c>
    </row>
    <row r="297" spans="1:11" ht="19.5" customHeight="1" x14ac:dyDescent="0.3">
      <c r="A297" s="5" t="s">
        <v>71</v>
      </c>
      <c r="B297" s="33" t="s">
        <v>75</v>
      </c>
      <c r="C297" s="34" t="s">
        <v>56</v>
      </c>
      <c r="D297" s="35" t="s">
        <v>55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36">
        <v>0</v>
      </c>
    </row>
    <row r="298" spans="1:11" ht="19.5" customHeight="1" x14ac:dyDescent="0.3">
      <c r="A298" s="56" t="s">
        <v>71</v>
      </c>
      <c r="B298" s="4" t="s">
        <v>76</v>
      </c>
      <c r="C298" s="25" t="s">
        <v>60</v>
      </c>
      <c r="D298" s="26" t="s">
        <v>57</v>
      </c>
      <c r="E298" s="27">
        <v>0</v>
      </c>
      <c r="F298" s="27">
        <v>0</v>
      </c>
      <c r="G298" s="27">
        <v>0</v>
      </c>
      <c r="H298" s="27">
        <v>0</v>
      </c>
      <c r="I298" s="27">
        <v>0</v>
      </c>
      <c r="J298" s="27">
        <v>0</v>
      </c>
      <c r="K298" s="28">
        <v>0</v>
      </c>
    </row>
    <row r="299" spans="1:11" ht="19.5" customHeight="1" x14ac:dyDescent="0.3">
      <c r="A299" s="57" t="s">
        <v>71</v>
      </c>
      <c r="B299" s="8" t="s">
        <v>77</v>
      </c>
      <c r="C299" s="30" t="s">
        <v>60</v>
      </c>
      <c r="D299" s="31" t="s">
        <v>58</v>
      </c>
      <c r="E299" s="32">
        <v>0</v>
      </c>
      <c r="F299" s="32">
        <v>0</v>
      </c>
      <c r="G299" s="32">
        <v>0</v>
      </c>
      <c r="H299" s="32">
        <v>0</v>
      </c>
      <c r="I299" s="32">
        <v>0</v>
      </c>
      <c r="J299" s="32">
        <v>0</v>
      </c>
      <c r="K299" s="28">
        <v>0</v>
      </c>
    </row>
    <row r="300" spans="1:11" ht="19.5" customHeight="1" x14ac:dyDescent="0.3">
      <c r="A300" s="56" t="s">
        <v>71</v>
      </c>
      <c r="B300" s="4" t="s">
        <v>78</v>
      </c>
      <c r="C300" s="25" t="s">
        <v>60</v>
      </c>
      <c r="D300" s="26" t="s">
        <v>59</v>
      </c>
      <c r="E300" s="27">
        <v>0</v>
      </c>
      <c r="F300" s="27">
        <v>0</v>
      </c>
      <c r="G300" s="27">
        <v>0</v>
      </c>
      <c r="H300" s="27">
        <v>0</v>
      </c>
      <c r="I300" s="27">
        <v>0</v>
      </c>
      <c r="J300" s="27">
        <v>0</v>
      </c>
      <c r="K300" s="28">
        <v>0</v>
      </c>
    </row>
    <row r="301" spans="1:11" ht="19.5" customHeight="1" x14ac:dyDescent="0.3">
      <c r="A301" s="5" t="s">
        <v>71</v>
      </c>
      <c r="B301" s="33" t="s">
        <v>79</v>
      </c>
      <c r="C301" s="34" t="s">
        <v>60</v>
      </c>
      <c r="D301" s="35" t="s">
        <v>55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36">
        <v>0</v>
      </c>
    </row>
    <row r="302" spans="1:11" ht="19.5" customHeight="1" x14ac:dyDescent="0.3">
      <c r="A302" s="56" t="s">
        <v>71</v>
      </c>
      <c r="B302" s="4" t="s">
        <v>80</v>
      </c>
      <c r="C302" s="25" t="s">
        <v>61</v>
      </c>
      <c r="D302" s="26" t="s">
        <v>62</v>
      </c>
      <c r="E302" s="27">
        <v>0</v>
      </c>
      <c r="F302" s="27">
        <v>0</v>
      </c>
      <c r="G302" s="27">
        <v>0</v>
      </c>
      <c r="H302" s="27">
        <v>0</v>
      </c>
      <c r="I302" s="27">
        <v>0</v>
      </c>
      <c r="J302" s="27">
        <v>0</v>
      </c>
      <c r="K302" s="28">
        <v>0</v>
      </c>
    </row>
    <row r="303" spans="1:11" ht="19.5" customHeight="1" x14ac:dyDescent="0.3">
      <c r="A303" s="37" t="s">
        <v>71</v>
      </c>
      <c r="B303" s="38" t="s">
        <v>81</v>
      </c>
      <c r="C303" s="39" t="s">
        <v>61</v>
      </c>
      <c r="D303" s="40" t="s">
        <v>63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14">
        <v>0</v>
      </c>
    </row>
    <row r="304" spans="1:11" ht="19.5" customHeight="1" x14ac:dyDescent="0.3">
      <c r="A304" s="56" t="s">
        <v>71</v>
      </c>
      <c r="B304" s="4" t="s">
        <v>82</v>
      </c>
      <c r="C304" s="25" t="s">
        <v>61</v>
      </c>
      <c r="D304" s="26" t="s">
        <v>64</v>
      </c>
      <c r="E304" s="27">
        <v>0</v>
      </c>
      <c r="F304" s="27">
        <v>0</v>
      </c>
      <c r="G304" s="27">
        <v>0</v>
      </c>
      <c r="H304" s="27">
        <v>0</v>
      </c>
      <c r="I304" s="27">
        <v>0</v>
      </c>
      <c r="J304" s="27">
        <v>0</v>
      </c>
      <c r="K304" s="28">
        <v>0</v>
      </c>
    </row>
    <row r="305" spans="1:11" ht="19.5" customHeight="1" x14ac:dyDescent="0.3">
      <c r="A305" s="37" t="s">
        <v>71</v>
      </c>
      <c r="B305" s="38" t="s">
        <v>83</v>
      </c>
      <c r="C305" s="39" t="s">
        <v>61</v>
      </c>
      <c r="D305" s="40" t="s">
        <v>65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14">
        <v>0</v>
      </c>
    </row>
    <row r="306" spans="1:11" ht="19.5" customHeight="1" x14ac:dyDescent="0.3">
      <c r="A306" s="56" t="s">
        <v>71</v>
      </c>
      <c r="B306" s="4" t="s">
        <v>84</v>
      </c>
      <c r="C306" s="25" t="s">
        <v>61</v>
      </c>
      <c r="D306" s="26" t="s">
        <v>66</v>
      </c>
      <c r="E306" s="27">
        <v>0</v>
      </c>
      <c r="F306" s="27">
        <v>0</v>
      </c>
      <c r="G306" s="27">
        <v>0</v>
      </c>
      <c r="H306" s="27">
        <v>0</v>
      </c>
      <c r="I306" s="27">
        <v>0</v>
      </c>
      <c r="J306" s="27">
        <v>0</v>
      </c>
      <c r="K306" s="28">
        <v>0</v>
      </c>
    </row>
    <row r="307" spans="1:11" ht="19.5" customHeight="1" x14ac:dyDescent="0.3">
      <c r="A307" s="37" t="s">
        <v>71</v>
      </c>
      <c r="B307" s="38" t="s">
        <v>85</v>
      </c>
      <c r="C307" s="39" t="s">
        <v>61</v>
      </c>
      <c r="D307" s="40" t="s">
        <v>67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14">
        <v>0</v>
      </c>
    </row>
    <row r="308" spans="1:11" ht="19.5" customHeight="1" x14ac:dyDescent="0.3">
      <c r="A308" s="5" t="s">
        <v>71</v>
      </c>
      <c r="B308" s="33" t="s">
        <v>86</v>
      </c>
      <c r="C308" s="34" t="s">
        <v>61</v>
      </c>
      <c r="D308" s="35" t="s">
        <v>55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36">
        <v>0</v>
      </c>
    </row>
    <row r="309" spans="1:11" ht="19.5" customHeight="1" x14ac:dyDescent="0.3">
      <c r="A309" s="14" t="s">
        <v>71</v>
      </c>
      <c r="B309" s="41" t="s">
        <v>87</v>
      </c>
      <c r="C309" s="42" t="s">
        <v>61</v>
      </c>
      <c r="D309" s="43" t="s">
        <v>68</v>
      </c>
      <c r="E309" s="14">
        <v>0</v>
      </c>
      <c r="F309" s="14">
        <v>0</v>
      </c>
      <c r="G309" s="14">
        <v>0</v>
      </c>
      <c r="H309" s="14">
        <v>0</v>
      </c>
      <c r="I309" s="14">
        <v>0</v>
      </c>
      <c r="J309" s="14">
        <v>0</v>
      </c>
      <c r="K309" s="14">
        <v>0</v>
      </c>
    </row>
    <row r="310" spans="1:11" ht="19.5" customHeight="1" x14ac:dyDescent="0.3">
      <c r="A310" s="5" t="s">
        <v>71</v>
      </c>
      <c r="B310" s="33" t="s">
        <v>88</v>
      </c>
      <c r="C310" s="34" t="s">
        <v>69</v>
      </c>
      <c r="D310" s="35" t="s">
        <v>55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36">
        <v>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320CA-2903-4EBE-98D2-25245D91102F}">
  <sheetPr codeName="Hoja2"/>
  <dimension ref="A1:AC20"/>
  <sheetViews>
    <sheetView tabSelected="1" topLeftCell="A3" workbookViewId="0">
      <selection activeCell="AE10" sqref="AE10"/>
    </sheetView>
  </sheetViews>
  <sheetFormatPr baseColWidth="10" defaultRowHeight="14.4" x14ac:dyDescent="0.3"/>
  <cols>
    <col min="1" max="1" width="5.77734375" style="138" customWidth="1"/>
    <col min="2" max="2" width="18.77734375" style="138" customWidth="1"/>
    <col min="3" max="29" width="9.77734375" style="138" customWidth="1"/>
    <col min="30" max="16384" width="11.5546875" style="138"/>
  </cols>
  <sheetData>
    <row r="1" spans="1:29" ht="42" customHeight="1" x14ac:dyDescent="0.3">
      <c r="A1" s="59" t="s">
        <v>96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</row>
    <row r="2" spans="1:29" ht="19.95" customHeight="1" x14ac:dyDescent="0.3">
      <c r="A2" s="60" t="s">
        <v>97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</row>
    <row r="3" spans="1:29" ht="30" customHeight="1" x14ac:dyDescent="0.3">
      <c r="A3" s="140"/>
      <c r="B3" s="140"/>
      <c r="C3" s="68" t="s">
        <v>98</v>
      </c>
      <c r="D3" s="68"/>
      <c r="E3" s="68"/>
      <c r="F3" s="68"/>
      <c r="G3" s="68"/>
      <c r="H3" s="68"/>
      <c r="I3" s="68"/>
      <c r="J3" s="69" t="s">
        <v>99</v>
      </c>
      <c r="K3" s="69"/>
      <c r="L3" s="69"/>
      <c r="M3" s="69"/>
      <c r="N3" s="69"/>
      <c r="O3" s="69"/>
      <c r="P3" s="69"/>
      <c r="Q3" s="70" t="s">
        <v>100</v>
      </c>
      <c r="R3" s="70"/>
      <c r="S3" s="70"/>
      <c r="T3" s="70"/>
      <c r="U3" s="70"/>
      <c r="V3" s="70"/>
      <c r="W3" s="70"/>
      <c r="X3" s="70"/>
      <c r="Y3" s="71" t="s">
        <v>101</v>
      </c>
      <c r="Z3" s="71"/>
      <c r="AA3" s="71"/>
      <c r="AB3" s="71"/>
      <c r="AC3" s="71"/>
    </row>
    <row r="4" spans="1:29" ht="25.95" customHeight="1" x14ac:dyDescent="0.3">
      <c r="A4" s="72" t="s">
        <v>33</v>
      </c>
      <c r="B4" s="72" t="s">
        <v>52</v>
      </c>
      <c r="C4" s="73" t="s">
        <v>102</v>
      </c>
      <c r="D4" s="74" t="s">
        <v>103</v>
      </c>
      <c r="E4" s="74" t="s">
        <v>104</v>
      </c>
      <c r="F4" s="75" t="s">
        <v>105</v>
      </c>
      <c r="G4" s="73" t="s">
        <v>106</v>
      </c>
      <c r="H4" s="75" t="s">
        <v>107</v>
      </c>
      <c r="I4" s="76" t="s">
        <v>108</v>
      </c>
      <c r="J4" s="77" t="s">
        <v>102</v>
      </c>
      <c r="K4" s="77" t="s">
        <v>103</v>
      </c>
      <c r="L4" s="77" t="s">
        <v>104</v>
      </c>
      <c r="M4" s="78" t="s">
        <v>106</v>
      </c>
      <c r="N4" s="79" t="s">
        <v>107</v>
      </c>
      <c r="O4" s="79" t="s">
        <v>105</v>
      </c>
      <c r="P4" s="80" t="s">
        <v>108</v>
      </c>
      <c r="Q4" s="81" t="s">
        <v>102</v>
      </c>
      <c r="R4" s="81" t="s">
        <v>103</v>
      </c>
      <c r="S4" s="82" t="s">
        <v>104</v>
      </c>
      <c r="T4" s="83" t="s">
        <v>106</v>
      </c>
      <c r="U4" s="84" t="s">
        <v>107</v>
      </c>
      <c r="V4" s="84" t="s">
        <v>105</v>
      </c>
      <c r="W4" s="85" t="s">
        <v>108</v>
      </c>
      <c r="X4" s="86" t="s">
        <v>109</v>
      </c>
      <c r="Y4" s="86" t="s">
        <v>102</v>
      </c>
      <c r="Z4" s="87" t="s">
        <v>103</v>
      </c>
      <c r="AA4" s="87" t="s">
        <v>104</v>
      </c>
      <c r="AB4" s="88" t="s">
        <v>107</v>
      </c>
      <c r="AC4" s="89" t="s">
        <v>108</v>
      </c>
    </row>
    <row r="5" spans="1:29" ht="24" customHeight="1" x14ac:dyDescent="0.3">
      <c r="A5" s="141">
        <v>2</v>
      </c>
      <c r="B5" s="142" t="s">
        <v>6</v>
      </c>
      <c r="C5" s="143" t="s">
        <v>38</v>
      </c>
      <c r="D5" s="144" t="s">
        <v>38</v>
      </c>
      <c r="E5" s="144" t="s">
        <v>38</v>
      </c>
      <c r="F5" s="144" t="s">
        <v>38</v>
      </c>
      <c r="G5" s="144" t="s">
        <v>38</v>
      </c>
      <c r="H5" s="144" t="s">
        <v>38</v>
      </c>
      <c r="I5" s="144" t="s">
        <v>38</v>
      </c>
      <c r="J5" s="145" t="s">
        <v>38</v>
      </c>
      <c r="K5" s="144" t="s">
        <v>38</v>
      </c>
      <c r="L5" s="144" t="s">
        <v>38</v>
      </c>
      <c r="M5" s="144" t="s">
        <v>38</v>
      </c>
      <c r="N5" s="144" t="s">
        <v>38</v>
      </c>
      <c r="O5" s="144" t="s">
        <v>38</v>
      </c>
      <c r="P5" s="144" t="s">
        <v>38</v>
      </c>
      <c r="Q5" s="146" t="s">
        <v>38</v>
      </c>
      <c r="R5" s="144" t="s">
        <v>38</v>
      </c>
      <c r="S5" s="144" t="s">
        <v>38</v>
      </c>
      <c r="T5" s="144" t="s">
        <v>38</v>
      </c>
      <c r="U5" s="144" t="s">
        <v>38</v>
      </c>
      <c r="V5" s="144" t="s">
        <v>38</v>
      </c>
      <c r="W5" s="144" t="s">
        <v>38</v>
      </c>
      <c r="X5" s="144" t="s">
        <v>38</v>
      </c>
      <c r="Y5" s="147" t="s">
        <v>38</v>
      </c>
      <c r="Z5" s="144" t="s">
        <v>38</v>
      </c>
      <c r="AA5" s="144" t="s">
        <v>38</v>
      </c>
      <c r="AB5" s="144" t="s">
        <v>38</v>
      </c>
      <c r="AC5" s="144" t="s">
        <v>38</v>
      </c>
    </row>
    <row r="6" spans="1:29" ht="24" customHeight="1" x14ac:dyDescent="0.3">
      <c r="A6" s="63">
        <v>3</v>
      </c>
      <c r="B6" s="64" t="s">
        <v>8</v>
      </c>
      <c r="C6" s="148" t="s">
        <v>38</v>
      </c>
      <c r="D6" s="149" t="s">
        <v>38</v>
      </c>
      <c r="E6" s="149" t="s">
        <v>38</v>
      </c>
      <c r="F6" s="149" t="s">
        <v>38</v>
      </c>
      <c r="G6" s="149" t="s">
        <v>38</v>
      </c>
      <c r="H6" s="149" t="s">
        <v>38</v>
      </c>
      <c r="I6" s="149" t="s">
        <v>38</v>
      </c>
      <c r="J6" s="150" t="s">
        <v>38</v>
      </c>
      <c r="K6" s="149" t="s">
        <v>38</v>
      </c>
      <c r="L6" s="149" t="s">
        <v>38</v>
      </c>
      <c r="M6" s="149" t="s">
        <v>38</v>
      </c>
      <c r="N6" s="149" t="s">
        <v>38</v>
      </c>
      <c r="O6" s="149" t="s">
        <v>38</v>
      </c>
      <c r="P6" s="149" t="s">
        <v>38</v>
      </c>
      <c r="Q6" s="151" t="s">
        <v>38</v>
      </c>
      <c r="R6" s="149" t="s">
        <v>38</v>
      </c>
      <c r="S6" s="149" t="s">
        <v>38</v>
      </c>
      <c r="T6" s="149" t="s">
        <v>38</v>
      </c>
      <c r="U6" s="149" t="s">
        <v>38</v>
      </c>
      <c r="V6" s="149" t="s">
        <v>38</v>
      </c>
      <c r="W6" s="149" t="s">
        <v>38</v>
      </c>
      <c r="X6" s="149" t="s">
        <v>38</v>
      </c>
      <c r="Y6" s="152" t="s">
        <v>38</v>
      </c>
      <c r="Z6" s="149" t="s">
        <v>38</v>
      </c>
      <c r="AA6" s="149" t="s">
        <v>38</v>
      </c>
      <c r="AB6" s="149" t="s">
        <v>38</v>
      </c>
      <c r="AC6" s="149" t="s">
        <v>38</v>
      </c>
    </row>
    <row r="7" spans="1:29" ht="24" customHeight="1" x14ac:dyDescent="0.3">
      <c r="A7" s="63">
        <v>4</v>
      </c>
      <c r="B7" s="66" t="s">
        <v>9</v>
      </c>
      <c r="C7" s="158" t="s">
        <v>38</v>
      </c>
      <c r="D7" s="159" t="s">
        <v>38</v>
      </c>
      <c r="E7" s="159" t="s">
        <v>38</v>
      </c>
      <c r="F7" s="159" t="s">
        <v>38</v>
      </c>
      <c r="G7" s="159" t="s">
        <v>38</v>
      </c>
      <c r="H7" s="159" t="s">
        <v>38</v>
      </c>
      <c r="I7" s="159" t="s">
        <v>38</v>
      </c>
      <c r="J7" s="160" t="s">
        <v>38</v>
      </c>
      <c r="K7" s="159" t="s">
        <v>38</v>
      </c>
      <c r="L7" s="159" t="s">
        <v>38</v>
      </c>
      <c r="M7" s="159" t="s">
        <v>38</v>
      </c>
      <c r="N7" s="159" t="s">
        <v>38</v>
      </c>
      <c r="O7" s="159" t="s">
        <v>38</v>
      </c>
      <c r="P7" s="159" t="s">
        <v>38</v>
      </c>
      <c r="Q7" s="161" t="s">
        <v>38</v>
      </c>
      <c r="R7" s="159" t="s">
        <v>38</v>
      </c>
      <c r="S7" s="159" t="s">
        <v>38</v>
      </c>
      <c r="T7" s="159" t="s">
        <v>38</v>
      </c>
      <c r="U7" s="159" t="s">
        <v>38</v>
      </c>
      <c r="V7" s="159" t="s">
        <v>38</v>
      </c>
      <c r="W7" s="159" t="s">
        <v>38</v>
      </c>
      <c r="X7" s="159" t="s">
        <v>38</v>
      </c>
      <c r="Y7" s="162" t="s">
        <v>38</v>
      </c>
      <c r="Z7" s="159" t="s">
        <v>38</v>
      </c>
      <c r="AA7" s="159" t="s">
        <v>38</v>
      </c>
      <c r="AB7" s="159" t="s">
        <v>38</v>
      </c>
      <c r="AC7" s="159" t="s">
        <v>38</v>
      </c>
    </row>
    <row r="8" spans="1:29" ht="24" customHeight="1" x14ac:dyDescent="0.3">
      <c r="A8" s="63">
        <v>5</v>
      </c>
      <c r="B8" s="64" t="s">
        <v>10</v>
      </c>
      <c r="C8" s="148" t="s">
        <v>38</v>
      </c>
      <c r="D8" s="149" t="s">
        <v>38</v>
      </c>
      <c r="E8" s="149" t="s">
        <v>38</v>
      </c>
      <c r="F8" s="149" t="s">
        <v>38</v>
      </c>
      <c r="G8" s="149" t="s">
        <v>38</v>
      </c>
      <c r="H8" s="149" t="s">
        <v>38</v>
      </c>
      <c r="I8" s="149" t="s">
        <v>38</v>
      </c>
      <c r="J8" s="150" t="s">
        <v>38</v>
      </c>
      <c r="K8" s="149" t="s">
        <v>38</v>
      </c>
      <c r="L8" s="149" t="s">
        <v>38</v>
      </c>
      <c r="M8" s="149" t="s">
        <v>38</v>
      </c>
      <c r="N8" s="149" t="s">
        <v>38</v>
      </c>
      <c r="O8" s="149" t="s">
        <v>38</v>
      </c>
      <c r="P8" s="149" t="s">
        <v>38</v>
      </c>
      <c r="Q8" s="151" t="s">
        <v>38</v>
      </c>
      <c r="R8" s="149" t="s">
        <v>38</v>
      </c>
      <c r="S8" s="149" t="s">
        <v>38</v>
      </c>
      <c r="T8" s="149" t="s">
        <v>38</v>
      </c>
      <c r="U8" s="149" t="s">
        <v>38</v>
      </c>
      <c r="V8" s="149" t="s">
        <v>38</v>
      </c>
      <c r="W8" s="149" t="s">
        <v>38</v>
      </c>
      <c r="X8" s="149" t="s">
        <v>38</v>
      </c>
      <c r="Y8" s="152" t="s">
        <v>38</v>
      </c>
      <c r="Z8" s="149" t="s">
        <v>38</v>
      </c>
      <c r="AA8" s="149" t="s">
        <v>38</v>
      </c>
      <c r="AB8" s="149" t="s">
        <v>38</v>
      </c>
      <c r="AC8" s="149" t="s">
        <v>38</v>
      </c>
    </row>
    <row r="9" spans="1:29" ht="24" customHeight="1" x14ac:dyDescent="0.3">
      <c r="A9" s="63">
        <v>6</v>
      </c>
      <c r="B9" s="66" t="s">
        <v>11</v>
      </c>
      <c r="C9" s="158" t="s">
        <v>38</v>
      </c>
      <c r="D9" s="159" t="s">
        <v>38</v>
      </c>
      <c r="E9" s="159" t="s">
        <v>38</v>
      </c>
      <c r="F9" s="159" t="s">
        <v>38</v>
      </c>
      <c r="G9" s="159" t="s">
        <v>38</v>
      </c>
      <c r="H9" s="159" t="s">
        <v>38</v>
      </c>
      <c r="I9" s="159" t="s">
        <v>38</v>
      </c>
      <c r="J9" s="160" t="s">
        <v>38</v>
      </c>
      <c r="K9" s="159" t="s">
        <v>38</v>
      </c>
      <c r="L9" s="159" t="s">
        <v>38</v>
      </c>
      <c r="M9" s="159" t="s">
        <v>38</v>
      </c>
      <c r="N9" s="159" t="s">
        <v>38</v>
      </c>
      <c r="O9" s="159" t="s">
        <v>38</v>
      </c>
      <c r="P9" s="159" t="s">
        <v>38</v>
      </c>
      <c r="Q9" s="161" t="s">
        <v>38</v>
      </c>
      <c r="R9" s="159" t="s">
        <v>38</v>
      </c>
      <c r="S9" s="159" t="s">
        <v>38</v>
      </c>
      <c r="T9" s="159" t="s">
        <v>38</v>
      </c>
      <c r="U9" s="159" t="s">
        <v>38</v>
      </c>
      <c r="V9" s="159" t="s">
        <v>38</v>
      </c>
      <c r="W9" s="159" t="s">
        <v>38</v>
      </c>
      <c r="X9" s="159" t="s">
        <v>38</v>
      </c>
      <c r="Y9" s="162" t="s">
        <v>38</v>
      </c>
      <c r="Z9" s="159" t="s">
        <v>38</v>
      </c>
      <c r="AA9" s="159" t="s">
        <v>38</v>
      </c>
      <c r="AB9" s="159" t="s">
        <v>38</v>
      </c>
      <c r="AC9" s="159" t="s">
        <v>38</v>
      </c>
    </row>
    <row r="10" spans="1:29" ht="24" customHeight="1" x14ac:dyDescent="0.3">
      <c r="A10" s="63">
        <v>9</v>
      </c>
      <c r="B10" s="64" t="s">
        <v>12</v>
      </c>
      <c r="C10" s="148" t="s">
        <v>38</v>
      </c>
      <c r="D10" s="149" t="s">
        <v>38</v>
      </c>
      <c r="E10" s="149" t="s">
        <v>38</v>
      </c>
      <c r="F10" s="149" t="s">
        <v>38</v>
      </c>
      <c r="G10" s="149" t="s">
        <v>38</v>
      </c>
      <c r="H10" s="149" t="s">
        <v>38</v>
      </c>
      <c r="I10" s="149" t="s">
        <v>38</v>
      </c>
      <c r="J10" s="150" t="s">
        <v>38</v>
      </c>
      <c r="K10" s="149" t="s">
        <v>38</v>
      </c>
      <c r="L10" s="149" t="s">
        <v>38</v>
      </c>
      <c r="M10" s="149" t="s">
        <v>38</v>
      </c>
      <c r="N10" s="149" t="s">
        <v>38</v>
      </c>
      <c r="O10" s="149" t="s">
        <v>38</v>
      </c>
      <c r="P10" s="149" t="s">
        <v>38</v>
      </c>
      <c r="Q10" s="151" t="s">
        <v>38</v>
      </c>
      <c r="R10" s="149" t="s">
        <v>38</v>
      </c>
      <c r="S10" s="149" t="s">
        <v>38</v>
      </c>
      <c r="T10" s="149" t="s">
        <v>38</v>
      </c>
      <c r="U10" s="149" t="s">
        <v>38</v>
      </c>
      <c r="V10" s="149" t="s">
        <v>38</v>
      </c>
      <c r="W10" s="149" t="s">
        <v>38</v>
      </c>
      <c r="X10" s="149" t="s">
        <v>38</v>
      </c>
      <c r="Y10" s="152" t="s">
        <v>38</v>
      </c>
      <c r="Z10" s="149" t="s">
        <v>38</v>
      </c>
      <c r="AA10" s="149" t="s">
        <v>38</v>
      </c>
      <c r="AB10" s="149" t="s">
        <v>38</v>
      </c>
      <c r="AC10" s="149" t="s">
        <v>38</v>
      </c>
    </row>
    <row r="11" spans="1:29" ht="24" customHeight="1" x14ac:dyDescent="0.3">
      <c r="A11" s="63">
        <v>10</v>
      </c>
      <c r="B11" s="66" t="s">
        <v>13</v>
      </c>
      <c r="C11" s="158" t="s">
        <v>38</v>
      </c>
      <c r="D11" s="159" t="s">
        <v>38</v>
      </c>
      <c r="E11" s="159" t="s">
        <v>38</v>
      </c>
      <c r="F11" s="159" t="s">
        <v>38</v>
      </c>
      <c r="G11" s="159" t="s">
        <v>38</v>
      </c>
      <c r="H11" s="159" t="s">
        <v>38</v>
      </c>
      <c r="I11" s="159" t="s">
        <v>38</v>
      </c>
      <c r="J11" s="160" t="s">
        <v>38</v>
      </c>
      <c r="K11" s="159" t="s">
        <v>38</v>
      </c>
      <c r="L11" s="159" t="s">
        <v>38</v>
      </c>
      <c r="M11" s="159" t="s">
        <v>38</v>
      </c>
      <c r="N11" s="159" t="s">
        <v>38</v>
      </c>
      <c r="O11" s="159" t="s">
        <v>38</v>
      </c>
      <c r="P11" s="159" t="s">
        <v>38</v>
      </c>
      <c r="Q11" s="161" t="s">
        <v>38</v>
      </c>
      <c r="R11" s="159" t="s">
        <v>38</v>
      </c>
      <c r="S11" s="159" t="s">
        <v>38</v>
      </c>
      <c r="T11" s="159" t="s">
        <v>38</v>
      </c>
      <c r="U11" s="159" t="s">
        <v>38</v>
      </c>
      <c r="V11" s="159" t="s">
        <v>38</v>
      </c>
      <c r="W11" s="159" t="s">
        <v>38</v>
      </c>
      <c r="X11" s="159" t="s">
        <v>38</v>
      </c>
      <c r="Y11" s="162" t="s">
        <v>38</v>
      </c>
      <c r="Z11" s="159" t="s">
        <v>38</v>
      </c>
      <c r="AA11" s="159" t="s">
        <v>38</v>
      </c>
      <c r="AB11" s="159" t="s">
        <v>38</v>
      </c>
      <c r="AC11" s="159" t="s">
        <v>38</v>
      </c>
    </row>
    <row r="12" spans="1:29" ht="24" customHeight="1" x14ac:dyDescent="0.3">
      <c r="A12" s="63">
        <v>11</v>
      </c>
      <c r="B12" s="64" t="s">
        <v>14</v>
      </c>
      <c r="C12" s="148" t="s">
        <v>38</v>
      </c>
      <c r="D12" s="149" t="s">
        <v>38</v>
      </c>
      <c r="E12" s="149" t="s">
        <v>38</v>
      </c>
      <c r="F12" s="149" t="s">
        <v>38</v>
      </c>
      <c r="G12" s="149" t="s">
        <v>38</v>
      </c>
      <c r="H12" s="149" t="s">
        <v>38</v>
      </c>
      <c r="I12" s="149" t="s">
        <v>38</v>
      </c>
      <c r="J12" s="150" t="s">
        <v>38</v>
      </c>
      <c r="K12" s="149" t="s">
        <v>38</v>
      </c>
      <c r="L12" s="149" t="s">
        <v>38</v>
      </c>
      <c r="M12" s="149" t="s">
        <v>38</v>
      </c>
      <c r="N12" s="149" t="s">
        <v>38</v>
      </c>
      <c r="O12" s="149" t="s">
        <v>38</v>
      </c>
      <c r="P12" s="149" t="s">
        <v>38</v>
      </c>
      <c r="Q12" s="151" t="s">
        <v>38</v>
      </c>
      <c r="R12" s="149" t="s">
        <v>38</v>
      </c>
      <c r="S12" s="149" t="s">
        <v>38</v>
      </c>
      <c r="T12" s="149" t="s">
        <v>38</v>
      </c>
      <c r="U12" s="149" t="s">
        <v>38</v>
      </c>
      <c r="V12" s="149" t="s">
        <v>38</v>
      </c>
      <c r="W12" s="149" t="s">
        <v>38</v>
      </c>
      <c r="X12" s="149" t="s">
        <v>38</v>
      </c>
      <c r="Y12" s="152" t="s">
        <v>38</v>
      </c>
      <c r="Z12" s="149" t="s">
        <v>38</v>
      </c>
      <c r="AA12" s="149" t="s">
        <v>38</v>
      </c>
      <c r="AB12" s="149" t="s">
        <v>38</v>
      </c>
      <c r="AC12" s="149" t="s">
        <v>38</v>
      </c>
    </row>
    <row r="13" spans="1:29" ht="24" customHeight="1" x14ac:dyDescent="0.3">
      <c r="A13" s="63">
        <v>12</v>
      </c>
      <c r="B13" s="66" t="s">
        <v>15</v>
      </c>
      <c r="C13" s="158" t="s">
        <v>38</v>
      </c>
      <c r="D13" s="159" t="s">
        <v>38</v>
      </c>
      <c r="E13" s="159" t="s">
        <v>38</v>
      </c>
      <c r="F13" s="159" t="s">
        <v>38</v>
      </c>
      <c r="G13" s="159" t="s">
        <v>38</v>
      </c>
      <c r="H13" s="159" t="s">
        <v>38</v>
      </c>
      <c r="I13" s="159" t="s">
        <v>38</v>
      </c>
      <c r="J13" s="160" t="s">
        <v>38</v>
      </c>
      <c r="K13" s="159" t="s">
        <v>38</v>
      </c>
      <c r="L13" s="159" t="s">
        <v>38</v>
      </c>
      <c r="M13" s="159" t="s">
        <v>38</v>
      </c>
      <c r="N13" s="159" t="s">
        <v>38</v>
      </c>
      <c r="O13" s="159" t="s">
        <v>38</v>
      </c>
      <c r="P13" s="159" t="s">
        <v>38</v>
      </c>
      <c r="Q13" s="161" t="s">
        <v>38</v>
      </c>
      <c r="R13" s="159" t="s">
        <v>38</v>
      </c>
      <c r="S13" s="159" t="s">
        <v>38</v>
      </c>
      <c r="T13" s="159" t="s">
        <v>38</v>
      </c>
      <c r="U13" s="159" t="s">
        <v>38</v>
      </c>
      <c r="V13" s="159" t="s">
        <v>38</v>
      </c>
      <c r="W13" s="159" t="s">
        <v>38</v>
      </c>
      <c r="X13" s="159" t="s">
        <v>38</v>
      </c>
      <c r="Y13" s="162" t="s">
        <v>38</v>
      </c>
      <c r="Z13" s="159" t="s">
        <v>38</v>
      </c>
      <c r="AA13" s="159" t="s">
        <v>38</v>
      </c>
      <c r="AB13" s="159" t="s">
        <v>38</v>
      </c>
      <c r="AC13" s="159" t="s">
        <v>38</v>
      </c>
    </row>
    <row r="14" spans="1:29" ht="24" customHeight="1" x14ac:dyDescent="0.3">
      <c r="A14" s="63">
        <v>13</v>
      </c>
      <c r="B14" s="64" t="s">
        <v>16</v>
      </c>
      <c r="C14" s="148" t="s">
        <v>38</v>
      </c>
      <c r="D14" s="149" t="s">
        <v>38</v>
      </c>
      <c r="E14" s="149" t="s">
        <v>38</v>
      </c>
      <c r="F14" s="149" t="s">
        <v>38</v>
      </c>
      <c r="G14" s="149" t="s">
        <v>38</v>
      </c>
      <c r="H14" s="149" t="s">
        <v>38</v>
      </c>
      <c r="I14" s="149" t="s">
        <v>38</v>
      </c>
      <c r="J14" s="150" t="s">
        <v>38</v>
      </c>
      <c r="K14" s="149" t="s">
        <v>38</v>
      </c>
      <c r="L14" s="149" t="s">
        <v>38</v>
      </c>
      <c r="M14" s="149" t="s">
        <v>38</v>
      </c>
      <c r="N14" s="149" t="s">
        <v>38</v>
      </c>
      <c r="O14" s="149" t="s">
        <v>38</v>
      </c>
      <c r="P14" s="149" t="s">
        <v>38</v>
      </c>
      <c r="Q14" s="151" t="s">
        <v>38</v>
      </c>
      <c r="R14" s="149" t="s">
        <v>38</v>
      </c>
      <c r="S14" s="149" t="s">
        <v>38</v>
      </c>
      <c r="T14" s="149" t="s">
        <v>38</v>
      </c>
      <c r="U14" s="149" t="s">
        <v>38</v>
      </c>
      <c r="V14" s="149" t="s">
        <v>38</v>
      </c>
      <c r="W14" s="149" t="s">
        <v>38</v>
      </c>
      <c r="X14" s="149" t="s">
        <v>38</v>
      </c>
      <c r="Y14" s="152" t="s">
        <v>38</v>
      </c>
      <c r="Z14" s="149" t="s">
        <v>38</v>
      </c>
      <c r="AA14" s="149" t="s">
        <v>38</v>
      </c>
      <c r="AB14" s="149" t="s">
        <v>38</v>
      </c>
      <c r="AC14" s="149" t="s">
        <v>38</v>
      </c>
    </row>
    <row r="15" spans="1:29" ht="24" customHeight="1" x14ac:dyDescent="0.3">
      <c r="A15" s="63">
        <v>14</v>
      </c>
      <c r="B15" s="66" t="s">
        <v>17</v>
      </c>
      <c r="C15" s="158" t="s">
        <v>38</v>
      </c>
      <c r="D15" s="163" t="s">
        <v>38</v>
      </c>
      <c r="E15" s="163" t="s">
        <v>38</v>
      </c>
      <c r="F15" s="163" t="s">
        <v>38</v>
      </c>
      <c r="G15" s="163" t="s">
        <v>38</v>
      </c>
      <c r="H15" s="163" t="s">
        <v>38</v>
      </c>
      <c r="I15" s="163" t="s">
        <v>38</v>
      </c>
      <c r="J15" s="160" t="s">
        <v>38</v>
      </c>
      <c r="K15" s="163" t="s">
        <v>38</v>
      </c>
      <c r="L15" s="163" t="s">
        <v>38</v>
      </c>
      <c r="M15" s="163" t="s">
        <v>38</v>
      </c>
      <c r="N15" s="163" t="s">
        <v>38</v>
      </c>
      <c r="O15" s="163" t="s">
        <v>38</v>
      </c>
      <c r="P15" s="163" t="s">
        <v>38</v>
      </c>
      <c r="Q15" s="161" t="s">
        <v>38</v>
      </c>
      <c r="R15" s="163" t="s">
        <v>38</v>
      </c>
      <c r="S15" s="163" t="s">
        <v>38</v>
      </c>
      <c r="T15" s="163" t="s">
        <v>38</v>
      </c>
      <c r="U15" s="163" t="s">
        <v>38</v>
      </c>
      <c r="V15" s="163" t="s">
        <v>38</v>
      </c>
      <c r="W15" s="163" t="s">
        <v>38</v>
      </c>
      <c r="X15" s="159" t="s">
        <v>38</v>
      </c>
      <c r="Y15" s="162" t="s">
        <v>38</v>
      </c>
      <c r="Z15" s="159" t="s">
        <v>38</v>
      </c>
      <c r="AA15" s="159" t="s">
        <v>38</v>
      </c>
      <c r="AB15" s="159" t="s">
        <v>38</v>
      </c>
      <c r="AC15" s="159" t="s">
        <v>38</v>
      </c>
    </row>
    <row r="16" spans="1:29" ht="24" customHeight="1" x14ac:dyDescent="0.3">
      <c r="A16" s="63">
        <v>15</v>
      </c>
      <c r="B16" s="64" t="s">
        <v>18</v>
      </c>
      <c r="C16" s="148" t="s">
        <v>38</v>
      </c>
      <c r="D16" s="149" t="s">
        <v>38</v>
      </c>
      <c r="E16" s="149" t="s">
        <v>38</v>
      </c>
      <c r="F16" s="149" t="s">
        <v>38</v>
      </c>
      <c r="G16" s="149" t="s">
        <v>38</v>
      </c>
      <c r="H16" s="149" t="s">
        <v>38</v>
      </c>
      <c r="I16" s="149" t="s">
        <v>38</v>
      </c>
      <c r="J16" s="150" t="s">
        <v>38</v>
      </c>
      <c r="K16" s="149" t="s">
        <v>38</v>
      </c>
      <c r="L16" s="149" t="s">
        <v>38</v>
      </c>
      <c r="M16" s="149" t="s">
        <v>38</v>
      </c>
      <c r="N16" s="149" t="s">
        <v>38</v>
      </c>
      <c r="O16" s="149" t="s">
        <v>38</v>
      </c>
      <c r="P16" s="149" t="s">
        <v>38</v>
      </c>
      <c r="Q16" s="151" t="s">
        <v>38</v>
      </c>
      <c r="R16" s="149" t="s">
        <v>38</v>
      </c>
      <c r="S16" s="149" t="s">
        <v>38</v>
      </c>
      <c r="T16" s="149" t="s">
        <v>38</v>
      </c>
      <c r="U16" s="149" t="s">
        <v>38</v>
      </c>
      <c r="V16" s="149" t="s">
        <v>38</v>
      </c>
      <c r="W16" s="149" t="s">
        <v>38</v>
      </c>
      <c r="X16" s="149" t="s">
        <v>38</v>
      </c>
      <c r="Y16" s="152" t="s">
        <v>38</v>
      </c>
      <c r="Z16" s="149" t="s">
        <v>38</v>
      </c>
      <c r="AA16" s="149" t="s">
        <v>38</v>
      </c>
      <c r="AB16" s="149" t="s">
        <v>38</v>
      </c>
      <c r="AC16" s="149" t="s">
        <v>38</v>
      </c>
    </row>
    <row r="17" spans="1:29" ht="24" customHeight="1" x14ac:dyDescent="0.3">
      <c r="A17" s="63">
        <v>17</v>
      </c>
      <c r="B17" s="66" t="s">
        <v>19</v>
      </c>
      <c r="C17" s="158" t="s">
        <v>38</v>
      </c>
      <c r="D17" s="159" t="s">
        <v>38</v>
      </c>
      <c r="E17" s="159" t="s">
        <v>38</v>
      </c>
      <c r="F17" s="159" t="s">
        <v>38</v>
      </c>
      <c r="G17" s="159" t="s">
        <v>38</v>
      </c>
      <c r="H17" s="159" t="s">
        <v>38</v>
      </c>
      <c r="I17" s="159" t="s">
        <v>38</v>
      </c>
      <c r="J17" s="160" t="s">
        <v>38</v>
      </c>
      <c r="K17" s="159" t="s">
        <v>38</v>
      </c>
      <c r="L17" s="159" t="s">
        <v>38</v>
      </c>
      <c r="M17" s="159" t="s">
        <v>38</v>
      </c>
      <c r="N17" s="159" t="s">
        <v>38</v>
      </c>
      <c r="O17" s="159" t="s">
        <v>38</v>
      </c>
      <c r="P17" s="159" t="s">
        <v>38</v>
      </c>
      <c r="Q17" s="161" t="s">
        <v>38</v>
      </c>
      <c r="R17" s="159" t="s">
        <v>38</v>
      </c>
      <c r="S17" s="159" t="s">
        <v>38</v>
      </c>
      <c r="T17" s="159" t="s">
        <v>38</v>
      </c>
      <c r="U17" s="159" t="s">
        <v>38</v>
      </c>
      <c r="V17" s="159" t="s">
        <v>38</v>
      </c>
      <c r="W17" s="159" t="s">
        <v>38</v>
      </c>
      <c r="X17" s="159" t="s">
        <v>38</v>
      </c>
      <c r="Y17" s="162" t="s">
        <v>38</v>
      </c>
      <c r="Z17" s="159" t="s">
        <v>38</v>
      </c>
      <c r="AA17" s="159" t="s">
        <v>38</v>
      </c>
      <c r="AB17" s="159" t="s">
        <v>38</v>
      </c>
      <c r="AC17" s="159" t="s">
        <v>38</v>
      </c>
    </row>
    <row r="18" spans="1:29" ht="24" customHeight="1" x14ac:dyDescent="0.3">
      <c r="A18" s="63">
        <v>18</v>
      </c>
      <c r="B18" s="64" t="s">
        <v>20</v>
      </c>
      <c r="C18" s="148" t="s">
        <v>38</v>
      </c>
      <c r="D18" s="149" t="s">
        <v>38</v>
      </c>
      <c r="E18" s="149" t="s">
        <v>38</v>
      </c>
      <c r="F18" s="149" t="s">
        <v>38</v>
      </c>
      <c r="G18" s="149" t="s">
        <v>38</v>
      </c>
      <c r="H18" s="149" t="s">
        <v>38</v>
      </c>
      <c r="I18" s="149" t="s">
        <v>38</v>
      </c>
      <c r="J18" s="150" t="s">
        <v>38</v>
      </c>
      <c r="K18" s="149" t="s">
        <v>38</v>
      </c>
      <c r="L18" s="149" t="s">
        <v>38</v>
      </c>
      <c r="M18" s="149" t="s">
        <v>38</v>
      </c>
      <c r="N18" s="149" t="s">
        <v>38</v>
      </c>
      <c r="O18" s="149" t="s">
        <v>38</v>
      </c>
      <c r="P18" s="149" t="s">
        <v>38</v>
      </c>
      <c r="Q18" s="151" t="s">
        <v>38</v>
      </c>
      <c r="R18" s="149" t="s">
        <v>38</v>
      </c>
      <c r="S18" s="149" t="s">
        <v>38</v>
      </c>
      <c r="T18" s="149" t="s">
        <v>38</v>
      </c>
      <c r="U18" s="149" t="s">
        <v>38</v>
      </c>
      <c r="V18" s="149" t="s">
        <v>38</v>
      </c>
      <c r="W18" s="149" t="s">
        <v>38</v>
      </c>
      <c r="X18" s="149" t="s">
        <v>38</v>
      </c>
      <c r="Y18" s="152" t="s">
        <v>38</v>
      </c>
      <c r="Z18" s="149" t="s">
        <v>38</v>
      </c>
      <c r="AA18" s="149" t="s">
        <v>38</v>
      </c>
      <c r="AB18" s="149" t="s">
        <v>38</v>
      </c>
      <c r="AC18" s="149" t="s">
        <v>38</v>
      </c>
    </row>
    <row r="19" spans="1:29" ht="24" customHeight="1" x14ac:dyDescent="0.3">
      <c r="A19" s="62">
        <v>19</v>
      </c>
      <c r="B19" s="65" t="s">
        <v>21</v>
      </c>
      <c r="C19" s="154" t="s">
        <v>38</v>
      </c>
      <c r="D19" s="153" t="s">
        <v>38</v>
      </c>
      <c r="E19" s="153" t="s">
        <v>38</v>
      </c>
      <c r="F19" s="153" t="s">
        <v>38</v>
      </c>
      <c r="G19" s="153" t="s">
        <v>38</v>
      </c>
      <c r="H19" s="153" t="s">
        <v>38</v>
      </c>
      <c r="I19" s="153" t="s">
        <v>38</v>
      </c>
      <c r="J19" s="155" t="s">
        <v>38</v>
      </c>
      <c r="K19" s="153" t="s">
        <v>38</v>
      </c>
      <c r="L19" s="153" t="s">
        <v>38</v>
      </c>
      <c r="M19" s="153" t="s">
        <v>38</v>
      </c>
      <c r="N19" s="153" t="s">
        <v>38</v>
      </c>
      <c r="O19" s="153" t="s">
        <v>38</v>
      </c>
      <c r="P19" s="153" t="s">
        <v>38</v>
      </c>
      <c r="Q19" s="156" t="s">
        <v>38</v>
      </c>
      <c r="R19" s="153" t="s">
        <v>38</v>
      </c>
      <c r="S19" s="153" t="s">
        <v>38</v>
      </c>
      <c r="T19" s="153" t="s">
        <v>38</v>
      </c>
      <c r="U19" s="153" t="s">
        <v>38</v>
      </c>
      <c r="V19" s="153" t="s">
        <v>38</v>
      </c>
      <c r="W19" s="153" t="s">
        <v>38</v>
      </c>
      <c r="X19" s="153" t="s">
        <v>38</v>
      </c>
      <c r="Y19" s="157" t="s">
        <v>38</v>
      </c>
      <c r="Z19" s="153" t="s">
        <v>38</v>
      </c>
      <c r="AA19" s="153" t="s">
        <v>38</v>
      </c>
      <c r="AB19" s="153" t="s">
        <v>38</v>
      </c>
      <c r="AC19" s="153" t="s">
        <v>38</v>
      </c>
    </row>
    <row r="20" spans="1:29" ht="28.05" customHeight="1" x14ac:dyDescent="0.3">
      <c r="A20" s="61" t="s">
        <v>110</v>
      </c>
      <c r="B20" s="61" t="s">
        <v>111</v>
      </c>
      <c r="C20" s="61">
        <v>0</v>
      </c>
      <c r="D20" s="67">
        <v>0</v>
      </c>
      <c r="E20" s="67">
        <v>0</v>
      </c>
      <c r="F20" s="67">
        <v>0</v>
      </c>
      <c r="G20" s="67">
        <v>0</v>
      </c>
      <c r="H20" s="67">
        <v>0</v>
      </c>
      <c r="I20" s="67">
        <v>0</v>
      </c>
      <c r="J20" s="61">
        <v>0</v>
      </c>
      <c r="K20" s="67">
        <v>0</v>
      </c>
      <c r="L20" s="67">
        <v>0</v>
      </c>
      <c r="M20" s="67">
        <v>0</v>
      </c>
      <c r="N20" s="67">
        <v>0</v>
      </c>
      <c r="O20" s="67">
        <v>0</v>
      </c>
      <c r="P20" s="67">
        <v>0</v>
      </c>
      <c r="Q20" s="61">
        <v>0</v>
      </c>
      <c r="R20" s="67">
        <v>0</v>
      </c>
      <c r="S20" s="67">
        <v>0</v>
      </c>
      <c r="T20" s="67">
        <v>0</v>
      </c>
      <c r="U20" s="67">
        <v>0</v>
      </c>
      <c r="V20" s="67">
        <v>0</v>
      </c>
      <c r="W20" s="67">
        <v>0</v>
      </c>
      <c r="X20" s="61">
        <v>0</v>
      </c>
      <c r="Y20" s="61">
        <v>0</v>
      </c>
      <c r="Z20" s="61">
        <v>0</v>
      </c>
      <c r="AA20" s="61">
        <v>0</v>
      </c>
      <c r="AB20" s="61">
        <v>0</v>
      </c>
      <c r="AC20" s="6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EQUIPO</vt:lpstr>
      <vt:lpstr>GUIA</vt:lpstr>
      <vt:lpstr>CARGA</vt:lpstr>
      <vt:lpstr>BASE DE DATOS</vt:lpstr>
      <vt:lpstr>RESUMEN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Ignacio Damian Verdi</cp:lastModifiedBy>
  <cp:revision>0</cp:revision>
  <dcterms:created xsi:type="dcterms:W3CDTF">2026-05-16T15:09:57Z</dcterms:created>
  <dcterms:modified xsi:type="dcterms:W3CDTF">2026-05-24T14:31:36Z</dcterms:modified>
  <dc:language>en-US</dc:language>
</cp:coreProperties>
</file>