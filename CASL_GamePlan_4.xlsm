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A146866F-7BCF-45EF-859C-DA568551E262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NSTRUCCIONES" sheetId="1" r:id="rId1"/>
    <sheet name="DBANF" sheetId="2" r:id="rId2"/>
    <sheet name="EXPORTAR" sheetId="3" r:id="rId3"/>
    <sheet name="VIDEOS_DBANF" sheetId="6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8" i="6" l="1"/>
  <c r="G87" i="6"/>
  <c r="G86" i="6"/>
  <c r="G85" i="6"/>
  <c r="G84" i="6"/>
  <c r="G83" i="6"/>
  <c r="G82" i="6"/>
  <c r="G80" i="6"/>
  <c r="G79" i="6"/>
  <c r="G78" i="6"/>
  <c r="G77" i="6"/>
  <c r="G76" i="6"/>
  <c r="G75" i="6"/>
  <c r="G73" i="6"/>
  <c r="G72" i="6"/>
  <c r="G71" i="6"/>
  <c r="G70" i="6"/>
  <c r="G69" i="6"/>
  <c r="G68" i="6"/>
  <c r="G66" i="6"/>
  <c r="G65" i="6"/>
  <c r="G64" i="6"/>
  <c r="G63" i="6"/>
  <c r="G62" i="6"/>
  <c r="G61" i="6"/>
  <c r="G60" i="6"/>
  <c r="G59" i="6"/>
  <c r="G57" i="6"/>
  <c r="G56" i="6"/>
  <c r="G55" i="6"/>
  <c r="G53" i="6"/>
  <c r="G52" i="6"/>
  <c r="G51" i="6"/>
  <c r="G49" i="6"/>
  <c r="G48" i="6"/>
  <c r="G47" i="6"/>
  <c r="G46" i="6"/>
  <c r="G45" i="6"/>
  <c r="G44" i="6"/>
  <c r="G43" i="6"/>
  <c r="G41" i="6"/>
  <c r="G40" i="6"/>
  <c r="G39" i="6"/>
  <c r="G38" i="6"/>
  <c r="G37" i="6"/>
  <c r="G36" i="6"/>
  <c r="G34" i="6"/>
  <c r="G33" i="6"/>
  <c r="G32" i="6"/>
  <c r="G31" i="6"/>
  <c r="G30" i="6"/>
  <c r="G29" i="6"/>
  <c r="G27" i="6"/>
  <c r="G26" i="6"/>
  <c r="G25" i="6"/>
  <c r="G24" i="6"/>
  <c r="G23" i="6"/>
  <c r="G22" i="6"/>
  <c r="G21" i="6"/>
  <c r="G19" i="6"/>
  <c r="G18" i="6"/>
  <c r="G17" i="6"/>
  <c r="G16" i="6"/>
  <c r="G15" i="6"/>
  <c r="G14" i="6"/>
  <c r="G13" i="6"/>
  <c r="G12" i="6"/>
  <c r="G10" i="6"/>
  <c r="G9" i="6"/>
  <c r="G8" i="6"/>
  <c r="G7" i="6"/>
  <c r="G6" i="6"/>
  <c r="G5" i="6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</calcChain>
</file>

<file path=xl/sharedStrings.xml><?xml version="1.0" encoding="utf-8"?>
<sst xmlns="http://schemas.openxmlformats.org/spreadsheetml/2006/main" count="1103" uniqueCount="158">
  <si>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</si>
  <si>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</si>
  <si>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</si>
  <si>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</si>
  <si>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</si>
  <si>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</si>
  <si>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</si>
  <si>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</si>
  <si>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</si>
  <si>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</si>
  <si>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</si>
  <si>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</si>
  <si>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</si>
  <si>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ARMADOR</t>
  </si>
  <si>
    <t>CENTRAL</t>
  </si>
  <si>
    <t>PUNTA</t>
  </si>
  <si>
    <t>12</t>
  </si>
  <si>
    <t>OPUESTO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</si>
  <si>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</si>
  <si>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</si>
  <si>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</si>
  <si>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</si>
  <si>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</si>
  <si>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</si>
  <si>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</si>
  <si>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</si>
  <si>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</si>
  <si>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</si>
  <si>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</si>
  <si>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</si>
  <si>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</si>
  <si>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</si>
  <si>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</si>
  <si>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</si>
  <si>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</si>
  <si>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</si>
  <si>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</si>
  <si>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</si>
  <si>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</si>
  <si>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</si>
  <si>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</si>
  <si>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</si>
  <si>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</si>
  <si>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</si>
  <si>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</si>
  <si>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</si>
  <si>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</si>
  <si>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</si>
  <si>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</si>
  <si>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</si>
  <si>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</si>
  <si>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</si>
  <si>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</si>
  <si>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</si>
  <si>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</si>
  <si>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</si>
  <si>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</si>
  <si>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</si>
  <si>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</si>
  <si>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</si>
  <si>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</si>
  <si>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</si>
  <si>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</si>
  <si>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</si>
  <si>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</si>
  <si>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</si>
  <si>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</si>
  <si>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</si>
  <si>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</si>
  <si>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</si>
  <si>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</si>
  <si>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</si>
  <si>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</si>
  <si>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TORNEO</t>
  </si>
  <si>
    <t>División de Honor 2026</t>
  </si>
  <si>
    <t>FECHA N°</t>
  </si>
  <si>
    <t>HOJA DEL RIVAL</t>
  </si>
  <si>
    <t>▶  Alt+F8  →  GenerarGamePlanJS  →  EJECUTAR</t>
  </si>
  <si>
    <t>COD COMBO / SAQUE</t>
  </si>
  <si>
    <t>TIPO</t>
  </si>
  <si>
    <t>SM-FLOTADO</t>
  </si>
  <si>
    <t>SQ-POTENCIA</t>
  </si>
  <si>
    <t>X1</t>
  </si>
  <si>
    <t>X7</t>
  </si>
  <si>
    <t>XM</t>
  </si>
  <si>
    <t>X5</t>
  </si>
  <si>
    <t>V5</t>
  </si>
  <si>
    <t>X6</t>
  </si>
  <si>
    <t>V6</t>
  </si>
  <si>
    <t>XP</t>
  </si>
  <si>
    <t>X8</t>
  </si>
  <si>
    <t>V8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</si>
  <si>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</si>
  <si>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</si>
  <si>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</si>
  <si>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</si>
  <si>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</si>
  <si>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</si>
  <si>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</si>
  <si>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</si>
  <si>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</si>
  <si>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</si>
  <si>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</si>
  <si>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----</t>
  </si>
  <si>
    <t>X2</t>
  </si>
  <si>
    <t>OUTSIDE HITTERS</t>
  </si>
  <si>
    <t>Z1</t>
  </si>
  <si>
    <t>Z6</t>
  </si>
  <si>
    <t>Z5</t>
  </si>
  <si>
    <t>SM</t>
  </si>
  <si>
    <t>+</t>
  </si>
  <si>
    <t>/</t>
  </si>
  <si>
    <t>=</t>
  </si>
  <si>
    <t>SQ</t>
  </si>
  <si>
    <t>TRAN</t>
  </si>
  <si>
    <t>DBANF</t>
  </si>
  <si>
    <t>2 Corzo M.</t>
  </si>
  <si>
    <t>16 Lopez Peralta J.</t>
  </si>
  <si>
    <t>18 Corso E.</t>
  </si>
  <si>
    <t>1 Barrios L.</t>
  </si>
  <si>
    <t>5 Gallardo A.</t>
  </si>
  <si>
    <t>3 Wagner B.</t>
  </si>
  <si>
    <t>30 Mansilla M.</t>
  </si>
  <si>
    <t>7 Sarmiento Britos J.</t>
  </si>
  <si>
    <t>6???</t>
  </si>
  <si>
    <t>11 Morales Maldonado L.</t>
  </si>
  <si>
    <t>9 Corvalan C.</t>
  </si>
  <si>
    <t>4 Soria N.</t>
  </si>
  <si>
    <t>12 La Gioia T.</t>
  </si>
  <si>
    <t>17 Acosta  J.</t>
  </si>
  <si>
    <t>Club S. Y D. D</t>
  </si>
  <si>
    <t>10 Martinez S.</t>
  </si>
  <si>
    <t>VIDEOS POR COMBINACIÓN — DEFENSORES DE BANFIELD</t>
  </si>
  <si>
    <t>Pegá el link de YouTube (no listado) en la columna F para cada combinación</t>
  </si>
  <si>
    <t>ESTADO</t>
  </si>
  <si>
    <t>ATAQUE</t>
  </si>
  <si>
    <t>SAQUE</t>
  </si>
  <si>
    <t>SJ-JUMP</t>
  </si>
  <si>
    <t>https://youtu.be/lzCMOJQGsC4</t>
  </si>
  <si>
    <t>https://youtu.be/KwwGy2JinBw</t>
  </si>
  <si>
    <t>https://youtu.be/3BJd_EDbiUQ</t>
  </si>
  <si>
    <t>https://youtu.be/8oQHvlemVlU</t>
  </si>
  <si>
    <t>https://youtu.be/A89Hy9iI1jA</t>
  </si>
  <si>
    <t>https://youtu.be/gE1gfnk4Lvs</t>
  </si>
  <si>
    <t>https://youtu.be/5tTn1SARR5A</t>
  </si>
  <si>
    <t>https://youtu.be/qU12sAdfKvo</t>
  </si>
  <si>
    <t>https://youtu.be/Lg0nOPQ6C-o</t>
  </si>
  <si>
    <t>https://youtu.be/SIVDkx3Z9MA</t>
  </si>
  <si>
    <t>https://youtu.be/2Bsz3D6AZcw</t>
  </si>
  <si>
    <t>https://youtu.be/_oqWK184Kw8</t>
  </si>
  <si>
    <t>https://youtu.be/sGmA3K0uY9g</t>
  </si>
  <si>
    <t>https://youtu.be/XWXc0OyQ-L0</t>
  </si>
  <si>
    <t>https://youtu.be/ILZSs7b0VMk</t>
  </si>
  <si>
    <t>https://youtu.be/u5v_YqmT3do</t>
  </si>
  <si>
    <t>https://youtu.be/qWmEh4tA1xI</t>
  </si>
  <si>
    <t>BLOCK</t>
  </si>
  <si>
    <t>+%</t>
  </si>
  <si>
    <t>ATQ 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</si>
</sst>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38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  <font>
      <b/>
      <sz val="13"/>
      <color rgb="FFE8192C"/>
      <name val="Calibri"/>
      <family val="2"/>
      <scheme val="minor"/>
    </font>
    <font>
      <sz val="9"/>
      <color rgb="FF47556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E2E8F0"/>
      <name val="Calibri"/>
      <family val="2"/>
      <scheme val="minor"/>
    </font>
    <font>
      <b/>
      <sz val="10"/>
      <color rgb="FFE2E8F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0E1A"/>
        <bgColor indexed="64"/>
      </patternFill>
    </fill>
    <fill>
      <patternFill patternType="solid">
        <fgColor rgb="FF07080F"/>
        <bgColor indexed="64"/>
      </patternFill>
    </fill>
    <fill>
      <patternFill patternType="solid">
        <fgColor rgb="FF0A0B18"/>
        <bgColor indexed="64"/>
      </patternFill>
    </fill>
  </fills>
  <borders count="29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24" fillId="0" borderId="0" applyFont="0" applyFill="0" applyBorder="0" applyAlignment="0" applyProtection="0"/>
  </cellStyleXfs>
  <cellXfs count="95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/>
    </xf>
    <xf numFmtId="9" fontId="23" fillId="11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1" borderId="1" xfId="0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9" fontId="25" fillId="11" borderId="1" xfId="1" applyFont="1" applyFill="1" applyBorder="1" applyAlignment="1">
      <alignment horizontal="center" vertical="center"/>
    </xf>
    <xf numFmtId="9" fontId="0" fillId="0" borderId="0" xfId="1" applyFont="1"/>
    <xf numFmtId="9" fontId="21" fillId="9" borderId="1" xfId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25" fillId="11" borderId="12" xfId="0" applyFont="1" applyFill="1" applyBorder="1" applyAlignment="1">
      <alignment horizontal="center" vertical="center"/>
    </xf>
    <xf numFmtId="0" fontId="25" fillId="11" borderId="13" xfId="0" applyFont="1" applyFill="1" applyBorder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0" borderId="16" xfId="0" applyBorder="1"/>
    <xf numFmtId="0" fontId="0" fillId="11" borderId="17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0" fillId="0" borderId="19" xfId="0" applyBorder="1"/>
    <xf numFmtId="0" fontId="0" fillId="11" borderId="22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0" borderId="24" xfId="0" applyBorder="1"/>
    <xf numFmtId="0" fontId="30" fillId="12" borderId="25" xfId="0" applyFont="1" applyFill="1" applyBorder="1" applyAlignment="1">
      <alignment horizontal="center" vertical="center"/>
    </xf>
    <xf numFmtId="0" fontId="27" fillId="12" borderId="26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left" vertical="top"/>
    </xf>
    <xf numFmtId="0" fontId="26" fillId="13" borderId="0" xfId="0" applyFont="1" applyFill="1" applyAlignment="1">
      <alignment horizontal="left" vertical="top" wrapText="1"/>
    </xf>
    <xf numFmtId="0" fontId="27" fillId="12" borderId="25" xfId="0" applyFont="1" applyFill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/>
    </xf>
    <xf numFmtId="164" fontId="31" fillId="0" borderId="26" xfId="0" applyNumberFormat="1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7" fillId="12" borderId="27" xfId="0" applyFont="1" applyFill="1" applyBorder="1" applyAlignment="1">
      <alignment horizontal="center" vertical="center"/>
    </xf>
    <xf numFmtId="164" fontId="26" fillId="0" borderId="2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7" fillId="12" borderId="25" xfId="0" applyFont="1" applyFill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/>
    </xf>
    <xf numFmtId="0" fontId="27" fillId="12" borderId="27" xfId="0" applyFont="1" applyFill="1" applyBorder="1" applyAlignment="1">
      <alignment horizontal="center" vertical="top"/>
    </xf>
    <xf numFmtId="164" fontId="26" fillId="0" borderId="28" xfId="0" applyNumberFormat="1" applyFont="1" applyBorder="1" applyAlignment="1">
      <alignment horizontal="center" vertical="top"/>
    </xf>
    <xf numFmtId="0" fontId="30" fillId="12" borderId="26" xfId="0" applyFont="1" applyFill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166" fontId="26" fillId="0" borderId="26" xfId="0" applyNumberFormat="1" applyFont="1" applyBorder="1" applyAlignment="1">
      <alignment horizontal="center" vertical="center"/>
    </xf>
    <xf numFmtId="166" fontId="26" fillId="0" borderId="28" xfId="0" applyNumberFormat="1" applyFont="1" applyBorder="1" applyAlignment="1">
      <alignment horizontal="center" vertical="center"/>
    </xf>
    <xf numFmtId="0" fontId="30" fillId="12" borderId="27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28" fillId="9" borderId="20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0" borderId="0" xfId="0"/>
    <xf numFmtId="0" fontId="12" fillId="6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33" fillId="1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4" fillId="14" borderId="0" xfId="0" applyFont="1" applyFill="1" applyAlignment="1">
      <alignment horizontal="center"/>
    </xf>
    <xf numFmtId="0" fontId="35" fillId="15" borderId="0" xfId="0" applyFont="1" applyFill="1" applyAlignment="1">
      <alignment horizontal="center"/>
    </xf>
    <xf numFmtId="0" fontId="36" fillId="16" borderId="0" xfId="0" applyFont="1" applyFill="1"/>
    <xf numFmtId="0" fontId="37" fillId="16" borderId="0" xfId="0" applyFont="1" applyFill="1"/>
    <xf numFmtId="0" fontId="36" fillId="16" borderId="0" xfId="0" applyFont="1" applyFill="1" applyAlignment="1">
      <alignment horizontal="center"/>
    </xf>
    <xf numFmtId="0" fontId="36" fillId="14" borderId="0" xfId="0" applyFont="1" applyFill="1"/>
    <xf numFmtId="0" fontId="37" fillId="14" borderId="0" xfId="0" applyFont="1" applyFill="1"/>
    <xf numFmtId="0" fontId="36" fillId="14" borderId="0" xfId="0" applyFont="1" applyFill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84" t="s">
        <v>51</v>
      </c>
      <c r="C1" s="76"/>
    </row>
    <row r="3" spans="2:3" ht="30" customHeight="1" x14ac:dyDescent="0.3">
      <c r="B3" s="1" t="s">
        <v>52</v>
      </c>
      <c r="C3" s="2" t="s">
        <v>53</v>
      </c>
    </row>
    <row r="4" spans="2:3" ht="30" customHeight="1" x14ac:dyDescent="0.3">
      <c r="B4" s="1" t="s">
        <v>54</v>
      </c>
      <c r="C4" s="2" t="s">
        <v>55</v>
      </c>
    </row>
    <row r="5" spans="2:3" ht="30" customHeight="1" x14ac:dyDescent="0.3">
      <c r="B5" s="1" t="s">
        <v>56</v>
      </c>
      <c r="C5" s="2" t="s">
        <v>57</v>
      </c>
    </row>
    <row r="6" spans="2:3" ht="30" customHeight="1" x14ac:dyDescent="0.3">
      <c r="B6" s="1" t="s">
        <v>58</v>
      </c>
      <c r="C6" s="2" t="s">
        <v>59</v>
      </c>
    </row>
    <row r="7" spans="2:3" ht="30" customHeight="1" x14ac:dyDescent="0.3">
      <c r="B7" s="1" t="s">
        <v>60</v>
      </c>
      <c r="C7" s="2" t="s">
        <v>61</v>
      </c>
    </row>
    <row r="8" spans="2:3" ht="30" customHeight="1" x14ac:dyDescent="0.3">
      <c r="B8" s="1" t="s">
        <v>62</v>
      </c>
      <c r="C8" s="2" t="s">
        <v>63</v>
      </c>
    </row>
    <row r="9" spans="2:3" ht="30" customHeight="1" x14ac:dyDescent="0.3">
      <c r="B9" s="1" t="s">
        <v>64</v>
      </c>
      <c r="C9" s="2" t="s">
        <v>65</v>
      </c>
    </row>
    <row r="10" spans="2:3" ht="30" customHeight="1" x14ac:dyDescent="0.3">
      <c r="B10" s="1" t="s">
        <v>66</v>
      </c>
      <c r="C10" s="2" t="s">
        <v>67</v>
      </c>
    </row>
    <row r="11" spans="2:3" ht="30" customHeight="1" x14ac:dyDescent="0.3">
      <c r="B11" s="1" t="s">
        <v>68</v>
      </c>
      <c r="C11" s="2" t="s">
        <v>69</v>
      </c>
    </row>
    <row r="13" spans="2:3" ht="25.95" customHeight="1" x14ac:dyDescent="0.3">
      <c r="B13" s="77" t="s">
        <v>70</v>
      </c>
      <c r="C13" s="76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86"/>
  <sheetViews>
    <sheetView tabSelected="1" topLeftCell="AY1" zoomScale="80" workbookViewId="0">
      <pane ySplit="3" topLeftCell="A9" activePane="bottomLeft" state="frozen"/>
      <selection pane="bottomLeft" activeCell="T85" sqref="T85"/>
    </sheetView>
  </sheetViews>
  <sheetFormatPr baseColWidth="10" defaultColWidth="8.88671875" defaultRowHeight="14.4" x14ac:dyDescent="0.3"/>
  <cols>
    <col min="1" max="1" width="12" customWidth="1"/>
    <col min="2" max="2" width="8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9" width="15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79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</row>
    <row r="2" spans="1:71" ht="28.05" customHeight="1" x14ac:dyDescent="0.3">
      <c r="A2" s="77" t="s">
        <v>1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BJ2" s="78" t="s">
        <v>2</v>
      </c>
      <c r="BK2" s="76"/>
      <c r="BL2" s="76"/>
      <c r="BM2" s="76"/>
      <c r="BN2" s="76"/>
      <c r="BO2" s="76"/>
      <c r="BP2" s="76"/>
      <c r="BQ2" s="76"/>
      <c r="BR2" s="76"/>
      <c r="BS2" s="76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26"/>
      <c r="B4" s="49" t="s">
        <v>92</v>
      </c>
      <c r="C4" s="50" t="s">
        <v>93</v>
      </c>
      <c r="D4" s="50" t="s">
        <v>94</v>
      </c>
      <c r="E4" s="50" t="s">
        <v>95</v>
      </c>
      <c r="F4" s="50" t="s">
        <v>96</v>
      </c>
      <c r="G4" s="50" t="s">
        <v>97</v>
      </c>
      <c r="H4" s="50" t="s">
        <v>98</v>
      </c>
      <c r="I4" s="50" t="s">
        <v>99</v>
      </c>
      <c r="J4" s="50" t="s">
        <v>100</v>
      </c>
      <c r="K4" s="50" t="s">
        <v>101</v>
      </c>
      <c r="L4" s="50" t="s">
        <v>102</v>
      </c>
      <c r="M4" s="51"/>
      <c r="N4" s="49" t="s">
        <v>92</v>
      </c>
      <c r="O4" s="50" t="s">
        <v>93</v>
      </c>
      <c r="P4" s="50" t="s">
        <v>94</v>
      </c>
      <c r="Q4" s="50" t="s">
        <v>95</v>
      </c>
      <c r="R4" s="50" t="s">
        <v>96</v>
      </c>
      <c r="S4" s="50" t="s">
        <v>97</v>
      </c>
      <c r="T4" s="50" t="s">
        <v>98</v>
      </c>
      <c r="U4" s="50" t="s">
        <v>99</v>
      </c>
      <c r="V4" s="50" t="s">
        <v>100</v>
      </c>
      <c r="W4" s="50" t="s">
        <v>101</v>
      </c>
      <c r="X4" s="50" t="s">
        <v>102</v>
      </c>
      <c r="Y4" s="26"/>
      <c r="Z4" s="49" t="s">
        <v>92</v>
      </c>
      <c r="AA4" s="50" t="s">
        <v>93</v>
      </c>
      <c r="AB4" s="50" t="s">
        <v>94</v>
      </c>
      <c r="AC4" s="50" t="s">
        <v>95</v>
      </c>
      <c r="AD4" s="50" t="s">
        <v>96</v>
      </c>
      <c r="AE4" s="50" t="s">
        <v>97</v>
      </c>
      <c r="AF4" s="50" t="s">
        <v>98</v>
      </c>
      <c r="AG4" s="50" t="s">
        <v>99</v>
      </c>
      <c r="AH4" s="50" t="s">
        <v>100</v>
      </c>
      <c r="AI4" s="50" t="s">
        <v>101</v>
      </c>
      <c r="AJ4" s="50" t="s">
        <v>102</v>
      </c>
      <c r="AK4" s="26"/>
      <c r="AL4" s="49" t="s">
        <v>92</v>
      </c>
      <c r="AM4" s="50" t="s">
        <v>93</v>
      </c>
      <c r="AN4" s="50" t="s">
        <v>94</v>
      </c>
      <c r="AO4" s="50" t="s">
        <v>95</v>
      </c>
      <c r="AP4" s="50" t="s">
        <v>96</v>
      </c>
      <c r="AQ4" s="50" t="s">
        <v>97</v>
      </c>
      <c r="AR4" s="50" t="s">
        <v>98</v>
      </c>
      <c r="AS4" s="50" t="s">
        <v>99</v>
      </c>
      <c r="AT4" s="50" t="s">
        <v>100</v>
      </c>
      <c r="AU4" s="50" t="s">
        <v>101</v>
      </c>
      <c r="AV4" s="50" t="s">
        <v>102</v>
      </c>
      <c r="AW4" s="52"/>
      <c r="AX4" s="49" t="s">
        <v>92</v>
      </c>
      <c r="AY4" s="50" t="s">
        <v>93</v>
      </c>
      <c r="AZ4" s="50" t="s">
        <v>94</v>
      </c>
      <c r="BA4" s="50" t="s">
        <v>95</v>
      </c>
      <c r="BB4" s="50" t="s">
        <v>96</v>
      </c>
      <c r="BC4" s="50" t="s">
        <v>97</v>
      </c>
      <c r="BD4" s="50" t="s">
        <v>98</v>
      </c>
      <c r="BE4" s="50" t="s">
        <v>99</v>
      </c>
      <c r="BF4" s="50" t="s">
        <v>100</v>
      </c>
      <c r="BG4" s="50" t="s">
        <v>101</v>
      </c>
      <c r="BH4" s="50" t="s">
        <v>102</v>
      </c>
      <c r="BJ4" s="9">
        <v>1</v>
      </c>
      <c r="BK4" s="5" t="s">
        <v>119</v>
      </c>
      <c r="BL4" s="10" t="s">
        <v>14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26" t="s">
        <v>116</v>
      </c>
      <c r="B5" s="53" t="s">
        <v>85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26" t="s">
        <v>117</v>
      </c>
      <c r="N5" s="53" t="s">
        <v>85</v>
      </c>
      <c r="O5" s="54">
        <v>0</v>
      </c>
      <c r="P5" s="54">
        <v>0</v>
      </c>
      <c r="Q5" s="54">
        <v>0</v>
      </c>
      <c r="R5" s="54">
        <v>0</v>
      </c>
      <c r="S5" s="54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26" t="s">
        <v>118</v>
      </c>
      <c r="Z5" s="53" t="s">
        <v>82</v>
      </c>
      <c r="AA5" s="54">
        <v>0</v>
      </c>
      <c r="AB5" s="54">
        <v>1</v>
      </c>
      <c r="AC5" s="54">
        <v>0</v>
      </c>
      <c r="AD5" s="55">
        <v>0</v>
      </c>
      <c r="AE5" s="54">
        <v>0</v>
      </c>
      <c r="AF5" s="54">
        <v>1</v>
      </c>
      <c r="AG5" s="54">
        <v>0</v>
      </c>
      <c r="AH5" s="54">
        <v>0</v>
      </c>
      <c r="AI5" s="54">
        <v>0</v>
      </c>
      <c r="AJ5" s="54">
        <v>2</v>
      </c>
      <c r="AK5" s="26" t="s">
        <v>119</v>
      </c>
      <c r="AL5" s="53" t="s">
        <v>82</v>
      </c>
      <c r="AM5" s="54">
        <v>0</v>
      </c>
      <c r="AN5" s="54">
        <v>0</v>
      </c>
      <c r="AO5" s="54">
        <v>0</v>
      </c>
      <c r="AP5" s="55">
        <v>0</v>
      </c>
      <c r="AQ5" s="54">
        <v>3</v>
      </c>
      <c r="AR5" s="54">
        <v>1</v>
      </c>
      <c r="AS5" s="54">
        <v>0</v>
      </c>
      <c r="AT5" s="54">
        <v>0</v>
      </c>
      <c r="AU5" s="54">
        <v>0</v>
      </c>
      <c r="AV5" s="54">
        <v>4</v>
      </c>
      <c r="AW5" s="26" t="s">
        <v>120</v>
      </c>
      <c r="AX5" s="53" t="s">
        <v>82</v>
      </c>
      <c r="AY5" s="54">
        <v>0</v>
      </c>
      <c r="AZ5" s="54">
        <v>1</v>
      </c>
      <c r="BA5" s="54">
        <v>0</v>
      </c>
      <c r="BB5" s="55">
        <v>2</v>
      </c>
      <c r="BC5" s="54">
        <v>8</v>
      </c>
      <c r="BD5" s="54">
        <v>1</v>
      </c>
      <c r="BE5" s="54">
        <v>4</v>
      </c>
      <c r="BF5" s="54">
        <v>0</v>
      </c>
      <c r="BG5" s="54">
        <v>1</v>
      </c>
      <c r="BH5" s="54">
        <v>17</v>
      </c>
      <c r="BJ5" s="13">
        <v>2</v>
      </c>
      <c r="BK5" s="5" t="s">
        <v>116</v>
      </c>
      <c r="BL5" s="14" t="s">
        <v>17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53" t="s">
        <v>86</v>
      </c>
      <c r="C6" s="54">
        <v>0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26"/>
      <c r="N6" s="53" t="s">
        <v>86</v>
      </c>
      <c r="O6" s="54">
        <v>0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26"/>
      <c r="Z6" s="53" t="s">
        <v>83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55">
        <v>0</v>
      </c>
      <c r="AG6" s="54">
        <v>0</v>
      </c>
      <c r="AH6" s="54">
        <v>0</v>
      </c>
      <c r="AI6" s="54">
        <v>0</v>
      </c>
      <c r="AJ6" s="54">
        <v>0</v>
      </c>
      <c r="AK6" s="26"/>
      <c r="AL6" s="53" t="s">
        <v>83</v>
      </c>
      <c r="AM6" s="54">
        <v>1</v>
      </c>
      <c r="AN6" s="54">
        <v>1</v>
      </c>
      <c r="AO6" s="54">
        <v>0</v>
      </c>
      <c r="AP6" s="54">
        <v>0</v>
      </c>
      <c r="AQ6" s="54">
        <v>1</v>
      </c>
      <c r="AR6" s="55">
        <v>0</v>
      </c>
      <c r="AS6" s="54">
        <v>2</v>
      </c>
      <c r="AT6" s="54">
        <v>0</v>
      </c>
      <c r="AU6" s="54">
        <v>0</v>
      </c>
      <c r="AV6" s="54">
        <v>5</v>
      </c>
      <c r="AW6" s="26"/>
      <c r="AX6" s="53" t="s">
        <v>83</v>
      </c>
      <c r="AY6" s="54">
        <v>1</v>
      </c>
      <c r="AZ6" s="54">
        <v>0</v>
      </c>
      <c r="BA6" s="54">
        <v>0</v>
      </c>
      <c r="BB6" s="54">
        <v>0</v>
      </c>
      <c r="BC6" s="54">
        <v>2</v>
      </c>
      <c r="BD6" s="55">
        <v>0</v>
      </c>
      <c r="BE6" s="54">
        <v>0</v>
      </c>
      <c r="BF6" s="54">
        <v>0</v>
      </c>
      <c r="BG6" s="54">
        <v>0</v>
      </c>
      <c r="BH6" s="54">
        <v>3</v>
      </c>
      <c r="BJ6" s="11">
        <v>3</v>
      </c>
      <c r="BK6" s="5" t="s">
        <v>121</v>
      </c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53" t="s">
        <v>87</v>
      </c>
      <c r="C7" s="54">
        <v>1</v>
      </c>
      <c r="D7" s="54">
        <v>0</v>
      </c>
      <c r="E7" s="54">
        <v>0</v>
      </c>
      <c r="F7" s="54">
        <v>1</v>
      </c>
      <c r="G7" s="54">
        <v>1</v>
      </c>
      <c r="H7" s="54">
        <v>2</v>
      </c>
      <c r="I7" s="54">
        <v>0</v>
      </c>
      <c r="J7" s="54">
        <v>0</v>
      </c>
      <c r="K7" s="54">
        <v>0</v>
      </c>
      <c r="L7" s="54">
        <v>6</v>
      </c>
      <c r="M7" s="26"/>
      <c r="N7" s="53" t="s">
        <v>87</v>
      </c>
      <c r="O7" s="54">
        <v>0</v>
      </c>
      <c r="P7" s="54">
        <v>6</v>
      </c>
      <c r="Q7" s="54">
        <v>0</v>
      </c>
      <c r="R7" s="54">
        <v>2</v>
      </c>
      <c r="S7" s="54">
        <v>3</v>
      </c>
      <c r="T7" s="54">
        <v>2</v>
      </c>
      <c r="U7" s="54">
        <v>1</v>
      </c>
      <c r="V7" s="54">
        <v>0</v>
      </c>
      <c r="W7" s="54">
        <v>2</v>
      </c>
      <c r="X7" s="54">
        <v>24</v>
      </c>
      <c r="Y7" s="26"/>
      <c r="Z7" s="53" t="s">
        <v>84</v>
      </c>
      <c r="AA7" s="54">
        <v>3</v>
      </c>
      <c r="AB7" s="54">
        <v>0</v>
      </c>
      <c r="AC7" s="54">
        <v>0</v>
      </c>
      <c r="AD7" s="54">
        <v>0</v>
      </c>
      <c r="AE7" s="54">
        <v>0</v>
      </c>
      <c r="AF7" s="54">
        <v>0</v>
      </c>
      <c r="AG7" s="54">
        <v>0</v>
      </c>
      <c r="AH7" s="54">
        <v>0</v>
      </c>
      <c r="AI7" s="54">
        <v>0</v>
      </c>
      <c r="AJ7" s="54">
        <v>3</v>
      </c>
      <c r="AK7" s="26"/>
      <c r="AL7" s="53" t="s">
        <v>84</v>
      </c>
      <c r="AM7" s="54">
        <v>2</v>
      </c>
      <c r="AN7" s="54">
        <v>4</v>
      </c>
      <c r="AO7" s="54">
        <v>0</v>
      </c>
      <c r="AP7" s="54">
        <v>4</v>
      </c>
      <c r="AQ7" s="54">
        <v>1</v>
      </c>
      <c r="AR7" s="54">
        <v>2</v>
      </c>
      <c r="AS7" s="54">
        <v>1</v>
      </c>
      <c r="AT7" s="54">
        <v>0</v>
      </c>
      <c r="AU7" s="54">
        <v>0</v>
      </c>
      <c r="AV7" s="54">
        <v>14</v>
      </c>
      <c r="AW7" s="26"/>
      <c r="AX7" s="53" t="s">
        <v>84</v>
      </c>
      <c r="AY7" s="54">
        <v>1</v>
      </c>
      <c r="AZ7" s="54">
        <v>1</v>
      </c>
      <c r="BA7" s="54">
        <v>0</v>
      </c>
      <c r="BB7" s="54">
        <v>1</v>
      </c>
      <c r="BC7" s="54">
        <v>0</v>
      </c>
      <c r="BD7" s="54">
        <v>0</v>
      </c>
      <c r="BE7" s="54">
        <v>0</v>
      </c>
      <c r="BF7" s="54">
        <v>0</v>
      </c>
      <c r="BG7" s="54">
        <v>0</v>
      </c>
      <c r="BH7" s="54">
        <v>4</v>
      </c>
      <c r="BJ7" s="9">
        <v>4</v>
      </c>
      <c r="BK7" s="5" t="s">
        <v>127</v>
      </c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53" t="s">
        <v>88</v>
      </c>
      <c r="C8" s="54">
        <v>0</v>
      </c>
      <c r="D8" s="54">
        <v>1</v>
      </c>
      <c r="E8" s="54">
        <v>0</v>
      </c>
      <c r="F8" s="54">
        <v>0</v>
      </c>
      <c r="G8" s="54">
        <v>0</v>
      </c>
      <c r="H8" s="54">
        <v>1</v>
      </c>
      <c r="I8" s="54">
        <v>0</v>
      </c>
      <c r="J8" s="56" t="s">
        <v>103</v>
      </c>
      <c r="K8" s="54">
        <v>0</v>
      </c>
      <c r="L8" s="54">
        <v>3</v>
      </c>
      <c r="M8" s="26"/>
      <c r="N8" s="53" t="s">
        <v>88</v>
      </c>
      <c r="O8" s="54">
        <v>4</v>
      </c>
      <c r="P8" s="54">
        <v>2</v>
      </c>
      <c r="Q8" s="54">
        <v>0</v>
      </c>
      <c r="R8" s="54">
        <v>1</v>
      </c>
      <c r="S8" s="54">
        <v>3</v>
      </c>
      <c r="T8" s="54">
        <v>1</v>
      </c>
      <c r="U8" s="54">
        <v>0</v>
      </c>
      <c r="V8" s="56" t="s">
        <v>103</v>
      </c>
      <c r="W8" s="54">
        <v>1</v>
      </c>
      <c r="X8" s="54">
        <v>16</v>
      </c>
      <c r="Y8" s="26"/>
      <c r="Z8" s="53" t="s">
        <v>104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54">
        <v>0</v>
      </c>
      <c r="AG8" s="54">
        <v>0</v>
      </c>
      <c r="AH8" s="54">
        <v>0</v>
      </c>
      <c r="AI8" s="54">
        <v>0</v>
      </c>
      <c r="AJ8" s="54">
        <v>0</v>
      </c>
      <c r="AK8" s="26"/>
      <c r="AL8" s="53" t="s">
        <v>104</v>
      </c>
      <c r="AM8" s="54">
        <v>0</v>
      </c>
      <c r="AN8" s="54">
        <v>0</v>
      </c>
      <c r="AO8" s="54">
        <v>0</v>
      </c>
      <c r="AP8" s="54">
        <v>0</v>
      </c>
      <c r="AQ8" s="54">
        <v>0</v>
      </c>
      <c r="AR8" s="54">
        <v>0</v>
      </c>
      <c r="AS8" s="54">
        <v>0</v>
      </c>
      <c r="AT8" s="54">
        <v>0</v>
      </c>
      <c r="AU8" s="54">
        <v>0</v>
      </c>
      <c r="AV8" s="54">
        <v>1</v>
      </c>
      <c r="AW8" s="52"/>
      <c r="AX8" s="57" t="s">
        <v>104</v>
      </c>
      <c r="AY8" s="54">
        <v>0</v>
      </c>
      <c r="AZ8" s="54">
        <v>0</v>
      </c>
      <c r="BA8" s="54">
        <v>0</v>
      </c>
      <c r="BB8" s="54">
        <v>0</v>
      </c>
      <c r="BC8" s="54">
        <v>0</v>
      </c>
      <c r="BD8" s="54">
        <v>0</v>
      </c>
      <c r="BE8" s="54">
        <v>0</v>
      </c>
      <c r="BF8" s="54">
        <v>0</v>
      </c>
      <c r="BG8" s="54">
        <v>0</v>
      </c>
      <c r="BH8" s="54">
        <v>0</v>
      </c>
      <c r="BJ8" s="9">
        <v>5</v>
      </c>
      <c r="BK8" s="5" t="s">
        <v>120</v>
      </c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53" t="s">
        <v>90</v>
      </c>
      <c r="C9" s="54">
        <v>0</v>
      </c>
      <c r="D9" s="54">
        <v>0</v>
      </c>
      <c r="E9" s="54">
        <v>0</v>
      </c>
      <c r="F9" s="54">
        <v>0</v>
      </c>
      <c r="G9" s="54">
        <v>0</v>
      </c>
      <c r="H9" s="54">
        <v>4</v>
      </c>
      <c r="I9" s="54">
        <v>0</v>
      </c>
      <c r="J9" s="54">
        <v>0</v>
      </c>
      <c r="K9" s="54">
        <v>0</v>
      </c>
      <c r="L9" s="54">
        <v>4</v>
      </c>
      <c r="M9" s="26"/>
      <c r="N9" s="53" t="s">
        <v>90</v>
      </c>
      <c r="O9" s="54">
        <v>1</v>
      </c>
      <c r="P9" s="54">
        <v>4</v>
      </c>
      <c r="Q9" s="54">
        <v>0</v>
      </c>
      <c r="R9" s="54">
        <v>0</v>
      </c>
      <c r="S9" s="54">
        <v>1</v>
      </c>
      <c r="T9" s="54">
        <v>5</v>
      </c>
      <c r="U9" s="54">
        <v>0</v>
      </c>
      <c r="V9" s="54">
        <v>0</v>
      </c>
      <c r="W9" s="54">
        <v>2</v>
      </c>
      <c r="X9" s="54">
        <v>16</v>
      </c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J9" s="11">
        <v>7</v>
      </c>
      <c r="BK9" s="5" t="s">
        <v>123</v>
      </c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57" t="s">
        <v>91</v>
      </c>
      <c r="C10" s="58">
        <v>0</v>
      </c>
      <c r="D10" s="58">
        <v>0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4">
        <v>0</v>
      </c>
      <c r="K10" s="58">
        <v>0</v>
      </c>
      <c r="L10" s="58">
        <v>0</v>
      </c>
      <c r="M10" s="26"/>
      <c r="N10" s="57" t="s">
        <v>91</v>
      </c>
      <c r="O10" s="58">
        <v>4</v>
      </c>
      <c r="P10" s="58">
        <v>0</v>
      </c>
      <c r="Q10" s="58">
        <v>0</v>
      </c>
      <c r="R10" s="58">
        <v>3</v>
      </c>
      <c r="S10" s="58">
        <v>0</v>
      </c>
      <c r="T10" s="58">
        <v>0</v>
      </c>
      <c r="U10" s="58">
        <v>0</v>
      </c>
      <c r="V10" s="54">
        <v>0</v>
      </c>
      <c r="W10" s="58">
        <v>0</v>
      </c>
      <c r="X10" s="58">
        <v>9</v>
      </c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J10" s="4">
        <v>9</v>
      </c>
      <c r="BK10" s="5" t="s">
        <v>126</v>
      </c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105</v>
      </c>
      <c r="B11" s="59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J11" s="4" t="s">
        <v>16</v>
      </c>
      <c r="BK11" s="5" t="s">
        <v>128</v>
      </c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26"/>
      <c r="B12" s="49" t="s">
        <v>92</v>
      </c>
      <c r="C12" s="50" t="s">
        <v>93</v>
      </c>
      <c r="D12" s="50" t="s">
        <v>94</v>
      </c>
      <c r="E12" s="50" t="s">
        <v>95</v>
      </c>
      <c r="F12" s="50" t="s">
        <v>96</v>
      </c>
      <c r="G12" s="50" t="s">
        <v>97</v>
      </c>
      <c r="H12" s="50" t="s">
        <v>98</v>
      </c>
      <c r="I12" s="50" t="s">
        <v>99</v>
      </c>
      <c r="J12" s="50" t="s">
        <v>100</v>
      </c>
      <c r="K12" s="50" t="s">
        <v>101</v>
      </c>
      <c r="L12" s="50" t="s">
        <v>102</v>
      </c>
      <c r="M12" s="26"/>
      <c r="N12" s="49" t="s">
        <v>92</v>
      </c>
      <c r="O12" s="50" t="s">
        <v>93</v>
      </c>
      <c r="P12" s="50" t="s">
        <v>94</v>
      </c>
      <c r="Q12" s="50" t="s">
        <v>95</v>
      </c>
      <c r="R12" s="50" t="s">
        <v>96</v>
      </c>
      <c r="S12" s="50" t="s">
        <v>97</v>
      </c>
      <c r="T12" s="50" t="s">
        <v>98</v>
      </c>
      <c r="U12" s="50" t="s">
        <v>99</v>
      </c>
      <c r="V12" s="50" t="s">
        <v>100</v>
      </c>
      <c r="W12" s="50" t="s">
        <v>101</v>
      </c>
      <c r="X12" s="50" t="s">
        <v>102</v>
      </c>
      <c r="Y12" s="26"/>
      <c r="Z12" s="49" t="s">
        <v>92</v>
      </c>
      <c r="AA12" s="50" t="s">
        <v>93</v>
      </c>
      <c r="AB12" s="50" t="s">
        <v>94</v>
      </c>
      <c r="AC12" s="50" t="s">
        <v>95</v>
      </c>
      <c r="AD12" s="50" t="s">
        <v>96</v>
      </c>
      <c r="AE12" s="50" t="s">
        <v>97</v>
      </c>
      <c r="AF12" s="50" t="s">
        <v>98</v>
      </c>
      <c r="AG12" s="50" t="s">
        <v>99</v>
      </c>
      <c r="AH12" s="50" t="s">
        <v>100</v>
      </c>
      <c r="AI12" s="50" t="s">
        <v>101</v>
      </c>
      <c r="AJ12" s="50" t="s">
        <v>102</v>
      </c>
      <c r="AK12" s="26"/>
      <c r="AL12" s="49" t="s">
        <v>92</v>
      </c>
      <c r="AM12" s="50" t="s">
        <v>93</v>
      </c>
      <c r="AN12" s="50" t="s">
        <v>94</v>
      </c>
      <c r="AO12" s="50" t="s">
        <v>95</v>
      </c>
      <c r="AP12" s="50" t="s">
        <v>96</v>
      </c>
      <c r="AQ12" s="50" t="s">
        <v>97</v>
      </c>
      <c r="AR12" s="50" t="s">
        <v>98</v>
      </c>
      <c r="AS12" s="50" t="s">
        <v>99</v>
      </c>
      <c r="AT12" s="50" t="s">
        <v>100</v>
      </c>
      <c r="AU12" s="50" t="s">
        <v>101</v>
      </c>
      <c r="AV12" s="50" t="s">
        <v>102</v>
      </c>
      <c r="AW12" s="26"/>
      <c r="AX12" s="49" t="s">
        <v>92</v>
      </c>
      <c r="AY12" s="50" t="s">
        <v>93</v>
      </c>
      <c r="AZ12" s="50" t="s">
        <v>94</v>
      </c>
      <c r="BA12" s="50" t="s">
        <v>95</v>
      </c>
      <c r="BB12" s="50" t="s">
        <v>96</v>
      </c>
      <c r="BC12" s="50" t="s">
        <v>97</v>
      </c>
      <c r="BD12" s="50" t="s">
        <v>98</v>
      </c>
      <c r="BE12" s="50" t="s">
        <v>99</v>
      </c>
      <c r="BF12" s="50" t="s">
        <v>100</v>
      </c>
      <c r="BG12" s="50" t="s">
        <v>101</v>
      </c>
      <c r="BH12" s="50" t="s">
        <v>102</v>
      </c>
      <c r="BJ12" s="13">
        <v>16</v>
      </c>
      <c r="BK12" s="5" t="s">
        <v>117</v>
      </c>
      <c r="BL12" s="14" t="s">
        <v>17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26" t="s">
        <v>121</v>
      </c>
      <c r="B13" s="53" t="s">
        <v>85</v>
      </c>
      <c r="C13" s="54">
        <v>8</v>
      </c>
      <c r="D13" s="54">
        <v>0</v>
      </c>
      <c r="E13" s="54">
        <v>3</v>
      </c>
      <c r="F13" s="54">
        <v>3</v>
      </c>
      <c r="G13" s="54">
        <v>2</v>
      </c>
      <c r="H13" s="54">
        <v>10</v>
      </c>
      <c r="I13" s="54">
        <v>10</v>
      </c>
      <c r="J13" s="54">
        <v>0</v>
      </c>
      <c r="K13" s="54">
        <v>4</v>
      </c>
      <c r="L13" s="54">
        <v>44</v>
      </c>
      <c r="M13" s="26" t="s">
        <v>122</v>
      </c>
      <c r="N13" s="53" t="s">
        <v>85</v>
      </c>
      <c r="O13" s="54">
        <v>1</v>
      </c>
      <c r="P13" s="54">
        <v>2</v>
      </c>
      <c r="Q13" s="54">
        <v>0</v>
      </c>
      <c r="R13" s="54">
        <v>2</v>
      </c>
      <c r="S13" s="54">
        <v>2</v>
      </c>
      <c r="T13" s="54">
        <v>1</v>
      </c>
      <c r="U13" s="54">
        <v>6</v>
      </c>
      <c r="V13" s="54">
        <v>0</v>
      </c>
      <c r="W13" s="54">
        <v>0</v>
      </c>
      <c r="X13" s="54">
        <v>16</v>
      </c>
      <c r="Y13" s="26" t="s">
        <v>123</v>
      </c>
      <c r="Z13" s="53" t="s">
        <v>85</v>
      </c>
      <c r="AA13" s="54">
        <v>0</v>
      </c>
      <c r="AB13" s="54">
        <v>0</v>
      </c>
      <c r="AC13" s="54">
        <v>0</v>
      </c>
      <c r="AD13" s="54">
        <v>1</v>
      </c>
      <c r="AE13" s="54">
        <v>0</v>
      </c>
      <c r="AF13" s="54">
        <v>1</v>
      </c>
      <c r="AG13" s="54">
        <v>3</v>
      </c>
      <c r="AH13" s="54">
        <v>0</v>
      </c>
      <c r="AI13" s="54">
        <v>2</v>
      </c>
      <c r="AJ13" s="54">
        <v>7</v>
      </c>
      <c r="AK13" s="26" t="s">
        <v>124</v>
      </c>
      <c r="AL13" s="53" t="s">
        <v>85</v>
      </c>
      <c r="AM13" s="54">
        <v>0</v>
      </c>
      <c r="AN13" s="54">
        <v>0</v>
      </c>
      <c r="AO13" s="54">
        <v>0</v>
      </c>
      <c r="AP13" s="54">
        <v>0</v>
      </c>
      <c r="AQ13" s="54">
        <v>0</v>
      </c>
      <c r="AR13" s="54">
        <v>0</v>
      </c>
      <c r="AS13" s="54">
        <v>0</v>
      </c>
      <c r="AT13" s="54">
        <v>0</v>
      </c>
      <c r="AU13" s="54">
        <v>0</v>
      </c>
      <c r="AV13" s="54">
        <v>0</v>
      </c>
      <c r="AW13" s="26" t="s">
        <v>125</v>
      </c>
      <c r="AX13" s="53" t="s">
        <v>85</v>
      </c>
      <c r="AY13" s="54">
        <v>0</v>
      </c>
      <c r="AZ13" s="54">
        <v>0</v>
      </c>
      <c r="BA13" s="54">
        <v>0</v>
      </c>
      <c r="BB13" s="54">
        <v>0</v>
      </c>
      <c r="BC13" s="54">
        <v>0</v>
      </c>
      <c r="BD13" s="54">
        <v>0</v>
      </c>
      <c r="BE13" s="54">
        <v>0</v>
      </c>
      <c r="BF13" s="54">
        <v>0</v>
      </c>
      <c r="BG13" s="54">
        <v>0</v>
      </c>
      <c r="BH13" s="54">
        <v>0</v>
      </c>
      <c r="BJ13" s="9">
        <v>17</v>
      </c>
      <c r="BK13" s="5" t="s">
        <v>129</v>
      </c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53" t="s">
        <v>86</v>
      </c>
      <c r="C14" s="54">
        <v>2</v>
      </c>
      <c r="D14" s="54">
        <v>0</v>
      </c>
      <c r="E14" s="54">
        <v>0</v>
      </c>
      <c r="F14" s="54">
        <v>2</v>
      </c>
      <c r="G14" s="54">
        <v>0</v>
      </c>
      <c r="H14" s="54">
        <v>5</v>
      </c>
      <c r="I14" s="54">
        <v>3</v>
      </c>
      <c r="J14" s="54">
        <v>1</v>
      </c>
      <c r="K14" s="54">
        <v>3</v>
      </c>
      <c r="L14" s="54">
        <v>16</v>
      </c>
      <c r="M14" s="26"/>
      <c r="N14" s="53" t="s">
        <v>86</v>
      </c>
      <c r="O14" s="54">
        <v>4</v>
      </c>
      <c r="P14" s="54">
        <v>0</v>
      </c>
      <c r="Q14" s="54">
        <v>1</v>
      </c>
      <c r="R14" s="54">
        <v>2</v>
      </c>
      <c r="S14" s="54">
        <v>0</v>
      </c>
      <c r="T14" s="54">
        <v>0</v>
      </c>
      <c r="U14" s="54">
        <v>2</v>
      </c>
      <c r="V14" s="54">
        <v>1</v>
      </c>
      <c r="W14" s="54">
        <v>1</v>
      </c>
      <c r="X14" s="54">
        <v>12</v>
      </c>
      <c r="Y14" s="26"/>
      <c r="Z14" s="53" t="s">
        <v>86</v>
      </c>
      <c r="AA14" s="54">
        <v>0</v>
      </c>
      <c r="AB14" s="54">
        <v>0</v>
      </c>
      <c r="AC14" s="54">
        <v>1</v>
      </c>
      <c r="AD14" s="54">
        <v>0</v>
      </c>
      <c r="AE14" s="54">
        <v>0</v>
      </c>
      <c r="AF14" s="54">
        <v>0</v>
      </c>
      <c r="AG14" s="54">
        <v>0</v>
      </c>
      <c r="AH14" s="54">
        <v>0</v>
      </c>
      <c r="AI14" s="54">
        <v>1</v>
      </c>
      <c r="AJ14" s="54">
        <v>3</v>
      </c>
      <c r="AK14" s="26"/>
      <c r="AL14" s="53" t="s">
        <v>86</v>
      </c>
      <c r="AM14" s="54">
        <v>0</v>
      </c>
      <c r="AN14" s="54">
        <v>0</v>
      </c>
      <c r="AO14" s="54">
        <v>0</v>
      </c>
      <c r="AP14" s="54">
        <v>0</v>
      </c>
      <c r="AQ14" s="54">
        <v>0</v>
      </c>
      <c r="AR14" s="54">
        <v>0</v>
      </c>
      <c r="AS14" s="54">
        <v>0</v>
      </c>
      <c r="AT14" s="54">
        <v>0</v>
      </c>
      <c r="AU14" s="54">
        <v>0</v>
      </c>
      <c r="AV14" s="54">
        <v>0</v>
      </c>
      <c r="AW14" s="26"/>
      <c r="AX14" s="53" t="s">
        <v>86</v>
      </c>
      <c r="AY14" s="54">
        <v>0</v>
      </c>
      <c r="AZ14" s="54">
        <v>0</v>
      </c>
      <c r="BA14" s="54">
        <v>0</v>
      </c>
      <c r="BB14" s="54">
        <v>0</v>
      </c>
      <c r="BC14" s="54">
        <v>0</v>
      </c>
      <c r="BD14" s="54">
        <v>0</v>
      </c>
      <c r="BE14" s="54">
        <v>0</v>
      </c>
      <c r="BF14" s="54">
        <v>0</v>
      </c>
      <c r="BG14" s="54">
        <v>0</v>
      </c>
      <c r="BH14" s="54">
        <v>0</v>
      </c>
      <c r="BJ14" s="9">
        <v>18</v>
      </c>
      <c r="BK14" s="5" t="s">
        <v>118</v>
      </c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53" t="s">
        <v>87</v>
      </c>
      <c r="C15" s="54">
        <v>0</v>
      </c>
      <c r="D15" s="54">
        <v>0</v>
      </c>
      <c r="E15" s="54">
        <v>0</v>
      </c>
      <c r="F15" s="54">
        <v>0</v>
      </c>
      <c r="G15" s="54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26"/>
      <c r="N15" s="53" t="s">
        <v>87</v>
      </c>
      <c r="O15" s="54">
        <v>0</v>
      </c>
      <c r="P15" s="54">
        <v>0</v>
      </c>
      <c r="Q15" s="54">
        <v>0</v>
      </c>
      <c r="R15" s="54">
        <v>0</v>
      </c>
      <c r="S15" s="54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26"/>
      <c r="Z15" s="53" t="s">
        <v>87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54">
        <v>0</v>
      </c>
      <c r="AG15" s="54">
        <v>0</v>
      </c>
      <c r="AH15" s="54">
        <v>0</v>
      </c>
      <c r="AI15" s="54">
        <v>0</v>
      </c>
      <c r="AJ15" s="54">
        <v>0</v>
      </c>
      <c r="AK15" s="26"/>
      <c r="AL15" s="53" t="s">
        <v>87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54">
        <v>0</v>
      </c>
      <c r="AS15" s="54">
        <v>0</v>
      </c>
      <c r="AT15" s="54">
        <v>0</v>
      </c>
      <c r="AU15" s="54">
        <v>0</v>
      </c>
      <c r="AV15" s="54">
        <v>0</v>
      </c>
      <c r="AW15" s="26"/>
      <c r="AX15" s="53" t="s">
        <v>87</v>
      </c>
      <c r="AY15" s="54">
        <v>0</v>
      </c>
      <c r="AZ15" s="54">
        <v>0</v>
      </c>
      <c r="BA15" s="54">
        <v>0</v>
      </c>
      <c r="BB15" s="54">
        <v>0</v>
      </c>
      <c r="BC15" s="54">
        <v>0</v>
      </c>
      <c r="BD15" s="54">
        <v>0</v>
      </c>
      <c r="BE15" s="54">
        <v>0</v>
      </c>
      <c r="BF15" s="54">
        <v>0</v>
      </c>
      <c r="BG15" s="54">
        <v>0</v>
      </c>
      <c r="BH15" s="54">
        <v>0</v>
      </c>
      <c r="BJ15" s="11">
        <v>30</v>
      </c>
      <c r="BK15" s="5" t="s">
        <v>122</v>
      </c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53" t="s">
        <v>88</v>
      </c>
      <c r="C16" s="54">
        <v>0</v>
      </c>
      <c r="D16" s="54">
        <v>0</v>
      </c>
      <c r="E16" s="54">
        <v>0</v>
      </c>
      <c r="F16" s="54">
        <v>0</v>
      </c>
      <c r="G16" s="54">
        <v>0</v>
      </c>
      <c r="H16" s="54">
        <v>0</v>
      </c>
      <c r="I16" s="54">
        <v>0</v>
      </c>
      <c r="J16" s="56" t="s">
        <v>103</v>
      </c>
      <c r="K16" s="54">
        <v>0</v>
      </c>
      <c r="L16" s="54">
        <v>0</v>
      </c>
      <c r="M16" s="26"/>
      <c r="N16" s="53" t="s">
        <v>88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6" t="s">
        <v>103</v>
      </c>
      <c r="W16" s="54">
        <v>0</v>
      </c>
      <c r="X16" s="54">
        <v>0</v>
      </c>
      <c r="Y16" s="26"/>
      <c r="Z16" s="53" t="s">
        <v>88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54">
        <v>0</v>
      </c>
      <c r="AG16" s="54">
        <v>0</v>
      </c>
      <c r="AH16" s="56" t="s">
        <v>103</v>
      </c>
      <c r="AI16" s="54">
        <v>0</v>
      </c>
      <c r="AJ16" s="54">
        <v>1</v>
      </c>
      <c r="AK16" s="26"/>
      <c r="AL16" s="53" t="s">
        <v>88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54">
        <v>0</v>
      </c>
      <c r="AS16" s="54">
        <v>0</v>
      </c>
      <c r="AT16" s="56" t="s">
        <v>103</v>
      </c>
      <c r="AU16" s="54">
        <v>0</v>
      </c>
      <c r="AV16" s="54">
        <v>0</v>
      </c>
      <c r="AW16" s="26"/>
      <c r="AX16" s="53" t="s">
        <v>88</v>
      </c>
      <c r="AY16" s="54">
        <v>0</v>
      </c>
      <c r="AZ16" s="54">
        <v>0</v>
      </c>
      <c r="BA16" s="54">
        <v>0</v>
      </c>
      <c r="BB16" s="54">
        <v>0</v>
      </c>
      <c r="BC16" s="54">
        <v>0</v>
      </c>
      <c r="BD16" s="54">
        <v>0</v>
      </c>
      <c r="BE16" s="54">
        <v>0</v>
      </c>
      <c r="BF16" s="56" t="s">
        <v>103</v>
      </c>
      <c r="BG16" s="54">
        <v>0</v>
      </c>
      <c r="BH16" s="54">
        <v>0</v>
      </c>
    </row>
    <row r="17" spans="1:71" ht="36" customHeight="1" x14ac:dyDescent="0.3">
      <c r="A17" s="26"/>
      <c r="B17" s="57" t="s">
        <v>89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26"/>
      <c r="N17" s="57" t="s">
        <v>89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26"/>
      <c r="Z17" s="57" t="s">
        <v>89</v>
      </c>
      <c r="AA17" s="58">
        <v>0</v>
      </c>
      <c r="AB17" s="58">
        <v>0</v>
      </c>
      <c r="AC17" s="58">
        <v>0</v>
      </c>
      <c r="AD17" s="58">
        <v>0</v>
      </c>
      <c r="AE17" s="58">
        <v>0</v>
      </c>
      <c r="AF17" s="58">
        <v>0</v>
      </c>
      <c r="AG17" s="58">
        <v>0</v>
      </c>
      <c r="AH17" s="58">
        <v>0</v>
      </c>
      <c r="AI17" s="58">
        <v>0</v>
      </c>
      <c r="AJ17" s="58">
        <v>0</v>
      </c>
      <c r="AK17" s="26"/>
      <c r="AL17" s="57" t="s">
        <v>89</v>
      </c>
      <c r="AM17" s="58">
        <v>0</v>
      </c>
      <c r="AN17" s="58">
        <v>0</v>
      </c>
      <c r="AO17" s="58">
        <v>0</v>
      </c>
      <c r="AP17" s="58">
        <v>0</v>
      </c>
      <c r="AQ17" s="58">
        <v>0</v>
      </c>
      <c r="AR17" s="58">
        <v>0</v>
      </c>
      <c r="AS17" s="58">
        <v>0</v>
      </c>
      <c r="AT17" s="58">
        <v>0</v>
      </c>
      <c r="AU17" s="58">
        <v>0</v>
      </c>
      <c r="AV17" s="58">
        <v>0</v>
      </c>
      <c r="AW17" s="26"/>
      <c r="AX17" s="57" t="s">
        <v>89</v>
      </c>
      <c r="AY17" s="58">
        <v>0</v>
      </c>
      <c r="AZ17" s="58">
        <v>0</v>
      </c>
      <c r="BA17" s="58">
        <v>0</v>
      </c>
      <c r="BB17" s="58">
        <v>0</v>
      </c>
      <c r="BC17" s="58">
        <v>0</v>
      </c>
      <c r="BD17" s="58">
        <v>0</v>
      </c>
      <c r="BE17" s="58">
        <v>0</v>
      </c>
      <c r="BF17" s="58">
        <v>0</v>
      </c>
      <c r="BG17" s="58">
        <v>0</v>
      </c>
      <c r="BH17" s="58">
        <v>0</v>
      </c>
      <c r="BJ17" s="82" t="s">
        <v>18</v>
      </c>
      <c r="BK17" s="76"/>
      <c r="BL17" s="76"/>
      <c r="BM17" s="76"/>
      <c r="BN17" s="76"/>
      <c r="BO17" s="76"/>
      <c r="BP17" s="76"/>
      <c r="BQ17" s="76"/>
      <c r="BR17" s="76"/>
      <c r="BS17" s="76"/>
    </row>
    <row r="20" spans="1:71" ht="25.95" customHeight="1" x14ac:dyDescent="0.3">
      <c r="A20" s="75" t="s">
        <v>19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1:71" x14ac:dyDescent="0.3">
      <c r="A21" s="60"/>
      <c r="B21" s="61"/>
      <c r="C21" s="50" t="s">
        <v>93</v>
      </c>
      <c r="D21" s="50" t="s">
        <v>94</v>
      </c>
      <c r="E21" s="50" t="s">
        <v>96</v>
      </c>
      <c r="F21" s="50" t="s">
        <v>97</v>
      </c>
      <c r="G21" s="50" t="s">
        <v>98</v>
      </c>
      <c r="H21" s="50" t="s">
        <v>99</v>
      </c>
      <c r="I21" s="50" t="s">
        <v>102</v>
      </c>
      <c r="J21" s="60"/>
      <c r="K21" s="61"/>
      <c r="L21" s="50" t="s">
        <v>93</v>
      </c>
      <c r="M21" s="50" t="s">
        <v>94</v>
      </c>
      <c r="N21" s="50" t="s">
        <v>96</v>
      </c>
      <c r="O21" s="50" t="s">
        <v>97</v>
      </c>
      <c r="P21" s="50" t="s">
        <v>98</v>
      </c>
      <c r="Q21" s="50" t="s">
        <v>99</v>
      </c>
      <c r="R21" s="50" t="s">
        <v>102</v>
      </c>
      <c r="S21" s="60"/>
      <c r="T21" s="61"/>
      <c r="U21" s="50" t="s">
        <v>93</v>
      </c>
      <c r="V21" s="50" t="s">
        <v>94</v>
      </c>
      <c r="W21" s="50" t="s">
        <v>96</v>
      </c>
      <c r="X21" s="50" t="s">
        <v>97</v>
      </c>
      <c r="Y21" s="50" t="s">
        <v>98</v>
      </c>
      <c r="Z21" s="50" t="s">
        <v>99</v>
      </c>
      <c r="AA21" s="50" t="s">
        <v>102</v>
      </c>
      <c r="AB21" s="60"/>
      <c r="AC21" s="61"/>
      <c r="AD21" s="50" t="s">
        <v>93</v>
      </c>
      <c r="AE21" s="50" t="s">
        <v>94</v>
      </c>
      <c r="AF21" s="50" t="s">
        <v>96</v>
      </c>
      <c r="AG21" s="50" t="s">
        <v>97</v>
      </c>
      <c r="AH21" s="50" t="s">
        <v>98</v>
      </c>
      <c r="AI21" s="50" t="s">
        <v>99</v>
      </c>
      <c r="AJ21" s="50" t="s">
        <v>102</v>
      </c>
      <c r="AK21" s="60"/>
      <c r="AL21" s="61"/>
      <c r="AM21" s="50" t="s">
        <v>93</v>
      </c>
      <c r="AN21" s="50" t="s">
        <v>94</v>
      </c>
      <c r="AO21" s="50" t="s">
        <v>96</v>
      </c>
      <c r="AP21" s="50" t="s">
        <v>97</v>
      </c>
      <c r="AQ21" s="50" t="s">
        <v>98</v>
      </c>
      <c r="AR21" s="50" t="s">
        <v>99</v>
      </c>
      <c r="AS21" s="50" t="s">
        <v>102</v>
      </c>
      <c r="AT21" s="60"/>
      <c r="AU21" s="61"/>
      <c r="AV21" s="50" t="s">
        <v>93</v>
      </c>
      <c r="AW21" s="50" t="s">
        <v>94</v>
      </c>
      <c r="AX21" s="50" t="s">
        <v>96</v>
      </c>
      <c r="AY21" s="50" t="s">
        <v>97</v>
      </c>
      <c r="AZ21" s="50" t="s">
        <v>98</v>
      </c>
      <c r="BA21" s="50" t="s">
        <v>99</v>
      </c>
      <c r="BB21" s="50" t="s">
        <v>102</v>
      </c>
    </row>
    <row r="22" spans="1:71" x14ac:dyDescent="0.3">
      <c r="A22" s="60" t="s">
        <v>119</v>
      </c>
      <c r="B22" s="61" t="s">
        <v>106</v>
      </c>
      <c r="C22" s="62">
        <v>3</v>
      </c>
      <c r="D22" s="62">
        <v>3</v>
      </c>
      <c r="E22" s="62">
        <v>6</v>
      </c>
      <c r="F22" s="62">
        <v>4</v>
      </c>
      <c r="G22" s="62">
        <v>18</v>
      </c>
      <c r="H22" s="62">
        <v>20</v>
      </c>
      <c r="I22" s="62">
        <v>55</v>
      </c>
      <c r="J22" s="60" t="s">
        <v>121</v>
      </c>
      <c r="K22" s="61" t="s">
        <v>106</v>
      </c>
      <c r="L22" s="62">
        <v>3</v>
      </c>
      <c r="M22" s="62">
        <v>0</v>
      </c>
      <c r="N22" s="62">
        <v>4</v>
      </c>
      <c r="O22" s="62">
        <v>0</v>
      </c>
      <c r="P22" s="62">
        <v>4</v>
      </c>
      <c r="Q22" s="62">
        <v>1</v>
      </c>
      <c r="R22" s="62">
        <v>12</v>
      </c>
      <c r="S22" s="60" t="s">
        <v>120</v>
      </c>
      <c r="T22" s="61" t="s">
        <v>106</v>
      </c>
      <c r="U22" s="62">
        <v>1</v>
      </c>
      <c r="V22" s="62">
        <v>2</v>
      </c>
      <c r="W22" s="62">
        <v>7</v>
      </c>
      <c r="X22" s="62">
        <v>0</v>
      </c>
      <c r="Y22" s="62">
        <v>2</v>
      </c>
      <c r="Z22" s="62">
        <v>0</v>
      </c>
      <c r="AA22" s="62">
        <v>12</v>
      </c>
      <c r="AB22" s="60" t="s">
        <v>126</v>
      </c>
      <c r="AC22" s="61" t="s">
        <v>106</v>
      </c>
      <c r="AD22" s="62">
        <v>12</v>
      </c>
      <c r="AE22" s="62">
        <v>4</v>
      </c>
      <c r="AF22" s="62">
        <v>11</v>
      </c>
      <c r="AG22" s="62">
        <v>5</v>
      </c>
      <c r="AH22" s="62">
        <v>8</v>
      </c>
      <c r="AI22" s="62">
        <v>12</v>
      </c>
      <c r="AJ22" s="62">
        <v>54</v>
      </c>
      <c r="AK22" s="60" t="s">
        <v>117</v>
      </c>
      <c r="AL22" s="61" t="s">
        <v>106</v>
      </c>
      <c r="AM22" s="62">
        <v>1</v>
      </c>
      <c r="AN22" s="62">
        <v>0</v>
      </c>
      <c r="AO22" s="62">
        <v>0</v>
      </c>
      <c r="AP22" s="62">
        <v>0</v>
      </c>
      <c r="AQ22" s="62">
        <v>0</v>
      </c>
      <c r="AR22" s="62">
        <v>0</v>
      </c>
      <c r="AS22" s="62">
        <v>1</v>
      </c>
      <c r="AT22" s="60" t="s">
        <v>118</v>
      </c>
      <c r="AU22" s="61" t="s">
        <v>106</v>
      </c>
      <c r="AV22" s="62">
        <v>0</v>
      </c>
      <c r="AW22" s="62">
        <v>0</v>
      </c>
      <c r="AX22" s="62">
        <v>0</v>
      </c>
      <c r="AY22" s="62">
        <v>0</v>
      </c>
      <c r="AZ22" s="62">
        <v>0</v>
      </c>
      <c r="BA22" s="62">
        <v>0</v>
      </c>
      <c r="BB22" s="62">
        <v>0</v>
      </c>
    </row>
    <row r="23" spans="1:71" x14ac:dyDescent="0.3">
      <c r="A23" s="60" t="s">
        <v>119</v>
      </c>
      <c r="B23" s="61" t="s">
        <v>107</v>
      </c>
      <c r="C23" s="62">
        <v>0</v>
      </c>
      <c r="D23" s="62">
        <v>0</v>
      </c>
      <c r="E23" s="62">
        <v>0</v>
      </c>
      <c r="F23" s="62">
        <v>1</v>
      </c>
      <c r="G23" s="62">
        <v>0</v>
      </c>
      <c r="H23" s="62">
        <v>0</v>
      </c>
      <c r="I23" s="62">
        <v>1</v>
      </c>
      <c r="J23" s="60" t="s">
        <v>121</v>
      </c>
      <c r="K23" s="61" t="s">
        <v>107</v>
      </c>
      <c r="L23" s="62">
        <v>0</v>
      </c>
      <c r="M23" s="62">
        <v>0</v>
      </c>
      <c r="N23" s="62">
        <v>1</v>
      </c>
      <c r="O23" s="62">
        <v>0</v>
      </c>
      <c r="P23" s="62">
        <v>0</v>
      </c>
      <c r="Q23" s="62">
        <v>0</v>
      </c>
      <c r="R23" s="62">
        <v>1</v>
      </c>
      <c r="S23" s="60" t="s">
        <v>120</v>
      </c>
      <c r="T23" s="61" t="s">
        <v>107</v>
      </c>
      <c r="U23" s="62">
        <v>0</v>
      </c>
      <c r="V23" s="62">
        <v>2</v>
      </c>
      <c r="W23" s="62">
        <v>5</v>
      </c>
      <c r="X23" s="62">
        <v>0</v>
      </c>
      <c r="Y23" s="62">
        <v>0</v>
      </c>
      <c r="Z23" s="62">
        <v>0</v>
      </c>
      <c r="AA23" s="62">
        <v>7</v>
      </c>
      <c r="AB23" s="60" t="s">
        <v>126</v>
      </c>
      <c r="AC23" s="61" t="s">
        <v>107</v>
      </c>
      <c r="AD23" s="62">
        <v>0</v>
      </c>
      <c r="AE23" s="62">
        <v>0</v>
      </c>
      <c r="AF23" s="62">
        <v>0</v>
      </c>
      <c r="AG23" s="62">
        <v>0</v>
      </c>
      <c r="AH23" s="62">
        <v>0</v>
      </c>
      <c r="AI23" s="62">
        <v>0</v>
      </c>
      <c r="AJ23" s="62">
        <v>0</v>
      </c>
      <c r="AK23" s="60" t="s">
        <v>117</v>
      </c>
      <c r="AL23" s="61" t="s">
        <v>107</v>
      </c>
      <c r="AM23" s="62">
        <v>0</v>
      </c>
      <c r="AN23" s="62">
        <v>0</v>
      </c>
      <c r="AO23" s="62">
        <v>0</v>
      </c>
      <c r="AP23" s="62">
        <v>0</v>
      </c>
      <c r="AQ23" s="62">
        <v>0</v>
      </c>
      <c r="AR23" s="62">
        <v>0</v>
      </c>
      <c r="AS23" s="62">
        <v>0</v>
      </c>
      <c r="AT23" s="60" t="s">
        <v>118</v>
      </c>
      <c r="AU23" s="61" t="s">
        <v>107</v>
      </c>
      <c r="AV23" s="62">
        <v>0</v>
      </c>
      <c r="AW23" s="62">
        <v>0</v>
      </c>
      <c r="AX23" s="62">
        <v>0</v>
      </c>
      <c r="AY23" s="62">
        <v>0</v>
      </c>
      <c r="AZ23" s="62">
        <v>0</v>
      </c>
      <c r="BA23" s="62">
        <v>0</v>
      </c>
      <c r="BB23" s="62">
        <v>0</v>
      </c>
    </row>
    <row r="24" spans="1:71" x14ac:dyDescent="0.3">
      <c r="A24" s="60" t="s">
        <v>119</v>
      </c>
      <c r="B24" s="61" t="s">
        <v>108</v>
      </c>
      <c r="C24" s="62">
        <v>14</v>
      </c>
      <c r="D24" s="62">
        <v>0</v>
      </c>
      <c r="E24" s="62">
        <v>5</v>
      </c>
      <c r="F24" s="62">
        <v>0</v>
      </c>
      <c r="G24" s="62">
        <v>1</v>
      </c>
      <c r="H24" s="62">
        <v>0</v>
      </c>
      <c r="I24" s="62">
        <v>20</v>
      </c>
      <c r="J24" s="60" t="s">
        <v>121</v>
      </c>
      <c r="K24" s="61" t="s">
        <v>108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0" t="s">
        <v>120</v>
      </c>
      <c r="T24" s="61" t="s">
        <v>108</v>
      </c>
      <c r="U24" s="62">
        <v>2</v>
      </c>
      <c r="V24" s="62">
        <v>0</v>
      </c>
      <c r="W24" s="62">
        <v>5</v>
      </c>
      <c r="X24" s="62">
        <v>4</v>
      </c>
      <c r="Y24" s="62">
        <v>4</v>
      </c>
      <c r="Z24" s="62">
        <v>6</v>
      </c>
      <c r="AA24" s="62">
        <v>22</v>
      </c>
      <c r="AB24" s="60" t="s">
        <v>126</v>
      </c>
      <c r="AC24" s="61" t="s">
        <v>108</v>
      </c>
      <c r="AD24" s="62">
        <v>0</v>
      </c>
      <c r="AE24" s="62">
        <v>0</v>
      </c>
      <c r="AF24" s="62">
        <v>0</v>
      </c>
      <c r="AG24" s="62">
        <v>0</v>
      </c>
      <c r="AH24" s="62">
        <v>0</v>
      </c>
      <c r="AI24" s="62">
        <v>0</v>
      </c>
      <c r="AJ24" s="62">
        <v>0</v>
      </c>
      <c r="AK24" s="60" t="s">
        <v>117</v>
      </c>
      <c r="AL24" s="61" t="s">
        <v>108</v>
      </c>
      <c r="AM24" s="62">
        <v>18</v>
      </c>
      <c r="AN24" s="62">
        <v>2</v>
      </c>
      <c r="AO24" s="62">
        <v>2</v>
      </c>
      <c r="AP24" s="62">
        <v>5</v>
      </c>
      <c r="AQ24" s="62">
        <v>4</v>
      </c>
      <c r="AR24" s="62">
        <v>4</v>
      </c>
      <c r="AS24" s="62">
        <v>38</v>
      </c>
      <c r="AT24" s="60" t="s">
        <v>118</v>
      </c>
      <c r="AU24" s="61" t="s">
        <v>108</v>
      </c>
      <c r="AV24" s="62">
        <v>18</v>
      </c>
      <c r="AW24" s="62">
        <v>1</v>
      </c>
      <c r="AX24" s="62">
        <v>3</v>
      </c>
      <c r="AY24" s="62">
        <v>2</v>
      </c>
      <c r="AZ24" s="62">
        <v>0</v>
      </c>
      <c r="BA24" s="62">
        <v>0</v>
      </c>
      <c r="BB24" s="62">
        <v>24</v>
      </c>
    </row>
    <row r="25" spans="1:71" x14ac:dyDescent="0.3">
      <c r="A25" s="60" t="s">
        <v>119</v>
      </c>
      <c r="B25" s="61" t="s">
        <v>106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0" t="s">
        <v>121</v>
      </c>
      <c r="K25" s="61" t="s">
        <v>106</v>
      </c>
      <c r="L25" s="62">
        <v>10</v>
      </c>
      <c r="M25" s="62">
        <v>0</v>
      </c>
      <c r="N25" s="62">
        <v>15</v>
      </c>
      <c r="O25" s="62">
        <v>1</v>
      </c>
      <c r="P25" s="62">
        <v>4</v>
      </c>
      <c r="Q25" s="62">
        <v>0</v>
      </c>
      <c r="R25" s="62">
        <v>30</v>
      </c>
      <c r="S25" s="60" t="s">
        <v>120</v>
      </c>
      <c r="T25" s="61" t="s">
        <v>106</v>
      </c>
      <c r="U25" s="62">
        <v>0</v>
      </c>
      <c r="V25" s="62">
        <v>0</v>
      </c>
      <c r="W25" s="62">
        <v>0</v>
      </c>
      <c r="X25" s="62">
        <v>0</v>
      </c>
      <c r="Y25" s="62">
        <v>0</v>
      </c>
      <c r="Z25" s="62">
        <v>0</v>
      </c>
      <c r="AA25" s="62">
        <v>0</v>
      </c>
      <c r="AB25" s="60" t="s">
        <v>126</v>
      </c>
      <c r="AC25" s="61" t="s">
        <v>106</v>
      </c>
      <c r="AD25" s="62">
        <v>0</v>
      </c>
      <c r="AE25" s="62">
        <v>0</v>
      </c>
      <c r="AF25" s="62">
        <v>0</v>
      </c>
      <c r="AG25" s="62">
        <v>0</v>
      </c>
      <c r="AH25" s="62">
        <v>0</v>
      </c>
      <c r="AI25" s="62">
        <v>0</v>
      </c>
      <c r="AJ25" s="62">
        <v>0</v>
      </c>
      <c r="AK25" s="60" t="s">
        <v>117</v>
      </c>
      <c r="AL25" s="61" t="s">
        <v>106</v>
      </c>
      <c r="AM25" s="62">
        <v>0</v>
      </c>
      <c r="AN25" s="62">
        <v>0</v>
      </c>
      <c r="AO25" s="62">
        <v>0</v>
      </c>
      <c r="AP25" s="62">
        <v>0</v>
      </c>
      <c r="AQ25" s="62">
        <v>0</v>
      </c>
      <c r="AR25" s="62">
        <v>0</v>
      </c>
      <c r="AS25" s="62">
        <v>0</v>
      </c>
      <c r="AT25" s="60" t="s">
        <v>118</v>
      </c>
      <c r="AU25" s="61" t="s">
        <v>106</v>
      </c>
      <c r="AV25" s="62">
        <v>0</v>
      </c>
      <c r="AW25" s="62">
        <v>0</v>
      </c>
      <c r="AX25" s="62">
        <v>0</v>
      </c>
      <c r="AY25" s="62">
        <v>0</v>
      </c>
      <c r="AZ25" s="62">
        <v>0</v>
      </c>
      <c r="BA25" s="62">
        <v>0</v>
      </c>
      <c r="BB25" s="62">
        <v>0</v>
      </c>
    </row>
    <row r="26" spans="1:71" x14ac:dyDescent="0.3">
      <c r="A26" s="60" t="s">
        <v>119</v>
      </c>
      <c r="B26" s="61" t="s">
        <v>107</v>
      </c>
      <c r="C26" s="62">
        <v>0</v>
      </c>
      <c r="D26" s="62">
        <v>0</v>
      </c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0" t="s">
        <v>121</v>
      </c>
      <c r="K26" s="61" t="s">
        <v>107</v>
      </c>
      <c r="L26" s="62">
        <v>6</v>
      </c>
      <c r="M26" s="62">
        <v>0</v>
      </c>
      <c r="N26" s="62">
        <v>14</v>
      </c>
      <c r="O26" s="62">
        <v>0</v>
      </c>
      <c r="P26" s="62">
        <v>5</v>
      </c>
      <c r="Q26" s="62">
        <v>2</v>
      </c>
      <c r="R26" s="62">
        <v>27</v>
      </c>
      <c r="S26" s="60" t="s">
        <v>120</v>
      </c>
      <c r="T26" s="61" t="s">
        <v>107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62">
        <v>0</v>
      </c>
      <c r="AB26" s="60" t="s">
        <v>126</v>
      </c>
      <c r="AC26" s="61" t="s">
        <v>107</v>
      </c>
      <c r="AD26" s="62">
        <v>0</v>
      </c>
      <c r="AE26" s="62">
        <v>0</v>
      </c>
      <c r="AF26" s="62">
        <v>0</v>
      </c>
      <c r="AG26" s="62">
        <v>0</v>
      </c>
      <c r="AH26" s="62">
        <v>0</v>
      </c>
      <c r="AI26" s="62">
        <v>0</v>
      </c>
      <c r="AJ26" s="62">
        <v>0</v>
      </c>
      <c r="AK26" s="60" t="s">
        <v>117</v>
      </c>
      <c r="AL26" s="61" t="s">
        <v>107</v>
      </c>
      <c r="AM26" s="62">
        <v>0</v>
      </c>
      <c r="AN26" s="62">
        <v>0</v>
      </c>
      <c r="AO26" s="62">
        <v>0</v>
      </c>
      <c r="AP26" s="62">
        <v>0</v>
      </c>
      <c r="AQ26" s="62">
        <v>0</v>
      </c>
      <c r="AR26" s="62">
        <v>0</v>
      </c>
      <c r="AS26" s="62">
        <v>0</v>
      </c>
      <c r="AT26" s="60" t="s">
        <v>118</v>
      </c>
      <c r="AU26" s="61" t="s">
        <v>107</v>
      </c>
      <c r="AV26" s="62">
        <v>0</v>
      </c>
      <c r="AW26" s="62">
        <v>0</v>
      </c>
      <c r="AX26" s="62">
        <v>0</v>
      </c>
      <c r="AY26" s="62">
        <v>0</v>
      </c>
      <c r="AZ26" s="62">
        <v>0</v>
      </c>
      <c r="BA26" s="62">
        <v>0</v>
      </c>
      <c r="BB26" s="62">
        <v>0</v>
      </c>
    </row>
    <row r="27" spans="1:71" x14ac:dyDescent="0.3">
      <c r="A27" s="60" t="s">
        <v>119</v>
      </c>
      <c r="B27" s="63" t="s">
        <v>108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0" t="s">
        <v>121</v>
      </c>
      <c r="K27" s="63" t="s">
        <v>108</v>
      </c>
      <c r="L27" s="64">
        <v>0</v>
      </c>
      <c r="M27" s="64">
        <v>0</v>
      </c>
      <c r="N27" s="64">
        <v>0</v>
      </c>
      <c r="O27" s="64">
        <v>0</v>
      </c>
      <c r="P27" s="64">
        <v>0</v>
      </c>
      <c r="Q27" s="64">
        <v>0</v>
      </c>
      <c r="R27" s="64">
        <v>0</v>
      </c>
      <c r="S27" s="60" t="s">
        <v>120</v>
      </c>
      <c r="T27" s="63" t="s">
        <v>108</v>
      </c>
      <c r="U27" s="64">
        <v>0</v>
      </c>
      <c r="V27" s="64">
        <v>0</v>
      </c>
      <c r="W27" s="64">
        <v>0</v>
      </c>
      <c r="X27" s="64">
        <v>0</v>
      </c>
      <c r="Y27" s="64">
        <v>0</v>
      </c>
      <c r="Z27" s="64">
        <v>0</v>
      </c>
      <c r="AA27" s="64">
        <v>0</v>
      </c>
      <c r="AB27" s="60" t="s">
        <v>126</v>
      </c>
      <c r="AC27" s="63" t="s">
        <v>108</v>
      </c>
      <c r="AD27" s="64">
        <v>0</v>
      </c>
      <c r="AE27" s="64">
        <v>0</v>
      </c>
      <c r="AF27" s="64">
        <v>0</v>
      </c>
      <c r="AG27" s="64">
        <v>0</v>
      </c>
      <c r="AH27" s="64">
        <v>0</v>
      </c>
      <c r="AI27" s="64">
        <v>0</v>
      </c>
      <c r="AJ27" s="64">
        <v>0</v>
      </c>
      <c r="AK27" s="60" t="s">
        <v>117</v>
      </c>
      <c r="AL27" s="63" t="s">
        <v>108</v>
      </c>
      <c r="AM27" s="64">
        <v>2</v>
      </c>
      <c r="AN27" s="64">
        <v>0</v>
      </c>
      <c r="AO27" s="64">
        <v>8</v>
      </c>
      <c r="AP27" s="64">
        <v>0</v>
      </c>
      <c r="AQ27" s="64">
        <v>6</v>
      </c>
      <c r="AR27" s="64">
        <v>2</v>
      </c>
      <c r="AS27" s="64">
        <v>25</v>
      </c>
      <c r="AT27" s="60" t="s">
        <v>118</v>
      </c>
      <c r="AU27" s="63" t="s">
        <v>108</v>
      </c>
      <c r="AV27" s="64">
        <v>0</v>
      </c>
      <c r="AW27" s="64">
        <v>0</v>
      </c>
      <c r="AX27" s="64">
        <v>0</v>
      </c>
      <c r="AY27" s="64">
        <v>0</v>
      </c>
      <c r="AZ27" s="64">
        <v>0</v>
      </c>
      <c r="BA27" s="64">
        <v>0</v>
      </c>
      <c r="BB27" s="64">
        <v>0</v>
      </c>
    </row>
    <row r="28" spans="1:71" x14ac:dyDescent="0.3">
      <c r="A28" s="60"/>
      <c r="B28" s="61"/>
      <c r="C28" s="65" t="s">
        <v>93</v>
      </c>
      <c r="D28" s="65" t="s">
        <v>94</v>
      </c>
      <c r="E28" s="65" t="s">
        <v>96</v>
      </c>
      <c r="F28" s="65" t="s">
        <v>97</v>
      </c>
      <c r="G28" s="65" t="s">
        <v>98</v>
      </c>
      <c r="H28" s="65" t="s">
        <v>99</v>
      </c>
      <c r="I28" s="65" t="s">
        <v>102</v>
      </c>
      <c r="J28" s="60"/>
      <c r="K28" s="61"/>
      <c r="L28" s="65" t="s">
        <v>93</v>
      </c>
      <c r="M28" s="65" t="s">
        <v>94</v>
      </c>
      <c r="N28" s="65" t="s">
        <v>96</v>
      </c>
      <c r="O28" s="65" t="s">
        <v>97</v>
      </c>
      <c r="P28" s="65" t="s">
        <v>98</v>
      </c>
      <c r="Q28" s="65" t="s">
        <v>99</v>
      </c>
      <c r="R28" s="65" t="s">
        <v>102</v>
      </c>
      <c r="S28" s="60"/>
      <c r="T28" s="61"/>
      <c r="U28" s="65" t="s">
        <v>93</v>
      </c>
      <c r="V28" s="65" t="s">
        <v>94</v>
      </c>
      <c r="W28" s="65" t="s">
        <v>96</v>
      </c>
      <c r="X28" s="65" t="s">
        <v>97</v>
      </c>
      <c r="Y28" s="65" t="s">
        <v>98</v>
      </c>
      <c r="Z28" s="65" t="s">
        <v>99</v>
      </c>
      <c r="AA28" s="65" t="s">
        <v>102</v>
      </c>
      <c r="AB28" s="60"/>
      <c r="AC28" s="61"/>
      <c r="AD28" s="65" t="s">
        <v>93</v>
      </c>
      <c r="AE28" s="65" t="s">
        <v>94</v>
      </c>
      <c r="AF28" s="65" t="s">
        <v>96</v>
      </c>
      <c r="AG28" s="65" t="s">
        <v>97</v>
      </c>
      <c r="AH28" s="65" t="s">
        <v>98</v>
      </c>
      <c r="AI28" s="65" t="s">
        <v>99</v>
      </c>
      <c r="AJ28" s="65" t="s">
        <v>102</v>
      </c>
      <c r="AK28" s="60"/>
      <c r="AL28" s="61"/>
      <c r="AM28" s="65" t="s">
        <v>93</v>
      </c>
      <c r="AN28" s="65" t="s">
        <v>94</v>
      </c>
      <c r="AO28" s="65" t="s">
        <v>96</v>
      </c>
      <c r="AP28" s="65" t="s">
        <v>97</v>
      </c>
      <c r="AQ28" s="65" t="s">
        <v>98</v>
      </c>
      <c r="AR28" s="65" t="s">
        <v>99</v>
      </c>
      <c r="AS28" s="65" t="s">
        <v>102</v>
      </c>
      <c r="AT28" s="60"/>
      <c r="AU28" s="61"/>
      <c r="AV28" s="65" t="s">
        <v>93</v>
      </c>
      <c r="AW28" s="65" t="s">
        <v>94</v>
      </c>
      <c r="AX28" s="65" t="s">
        <v>96</v>
      </c>
      <c r="AY28" s="65" t="s">
        <v>97</v>
      </c>
      <c r="AZ28" s="65" t="s">
        <v>98</v>
      </c>
      <c r="BA28" s="65" t="s">
        <v>99</v>
      </c>
      <c r="BB28" s="65" t="s">
        <v>102</v>
      </c>
    </row>
    <row r="29" spans="1:71" x14ac:dyDescent="0.3">
      <c r="A29" s="60" t="s">
        <v>127</v>
      </c>
      <c r="B29" s="61" t="s">
        <v>106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0" t="s">
        <v>116</v>
      </c>
      <c r="K29" s="61" t="s">
        <v>106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0" t="s">
        <v>123</v>
      </c>
      <c r="T29" s="61" t="s">
        <v>106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62">
        <v>0</v>
      </c>
      <c r="AB29" s="60" t="s">
        <v>128</v>
      </c>
      <c r="AC29" s="61" t="s">
        <v>106</v>
      </c>
      <c r="AD29" s="62">
        <v>4</v>
      </c>
      <c r="AE29" s="62">
        <v>0</v>
      </c>
      <c r="AF29" s="62">
        <v>2</v>
      </c>
      <c r="AG29" s="62">
        <v>1</v>
      </c>
      <c r="AH29" s="62">
        <v>1</v>
      </c>
      <c r="AI29" s="62">
        <v>1</v>
      </c>
      <c r="AJ29" s="62">
        <v>10</v>
      </c>
      <c r="AK29" s="60" t="s">
        <v>129</v>
      </c>
      <c r="AL29" s="61" t="s">
        <v>106</v>
      </c>
      <c r="AM29" s="62">
        <v>0</v>
      </c>
      <c r="AN29" s="62">
        <v>0</v>
      </c>
      <c r="AO29" s="62">
        <v>0</v>
      </c>
      <c r="AP29" s="62">
        <v>0</v>
      </c>
      <c r="AQ29" s="62">
        <v>0</v>
      </c>
      <c r="AR29" s="62">
        <v>0</v>
      </c>
      <c r="AS29" s="62">
        <v>0</v>
      </c>
      <c r="AT29" s="60" t="s">
        <v>122</v>
      </c>
      <c r="AU29" s="61" t="s">
        <v>106</v>
      </c>
      <c r="AV29" s="62">
        <v>0</v>
      </c>
      <c r="AW29" s="62">
        <v>0</v>
      </c>
      <c r="AX29" s="62">
        <v>3</v>
      </c>
      <c r="AY29" s="62">
        <v>0</v>
      </c>
      <c r="AZ29" s="62">
        <v>0</v>
      </c>
      <c r="BA29" s="62">
        <v>1</v>
      </c>
      <c r="BB29" s="62">
        <v>4</v>
      </c>
    </row>
    <row r="30" spans="1:71" x14ac:dyDescent="0.3">
      <c r="A30" s="60" t="s">
        <v>127</v>
      </c>
      <c r="B30" s="61" t="s">
        <v>107</v>
      </c>
      <c r="C30" s="62">
        <v>0</v>
      </c>
      <c r="D30" s="62">
        <v>0</v>
      </c>
      <c r="E30" s="62">
        <v>0</v>
      </c>
      <c r="F30" s="62">
        <v>0</v>
      </c>
      <c r="G30" s="62">
        <v>0</v>
      </c>
      <c r="H30" s="62">
        <v>0</v>
      </c>
      <c r="I30" s="62">
        <v>0</v>
      </c>
      <c r="J30" s="60" t="s">
        <v>116</v>
      </c>
      <c r="K30" s="61" t="s">
        <v>107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0" t="s">
        <v>123</v>
      </c>
      <c r="T30" s="61" t="s">
        <v>107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0" t="s">
        <v>128</v>
      </c>
      <c r="AC30" s="61" t="s">
        <v>107</v>
      </c>
      <c r="AD30" s="62">
        <v>0</v>
      </c>
      <c r="AE30" s="62">
        <v>0</v>
      </c>
      <c r="AF30" s="62">
        <v>1</v>
      </c>
      <c r="AG30" s="62">
        <v>0</v>
      </c>
      <c r="AH30" s="62">
        <v>0</v>
      </c>
      <c r="AI30" s="62">
        <v>0</v>
      </c>
      <c r="AJ30" s="62">
        <v>1</v>
      </c>
      <c r="AK30" s="60" t="s">
        <v>129</v>
      </c>
      <c r="AL30" s="61" t="s">
        <v>107</v>
      </c>
      <c r="AM30" s="62">
        <v>0</v>
      </c>
      <c r="AN30" s="62">
        <v>0</v>
      </c>
      <c r="AO30" s="62">
        <v>0</v>
      </c>
      <c r="AP30" s="62">
        <v>0</v>
      </c>
      <c r="AQ30" s="62">
        <v>0</v>
      </c>
      <c r="AR30" s="62">
        <v>0</v>
      </c>
      <c r="AS30" s="62">
        <v>0</v>
      </c>
      <c r="AT30" s="60" t="s">
        <v>122</v>
      </c>
      <c r="AU30" s="61" t="s">
        <v>107</v>
      </c>
      <c r="AV30" s="62">
        <v>0</v>
      </c>
      <c r="AW30" s="62">
        <v>0</v>
      </c>
      <c r="AX30" s="62">
        <v>0</v>
      </c>
      <c r="AY30" s="62">
        <v>0</v>
      </c>
      <c r="AZ30" s="62">
        <v>0</v>
      </c>
      <c r="BA30" s="62">
        <v>0</v>
      </c>
      <c r="BB30" s="62">
        <v>0</v>
      </c>
    </row>
    <row r="31" spans="1:71" x14ac:dyDescent="0.3">
      <c r="A31" s="60" t="s">
        <v>127</v>
      </c>
      <c r="B31" s="61" t="s">
        <v>108</v>
      </c>
      <c r="C31" s="62">
        <v>3</v>
      </c>
      <c r="D31" s="62">
        <v>0</v>
      </c>
      <c r="E31" s="62">
        <v>1</v>
      </c>
      <c r="F31" s="62">
        <v>0</v>
      </c>
      <c r="G31" s="62">
        <v>0</v>
      </c>
      <c r="H31" s="62">
        <v>0</v>
      </c>
      <c r="I31" s="62">
        <v>4</v>
      </c>
      <c r="J31" s="60" t="s">
        <v>116</v>
      </c>
      <c r="K31" s="61" t="s">
        <v>108</v>
      </c>
      <c r="L31" s="62">
        <v>0</v>
      </c>
      <c r="M31" s="62">
        <v>0</v>
      </c>
      <c r="N31" s="62">
        <v>0</v>
      </c>
      <c r="O31" s="62">
        <v>0</v>
      </c>
      <c r="P31" s="62">
        <v>0</v>
      </c>
      <c r="Q31" s="62">
        <v>0</v>
      </c>
      <c r="R31" s="62">
        <v>0</v>
      </c>
      <c r="S31" s="60" t="s">
        <v>123</v>
      </c>
      <c r="T31" s="61" t="s">
        <v>108</v>
      </c>
      <c r="U31" s="62">
        <v>0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62">
        <v>0</v>
      </c>
      <c r="AB31" s="60" t="s">
        <v>128</v>
      </c>
      <c r="AC31" s="61" t="s">
        <v>108</v>
      </c>
      <c r="AD31" s="62">
        <v>0</v>
      </c>
      <c r="AE31" s="62">
        <v>0</v>
      </c>
      <c r="AF31" s="62">
        <v>0</v>
      </c>
      <c r="AG31" s="62">
        <v>0</v>
      </c>
      <c r="AH31" s="62">
        <v>0</v>
      </c>
      <c r="AI31" s="62">
        <v>0</v>
      </c>
      <c r="AJ31" s="62">
        <v>0</v>
      </c>
      <c r="AK31" s="60" t="s">
        <v>129</v>
      </c>
      <c r="AL31" s="61" t="s">
        <v>108</v>
      </c>
      <c r="AM31" s="62">
        <v>0</v>
      </c>
      <c r="AN31" s="62">
        <v>0</v>
      </c>
      <c r="AO31" s="62">
        <v>0</v>
      </c>
      <c r="AP31" s="62">
        <v>0</v>
      </c>
      <c r="AQ31" s="62">
        <v>0</v>
      </c>
      <c r="AR31" s="62">
        <v>0</v>
      </c>
      <c r="AS31" s="62">
        <v>1</v>
      </c>
      <c r="AT31" s="60" t="s">
        <v>122</v>
      </c>
      <c r="AU31" s="61" t="s">
        <v>108</v>
      </c>
      <c r="AV31" s="62">
        <v>0</v>
      </c>
      <c r="AW31" s="62">
        <v>0</v>
      </c>
      <c r="AX31" s="62">
        <v>0</v>
      </c>
      <c r="AY31" s="62">
        <v>0</v>
      </c>
      <c r="AZ31" s="62">
        <v>0</v>
      </c>
      <c r="BA31" s="62">
        <v>0</v>
      </c>
      <c r="BB31" s="62">
        <v>0</v>
      </c>
    </row>
    <row r="32" spans="1:71" x14ac:dyDescent="0.3">
      <c r="A32" s="60" t="s">
        <v>127</v>
      </c>
      <c r="B32" s="61" t="s">
        <v>106</v>
      </c>
      <c r="C32" s="62">
        <v>0</v>
      </c>
      <c r="D32" s="62">
        <v>1</v>
      </c>
      <c r="E32" s="62">
        <v>0</v>
      </c>
      <c r="F32" s="62">
        <v>0</v>
      </c>
      <c r="G32" s="62">
        <v>0</v>
      </c>
      <c r="H32" s="62">
        <v>0</v>
      </c>
      <c r="I32" s="62">
        <v>2</v>
      </c>
      <c r="J32" s="60" t="s">
        <v>116</v>
      </c>
      <c r="K32" s="61" t="s">
        <v>106</v>
      </c>
      <c r="L32" s="62">
        <v>0</v>
      </c>
      <c r="M32" s="62">
        <v>0</v>
      </c>
      <c r="N32" s="62">
        <v>3</v>
      </c>
      <c r="O32" s="62">
        <v>0</v>
      </c>
      <c r="P32" s="62">
        <v>5</v>
      </c>
      <c r="Q32" s="62">
        <v>0</v>
      </c>
      <c r="R32" s="62">
        <v>8</v>
      </c>
      <c r="S32" s="60" t="s">
        <v>123</v>
      </c>
      <c r="T32" s="61" t="s">
        <v>106</v>
      </c>
      <c r="U32" s="62">
        <v>0</v>
      </c>
      <c r="V32" s="62">
        <v>0</v>
      </c>
      <c r="W32" s="62">
        <v>2</v>
      </c>
      <c r="X32" s="62">
        <v>0</v>
      </c>
      <c r="Y32" s="62">
        <v>2</v>
      </c>
      <c r="Z32" s="62">
        <v>0</v>
      </c>
      <c r="AA32" s="62">
        <v>4</v>
      </c>
      <c r="AB32" s="60" t="s">
        <v>128</v>
      </c>
      <c r="AC32" s="61" t="s">
        <v>106</v>
      </c>
      <c r="AD32" s="62">
        <v>0</v>
      </c>
      <c r="AE32" s="62">
        <v>0</v>
      </c>
      <c r="AF32" s="62">
        <v>0</v>
      </c>
      <c r="AG32" s="62">
        <v>0</v>
      </c>
      <c r="AH32" s="62">
        <v>0</v>
      </c>
      <c r="AI32" s="62">
        <v>0</v>
      </c>
      <c r="AJ32" s="62">
        <v>0</v>
      </c>
      <c r="AK32" s="60" t="s">
        <v>129</v>
      </c>
      <c r="AL32" s="61" t="s">
        <v>106</v>
      </c>
      <c r="AM32" s="62">
        <v>0</v>
      </c>
      <c r="AN32" s="62">
        <v>0</v>
      </c>
      <c r="AO32" s="62">
        <v>0</v>
      </c>
      <c r="AP32" s="62">
        <v>0</v>
      </c>
      <c r="AQ32" s="62">
        <v>0</v>
      </c>
      <c r="AR32" s="62">
        <v>0</v>
      </c>
      <c r="AS32" s="62">
        <v>0</v>
      </c>
      <c r="AT32" s="60" t="s">
        <v>122</v>
      </c>
      <c r="AU32" s="61" t="s">
        <v>106</v>
      </c>
      <c r="AV32" s="62">
        <v>10</v>
      </c>
      <c r="AW32" s="62">
        <v>2</v>
      </c>
      <c r="AX32" s="62">
        <v>22</v>
      </c>
      <c r="AY32" s="62">
        <v>3</v>
      </c>
      <c r="AZ32" s="62">
        <v>5</v>
      </c>
      <c r="BA32" s="62">
        <v>0</v>
      </c>
      <c r="BB32" s="62">
        <v>47</v>
      </c>
    </row>
    <row r="33" spans="1:56" x14ac:dyDescent="0.3">
      <c r="A33" s="60" t="s">
        <v>127</v>
      </c>
      <c r="B33" s="61" t="s">
        <v>107</v>
      </c>
      <c r="C33" s="62">
        <v>1</v>
      </c>
      <c r="D33" s="62">
        <v>0</v>
      </c>
      <c r="E33" s="62">
        <v>1</v>
      </c>
      <c r="F33" s="62">
        <v>0</v>
      </c>
      <c r="G33" s="62">
        <v>0</v>
      </c>
      <c r="H33" s="62">
        <v>0</v>
      </c>
      <c r="I33" s="62">
        <v>2</v>
      </c>
      <c r="J33" s="60" t="s">
        <v>116</v>
      </c>
      <c r="K33" s="61" t="s">
        <v>107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0" t="s">
        <v>123</v>
      </c>
      <c r="T33" s="61" t="s">
        <v>107</v>
      </c>
      <c r="U33" s="62">
        <v>4</v>
      </c>
      <c r="V33" s="62">
        <v>0</v>
      </c>
      <c r="W33" s="62">
        <v>6</v>
      </c>
      <c r="X33" s="62">
        <v>0</v>
      </c>
      <c r="Y33" s="62">
        <v>2</v>
      </c>
      <c r="Z33" s="62">
        <v>0</v>
      </c>
      <c r="AA33" s="62">
        <v>14</v>
      </c>
      <c r="AB33" s="60" t="s">
        <v>128</v>
      </c>
      <c r="AC33" s="61" t="s">
        <v>107</v>
      </c>
      <c r="AD33" s="62">
        <v>0</v>
      </c>
      <c r="AE33" s="62">
        <v>0</v>
      </c>
      <c r="AF33" s="62">
        <v>0</v>
      </c>
      <c r="AG33" s="62">
        <v>0</v>
      </c>
      <c r="AH33" s="62">
        <v>0</v>
      </c>
      <c r="AI33" s="62">
        <v>0</v>
      </c>
      <c r="AJ33" s="62">
        <v>0</v>
      </c>
      <c r="AK33" s="60" t="s">
        <v>129</v>
      </c>
      <c r="AL33" s="61" t="s">
        <v>107</v>
      </c>
      <c r="AM33" s="62">
        <v>0</v>
      </c>
      <c r="AN33" s="62">
        <v>0</v>
      </c>
      <c r="AO33" s="62">
        <v>0</v>
      </c>
      <c r="AP33" s="62">
        <v>0</v>
      </c>
      <c r="AQ33" s="62">
        <v>0</v>
      </c>
      <c r="AR33" s="62">
        <v>0</v>
      </c>
      <c r="AS33" s="62">
        <v>0</v>
      </c>
      <c r="AT33" s="60" t="s">
        <v>122</v>
      </c>
      <c r="AU33" s="61" t="s">
        <v>107</v>
      </c>
      <c r="AV33" s="62">
        <v>0</v>
      </c>
      <c r="AW33" s="62">
        <v>0</v>
      </c>
      <c r="AX33" s="62">
        <v>0</v>
      </c>
      <c r="AY33" s="62">
        <v>0</v>
      </c>
      <c r="AZ33" s="62">
        <v>0</v>
      </c>
      <c r="BA33" s="62">
        <v>0</v>
      </c>
      <c r="BB33" s="62">
        <v>0</v>
      </c>
    </row>
    <row r="34" spans="1:56" x14ac:dyDescent="0.3">
      <c r="A34" s="60" t="s">
        <v>127</v>
      </c>
      <c r="B34" s="63" t="s">
        <v>108</v>
      </c>
      <c r="C34" s="64">
        <v>0</v>
      </c>
      <c r="D34" s="64">
        <v>0</v>
      </c>
      <c r="E34" s="64">
        <v>0</v>
      </c>
      <c r="F34" s="64">
        <v>0</v>
      </c>
      <c r="G34" s="64">
        <v>0</v>
      </c>
      <c r="H34" s="64">
        <v>0</v>
      </c>
      <c r="I34" s="64">
        <v>0</v>
      </c>
      <c r="J34" s="60" t="s">
        <v>116</v>
      </c>
      <c r="K34" s="63" t="s">
        <v>108</v>
      </c>
      <c r="L34" s="64">
        <v>0</v>
      </c>
      <c r="M34" s="64">
        <v>0</v>
      </c>
      <c r="N34" s="64">
        <v>0</v>
      </c>
      <c r="O34" s="64">
        <v>0</v>
      </c>
      <c r="P34" s="64">
        <v>0</v>
      </c>
      <c r="Q34" s="64">
        <v>0</v>
      </c>
      <c r="R34" s="64">
        <v>0</v>
      </c>
      <c r="S34" s="60" t="s">
        <v>123</v>
      </c>
      <c r="T34" s="63" t="s">
        <v>108</v>
      </c>
      <c r="U34" s="64">
        <v>0</v>
      </c>
      <c r="V34" s="64">
        <v>0</v>
      </c>
      <c r="W34" s="64">
        <v>0</v>
      </c>
      <c r="X34" s="64">
        <v>0</v>
      </c>
      <c r="Y34" s="64">
        <v>0</v>
      </c>
      <c r="Z34" s="64">
        <v>0</v>
      </c>
      <c r="AA34" s="64">
        <v>0</v>
      </c>
      <c r="AB34" s="60" t="s">
        <v>128</v>
      </c>
      <c r="AC34" s="63" t="s">
        <v>108</v>
      </c>
      <c r="AD34" s="64">
        <v>0</v>
      </c>
      <c r="AE34" s="64">
        <v>0</v>
      </c>
      <c r="AF34" s="64">
        <v>0</v>
      </c>
      <c r="AG34" s="64">
        <v>0</v>
      </c>
      <c r="AH34" s="64">
        <v>0</v>
      </c>
      <c r="AI34" s="64">
        <v>0</v>
      </c>
      <c r="AJ34" s="64">
        <v>0</v>
      </c>
      <c r="AK34" s="60" t="s">
        <v>129</v>
      </c>
      <c r="AL34" s="63" t="s">
        <v>108</v>
      </c>
      <c r="AM34" s="64">
        <v>0</v>
      </c>
      <c r="AN34" s="64">
        <v>0</v>
      </c>
      <c r="AO34" s="64">
        <v>0</v>
      </c>
      <c r="AP34" s="64">
        <v>0</v>
      </c>
      <c r="AQ34" s="64">
        <v>0</v>
      </c>
      <c r="AR34" s="64">
        <v>0</v>
      </c>
      <c r="AS34" s="64">
        <v>0</v>
      </c>
      <c r="AT34" s="60" t="s">
        <v>122</v>
      </c>
      <c r="AU34" s="63" t="s">
        <v>108</v>
      </c>
      <c r="AV34" s="64">
        <v>0</v>
      </c>
      <c r="AW34" s="64">
        <v>0</v>
      </c>
      <c r="AX34" s="64">
        <v>0</v>
      </c>
      <c r="AY34" s="64">
        <v>0</v>
      </c>
      <c r="AZ34" s="64">
        <v>0</v>
      </c>
      <c r="BA34" s="64">
        <v>0</v>
      </c>
      <c r="BB34" s="64">
        <v>0</v>
      </c>
    </row>
    <row r="35" spans="1:56" ht="25.95" customHeight="1" x14ac:dyDescent="0.3">
      <c r="A35" s="83" t="s">
        <v>20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</row>
    <row r="36" spans="1:56" x14ac:dyDescent="0.3">
      <c r="A36" s="53" t="s">
        <v>109</v>
      </c>
      <c r="B36" s="50" t="s">
        <v>33</v>
      </c>
      <c r="C36" s="50" t="s">
        <v>31</v>
      </c>
      <c r="D36" s="50" t="s">
        <v>3</v>
      </c>
      <c r="E36" s="50" t="s">
        <v>110</v>
      </c>
      <c r="F36" s="50" t="s">
        <v>111</v>
      </c>
      <c r="G36" s="50" t="s">
        <v>112</v>
      </c>
      <c r="H36" s="53" t="s">
        <v>90</v>
      </c>
      <c r="I36" s="50" t="s">
        <v>33</v>
      </c>
      <c r="J36" s="50" t="s">
        <v>31</v>
      </c>
      <c r="K36" s="50" t="s">
        <v>3</v>
      </c>
      <c r="L36" s="50" t="s">
        <v>34</v>
      </c>
      <c r="M36" s="50" t="s">
        <v>111</v>
      </c>
      <c r="N36" s="50" t="s">
        <v>112</v>
      </c>
      <c r="O36" s="53" t="s">
        <v>85</v>
      </c>
      <c r="P36" s="50" t="s">
        <v>33</v>
      </c>
      <c r="Q36" s="50" t="s">
        <v>31</v>
      </c>
      <c r="R36" s="50" t="s">
        <v>3</v>
      </c>
      <c r="S36" s="50" t="s">
        <v>34</v>
      </c>
      <c r="T36" s="50" t="s">
        <v>111</v>
      </c>
      <c r="U36" s="50" t="s">
        <v>112</v>
      </c>
      <c r="V36" s="53" t="s">
        <v>87</v>
      </c>
      <c r="W36" s="50" t="s">
        <v>33</v>
      </c>
      <c r="X36" s="50" t="s">
        <v>31</v>
      </c>
      <c r="Y36" s="50" t="s">
        <v>3</v>
      </c>
      <c r="Z36" s="50" t="s">
        <v>34</v>
      </c>
      <c r="AA36" s="50" t="s">
        <v>111</v>
      </c>
      <c r="AB36" s="50" t="s">
        <v>112</v>
      </c>
      <c r="AC36" s="53" t="s">
        <v>82</v>
      </c>
      <c r="AD36" s="50" t="s">
        <v>33</v>
      </c>
      <c r="AE36" s="50" t="s">
        <v>31</v>
      </c>
      <c r="AF36" s="50" t="s">
        <v>3</v>
      </c>
      <c r="AG36" s="50" t="s">
        <v>34</v>
      </c>
      <c r="AH36" s="50" t="s">
        <v>111</v>
      </c>
      <c r="AI36" s="50" t="s">
        <v>112</v>
      </c>
      <c r="AJ36" s="53" t="s">
        <v>83</v>
      </c>
      <c r="AK36" s="50" t="s">
        <v>33</v>
      </c>
      <c r="AL36" s="50" t="s">
        <v>31</v>
      </c>
      <c r="AM36" s="50" t="s">
        <v>3</v>
      </c>
      <c r="AN36" s="50" t="s">
        <v>34</v>
      </c>
      <c r="AO36" s="50" t="s">
        <v>111</v>
      </c>
      <c r="AP36" s="50" t="s">
        <v>112</v>
      </c>
      <c r="AQ36" s="53" t="s">
        <v>89</v>
      </c>
      <c r="AR36" s="50" t="s">
        <v>33</v>
      </c>
      <c r="AS36" s="50" t="s">
        <v>31</v>
      </c>
      <c r="AT36" s="50" t="s">
        <v>3</v>
      </c>
      <c r="AU36" s="50" t="s">
        <v>34</v>
      </c>
      <c r="AV36" s="50" t="s">
        <v>111</v>
      </c>
      <c r="AW36" s="50" t="s">
        <v>112</v>
      </c>
      <c r="AX36" s="53" t="s">
        <v>155</v>
      </c>
      <c r="AY36" s="50" t="s">
        <v>33</v>
      </c>
      <c r="AZ36" s="50" t="s">
        <v>31</v>
      </c>
      <c r="BA36" s="50" t="s">
        <v>3</v>
      </c>
      <c r="BB36" s="50" t="s">
        <v>34</v>
      </c>
      <c r="BC36" s="50" t="s">
        <v>156</v>
      </c>
      <c r="BD36" s="50" t="s">
        <v>112</v>
      </c>
    </row>
    <row r="37" spans="1:56" x14ac:dyDescent="0.3">
      <c r="A37" s="53" t="s">
        <v>130</v>
      </c>
      <c r="B37" s="66">
        <v>1.77E-2</v>
      </c>
      <c r="C37" s="54">
        <v>268</v>
      </c>
      <c r="D37" s="54">
        <v>6</v>
      </c>
      <c r="E37" s="54">
        <v>33</v>
      </c>
      <c r="F37" s="54">
        <v>7</v>
      </c>
      <c r="G37" s="54">
        <v>13</v>
      </c>
      <c r="H37" s="53" t="s">
        <v>130</v>
      </c>
      <c r="I37" s="67">
        <v>0.17</v>
      </c>
      <c r="J37" s="54">
        <v>46</v>
      </c>
      <c r="K37" s="54">
        <v>20</v>
      </c>
      <c r="L37" s="67">
        <v>0.43</v>
      </c>
      <c r="M37" s="54">
        <v>4</v>
      </c>
      <c r="N37" s="54">
        <v>8</v>
      </c>
      <c r="O37" s="53" t="s">
        <v>130</v>
      </c>
      <c r="P37" s="67">
        <v>0.37</v>
      </c>
      <c r="Q37" s="54">
        <v>128</v>
      </c>
      <c r="R37" s="54">
        <v>67</v>
      </c>
      <c r="S37" s="67">
        <v>0.52</v>
      </c>
      <c r="T37" s="54">
        <v>8</v>
      </c>
      <c r="U37" s="54">
        <v>12</v>
      </c>
      <c r="V37" s="53" t="s">
        <v>130</v>
      </c>
      <c r="W37" s="67">
        <v>0.45</v>
      </c>
      <c r="X37" s="54">
        <v>55</v>
      </c>
      <c r="Y37" s="54">
        <v>30</v>
      </c>
      <c r="Z37" s="67">
        <v>0.55000000000000004</v>
      </c>
      <c r="AA37" s="54">
        <v>3</v>
      </c>
      <c r="AB37" s="54">
        <v>2</v>
      </c>
      <c r="AC37" s="53" t="s">
        <v>130</v>
      </c>
      <c r="AD37" s="67">
        <v>0.43</v>
      </c>
      <c r="AE37" s="54">
        <v>42</v>
      </c>
      <c r="AF37" s="54">
        <v>23</v>
      </c>
      <c r="AG37" s="67">
        <v>0.55000000000000004</v>
      </c>
      <c r="AH37" s="54">
        <v>2</v>
      </c>
      <c r="AI37" s="54">
        <v>3</v>
      </c>
      <c r="AJ37" s="53" t="s">
        <v>130</v>
      </c>
      <c r="AK37" s="67">
        <v>0.08</v>
      </c>
      <c r="AL37" s="54">
        <v>26</v>
      </c>
      <c r="AM37" s="54">
        <v>8</v>
      </c>
      <c r="AN37" s="67">
        <v>0.31</v>
      </c>
      <c r="AO37" s="54">
        <v>3</v>
      </c>
      <c r="AP37" s="54">
        <v>3</v>
      </c>
      <c r="AQ37" s="53" t="s">
        <v>130</v>
      </c>
      <c r="AR37" s="67">
        <v>0</v>
      </c>
      <c r="AS37" s="54">
        <v>0</v>
      </c>
      <c r="AT37" s="54">
        <v>0</v>
      </c>
      <c r="AU37" s="67">
        <v>0</v>
      </c>
      <c r="AV37" s="54">
        <v>0</v>
      </c>
      <c r="AW37" s="54">
        <v>0</v>
      </c>
      <c r="AX37" s="53" t="s">
        <v>130</v>
      </c>
      <c r="AY37" s="67">
        <v>0.08</v>
      </c>
      <c r="AZ37" s="54">
        <v>216</v>
      </c>
      <c r="BA37" s="54">
        <v>41</v>
      </c>
      <c r="BB37" s="67">
        <v>0.19</v>
      </c>
      <c r="BC37" s="67">
        <v>0.25</v>
      </c>
      <c r="BD37" s="54">
        <v>75</v>
      </c>
    </row>
    <row r="38" spans="1:56" x14ac:dyDescent="0.3">
      <c r="A38" s="53" t="s">
        <v>119</v>
      </c>
      <c r="B38" s="66">
        <v>6.5799999999999997E-2</v>
      </c>
      <c r="C38" s="54">
        <v>76</v>
      </c>
      <c r="D38" s="54">
        <v>0</v>
      </c>
      <c r="E38" s="54">
        <v>12</v>
      </c>
      <c r="F38" s="54">
        <v>4</v>
      </c>
      <c r="G38" s="54">
        <v>0</v>
      </c>
      <c r="H38" s="53" t="s">
        <v>119</v>
      </c>
      <c r="I38" s="67">
        <v>0</v>
      </c>
      <c r="J38" s="54">
        <v>0</v>
      </c>
      <c r="K38" s="54">
        <v>0</v>
      </c>
      <c r="L38" s="67">
        <v>0</v>
      </c>
      <c r="M38" s="54">
        <v>0</v>
      </c>
      <c r="N38" s="54">
        <v>0</v>
      </c>
      <c r="O38" s="53" t="s">
        <v>119</v>
      </c>
      <c r="P38" s="67">
        <v>0</v>
      </c>
      <c r="Q38" s="54">
        <v>0</v>
      </c>
      <c r="R38" s="54">
        <v>0</v>
      </c>
      <c r="S38" s="67">
        <v>0</v>
      </c>
      <c r="T38" s="54">
        <v>0</v>
      </c>
      <c r="U38" s="54">
        <v>0</v>
      </c>
      <c r="V38" s="53" t="s">
        <v>119</v>
      </c>
      <c r="W38" s="67">
        <v>0</v>
      </c>
      <c r="X38" s="54">
        <v>0</v>
      </c>
      <c r="Y38" s="54">
        <v>0</v>
      </c>
      <c r="Z38" s="67">
        <v>0</v>
      </c>
      <c r="AA38" s="54">
        <v>0</v>
      </c>
      <c r="AB38" s="54">
        <v>0</v>
      </c>
      <c r="AC38" s="53" t="s">
        <v>119</v>
      </c>
      <c r="AD38" s="67">
        <v>0.27</v>
      </c>
      <c r="AE38" s="54">
        <v>11</v>
      </c>
      <c r="AF38" s="54">
        <v>4</v>
      </c>
      <c r="AG38" s="67">
        <v>0.36</v>
      </c>
      <c r="AH38" s="54">
        <v>0</v>
      </c>
      <c r="AI38" s="54">
        <v>1</v>
      </c>
      <c r="AJ38" s="53" t="s">
        <v>119</v>
      </c>
      <c r="AK38" s="67">
        <v>-0.05</v>
      </c>
      <c r="AL38" s="54">
        <v>19</v>
      </c>
      <c r="AM38" s="54">
        <v>5</v>
      </c>
      <c r="AN38" s="67">
        <v>0.26</v>
      </c>
      <c r="AO38" s="54">
        <v>3</v>
      </c>
      <c r="AP38" s="54">
        <v>3</v>
      </c>
      <c r="AQ38" s="53" t="s">
        <v>119</v>
      </c>
      <c r="AR38" s="67">
        <v>0</v>
      </c>
      <c r="AS38" s="54">
        <v>0</v>
      </c>
      <c r="AT38" s="54">
        <v>0</v>
      </c>
      <c r="AU38" s="67">
        <v>0</v>
      </c>
      <c r="AV38" s="54">
        <v>0</v>
      </c>
      <c r="AW38" s="54">
        <v>0</v>
      </c>
      <c r="AX38" s="53" t="s">
        <v>119</v>
      </c>
      <c r="AY38" s="67">
        <v>0.12</v>
      </c>
      <c r="AZ38" s="54">
        <v>48</v>
      </c>
      <c r="BA38" s="54">
        <v>11</v>
      </c>
      <c r="BB38" s="67">
        <v>0.23</v>
      </c>
      <c r="BC38" s="67">
        <v>0.27</v>
      </c>
      <c r="BD38" s="54">
        <v>17</v>
      </c>
    </row>
    <row r="39" spans="1:56" x14ac:dyDescent="0.3">
      <c r="A39" s="53" t="s">
        <v>116</v>
      </c>
      <c r="B39" s="56" t="s">
        <v>103</v>
      </c>
      <c r="C39" s="54">
        <v>0</v>
      </c>
      <c r="D39" s="54">
        <v>0</v>
      </c>
      <c r="E39" s="54">
        <v>0</v>
      </c>
      <c r="F39" s="54">
        <v>0</v>
      </c>
      <c r="G39" s="54">
        <v>0</v>
      </c>
      <c r="H39" s="53" t="s">
        <v>116</v>
      </c>
      <c r="I39" s="67">
        <v>0</v>
      </c>
      <c r="J39" s="54">
        <v>9</v>
      </c>
      <c r="K39" s="54">
        <v>4</v>
      </c>
      <c r="L39" s="67">
        <v>0.44</v>
      </c>
      <c r="M39" s="54">
        <v>2</v>
      </c>
      <c r="N39" s="54">
        <v>2</v>
      </c>
      <c r="O39" s="53" t="s">
        <v>116</v>
      </c>
      <c r="P39" s="67">
        <v>0</v>
      </c>
      <c r="Q39" s="54">
        <v>0</v>
      </c>
      <c r="R39" s="54">
        <v>0</v>
      </c>
      <c r="S39" s="67">
        <v>0</v>
      </c>
      <c r="T39" s="54">
        <v>0</v>
      </c>
      <c r="U39" s="54">
        <v>0</v>
      </c>
      <c r="V39" s="53" t="s">
        <v>116</v>
      </c>
      <c r="W39" s="67">
        <v>0.67</v>
      </c>
      <c r="X39" s="54">
        <v>9</v>
      </c>
      <c r="Y39" s="54">
        <v>6</v>
      </c>
      <c r="Z39" s="67">
        <v>0.67</v>
      </c>
      <c r="AA39" s="54">
        <v>0</v>
      </c>
      <c r="AB39" s="54">
        <v>0</v>
      </c>
      <c r="AC39" s="53" t="s">
        <v>116</v>
      </c>
      <c r="AD39" s="67">
        <v>0</v>
      </c>
      <c r="AE39" s="54">
        <v>0</v>
      </c>
      <c r="AF39" s="54">
        <v>0</v>
      </c>
      <c r="AG39" s="67">
        <v>0</v>
      </c>
      <c r="AH39" s="54">
        <v>0</v>
      </c>
      <c r="AI39" s="54">
        <v>0</v>
      </c>
      <c r="AJ39" s="53" t="s">
        <v>116</v>
      </c>
      <c r="AK39" s="67">
        <v>0</v>
      </c>
      <c r="AL39" s="54">
        <v>0</v>
      </c>
      <c r="AM39" s="54">
        <v>0</v>
      </c>
      <c r="AN39" s="67">
        <v>0</v>
      </c>
      <c r="AO39" s="54">
        <v>0</v>
      </c>
      <c r="AP39" s="54">
        <v>0</v>
      </c>
      <c r="AQ39" s="53" t="s">
        <v>116</v>
      </c>
      <c r="AR39" s="67">
        <v>0</v>
      </c>
      <c r="AS39" s="54">
        <v>0</v>
      </c>
      <c r="AT39" s="54">
        <v>0</v>
      </c>
      <c r="AU39" s="67">
        <v>0</v>
      </c>
      <c r="AV39" s="54">
        <v>0</v>
      </c>
      <c r="AW39" s="54">
        <v>0</v>
      </c>
      <c r="AX39" s="53" t="s">
        <v>116</v>
      </c>
      <c r="AY39" s="67">
        <v>-0.2</v>
      </c>
      <c r="AZ39" s="54">
        <v>5</v>
      </c>
      <c r="BA39" s="54">
        <v>0</v>
      </c>
      <c r="BB39" s="67">
        <v>0</v>
      </c>
      <c r="BC39" s="67">
        <v>0.4</v>
      </c>
      <c r="BD39" s="54">
        <v>3</v>
      </c>
    </row>
    <row r="40" spans="1:56" x14ac:dyDescent="0.3">
      <c r="A40" s="53" t="s">
        <v>120</v>
      </c>
      <c r="B40" s="66">
        <v>0.1923</v>
      </c>
      <c r="C40" s="54">
        <v>13</v>
      </c>
      <c r="D40" s="54">
        <v>2</v>
      </c>
      <c r="E40" s="54">
        <v>2</v>
      </c>
      <c r="F40" s="54">
        <v>0</v>
      </c>
      <c r="G40" s="54">
        <v>0</v>
      </c>
      <c r="H40" s="53" t="s">
        <v>121</v>
      </c>
      <c r="I40" s="67">
        <v>0</v>
      </c>
      <c r="J40" s="54">
        <v>0</v>
      </c>
      <c r="K40" s="54">
        <v>0</v>
      </c>
      <c r="L40" s="67">
        <v>0</v>
      </c>
      <c r="M40" s="54">
        <v>0</v>
      </c>
      <c r="N40" s="54">
        <v>0</v>
      </c>
      <c r="O40" s="53" t="s">
        <v>121</v>
      </c>
      <c r="P40" s="67">
        <v>0.5</v>
      </c>
      <c r="Q40" s="54">
        <v>72</v>
      </c>
      <c r="R40" s="54">
        <v>44</v>
      </c>
      <c r="S40" s="67">
        <v>0.61</v>
      </c>
      <c r="T40" s="54">
        <v>2</v>
      </c>
      <c r="U40" s="54">
        <v>6</v>
      </c>
      <c r="V40" s="53" t="s">
        <v>121</v>
      </c>
      <c r="W40" s="67">
        <v>0</v>
      </c>
      <c r="X40" s="54">
        <v>0</v>
      </c>
      <c r="Y40" s="54">
        <v>0</v>
      </c>
      <c r="Z40" s="67">
        <v>0</v>
      </c>
      <c r="AA40" s="54">
        <v>0</v>
      </c>
      <c r="AB40" s="54">
        <v>0</v>
      </c>
      <c r="AC40" s="53" t="s">
        <v>121</v>
      </c>
      <c r="AD40" s="67">
        <v>0</v>
      </c>
      <c r="AE40" s="54">
        <v>0</v>
      </c>
      <c r="AF40" s="54">
        <v>0</v>
      </c>
      <c r="AG40" s="67">
        <v>0</v>
      </c>
      <c r="AH40" s="54">
        <v>0</v>
      </c>
      <c r="AI40" s="54">
        <v>0</v>
      </c>
      <c r="AJ40" s="53" t="s">
        <v>121</v>
      </c>
      <c r="AK40" s="67">
        <v>0</v>
      </c>
      <c r="AL40" s="54">
        <v>0</v>
      </c>
      <c r="AM40" s="54">
        <v>0</v>
      </c>
      <c r="AN40" s="67">
        <v>0</v>
      </c>
      <c r="AO40" s="54">
        <v>0</v>
      </c>
      <c r="AP40" s="54">
        <v>0</v>
      </c>
      <c r="AQ40" s="53" t="s">
        <v>121</v>
      </c>
      <c r="AR40" s="67">
        <v>0</v>
      </c>
      <c r="AS40" s="54">
        <v>0</v>
      </c>
      <c r="AT40" s="54">
        <v>0</v>
      </c>
      <c r="AU40" s="67">
        <v>0</v>
      </c>
      <c r="AV40" s="54">
        <v>0</v>
      </c>
      <c r="AW40" s="54">
        <v>0</v>
      </c>
      <c r="AX40" s="53" t="s">
        <v>121</v>
      </c>
      <c r="AY40" s="67">
        <v>0.06</v>
      </c>
      <c r="AZ40" s="54">
        <v>33</v>
      </c>
      <c r="BA40" s="54">
        <v>5</v>
      </c>
      <c r="BB40" s="67">
        <v>0.15</v>
      </c>
      <c r="BC40" s="67">
        <v>0.27</v>
      </c>
      <c r="BD40" s="54">
        <v>11</v>
      </c>
    </row>
    <row r="41" spans="1:56" x14ac:dyDescent="0.3">
      <c r="A41" s="53" t="s">
        <v>127</v>
      </c>
      <c r="B41" s="66">
        <v>0.375</v>
      </c>
      <c r="C41" s="54">
        <v>4</v>
      </c>
      <c r="D41" s="54">
        <v>1</v>
      </c>
      <c r="E41" s="54">
        <v>0</v>
      </c>
      <c r="F41" s="54">
        <v>1</v>
      </c>
      <c r="G41" s="54">
        <v>0</v>
      </c>
      <c r="H41" s="53" t="s">
        <v>127</v>
      </c>
      <c r="I41" s="67">
        <v>0</v>
      </c>
      <c r="J41" s="54">
        <v>0</v>
      </c>
      <c r="K41" s="54">
        <v>0</v>
      </c>
      <c r="L41" s="67">
        <v>0</v>
      </c>
      <c r="M41" s="54">
        <v>0</v>
      </c>
      <c r="N41" s="54">
        <v>0</v>
      </c>
      <c r="O41" s="53" t="s">
        <v>127</v>
      </c>
      <c r="P41" s="67">
        <v>0</v>
      </c>
      <c r="Q41" s="54">
        <v>0</v>
      </c>
      <c r="R41" s="54">
        <v>0</v>
      </c>
      <c r="S41" s="67">
        <v>0</v>
      </c>
      <c r="T41" s="54">
        <v>0</v>
      </c>
      <c r="U41" s="54">
        <v>0</v>
      </c>
      <c r="V41" s="53" t="s">
        <v>127</v>
      </c>
      <c r="W41" s="67">
        <v>0</v>
      </c>
      <c r="X41" s="54">
        <v>0</v>
      </c>
      <c r="Y41" s="54">
        <v>0</v>
      </c>
      <c r="Z41" s="67">
        <v>0</v>
      </c>
      <c r="AA41" s="54">
        <v>0</v>
      </c>
      <c r="AB41" s="54">
        <v>0</v>
      </c>
      <c r="AC41" s="53" t="s">
        <v>127</v>
      </c>
      <c r="AD41" s="67">
        <v>0</v>
      </c>
      <c r="AE41" s="54">
        <v>0</v>
      </c>
      <c r="AF41" s="54">
        <v>0</v>
      </c>
      <c r="AG41" s="67">
        <v>0</v>
      </c>
      <c r="AH41" s="54">
        <v>0</v>
      </c>
      <c r="AI41" s="54">
        <v>0</v>
      </c>
      <c r="AJ41" s="53" t="s">
        <v>127</v>
      </c>
      <c r="AK41" s="67">
        <v>0</v>
      </c>
      <c r="AL41" s="54">
        <v>0</v>
      </c>
      <c r="AM41" s="54">
        <v>0</v>
      </c>
      <c r="AN41" s="67">
        <v>0</v>
      </c>
      <c r="AO41" s="54">
        <v>0</v>
      </c>
      <c r="AP41" s="54">
        <v>0</v>
      </c>
      <c r="AQ41" s="53" t="s">
        <v>127</v>
      </c>
      <c r="AR41" s="67">
        <v>0</v>
      </c>
      <c r="AS41" s="54">
        <v>0</v>
      </c>
      <c r="AT41" s="54">
        <v>0</v>
      </c>
      <c r="AU41" s="67">
        <v>0</v>
      </c>
      <c r="AV41" s="54">
        <v>0</v>
      </c>
      <c r="AW41" s="54">
        <v>0</v>
      </c>
      <c r="AX41" s="53" t="s">
        <v>127</v>
      </c>
      <c r="AY41" s="67">
        <v>0</v>
      </c>
      <c r="AZ41" s="54">
        <v>0</v>
      </c>
      <c r="BA41" s="54">
        <v>0</v>
      </c>
      <c r="BB41" s="67">
        <v>0</v>
      </c>
      <c r="BC41" s="67">
        <v>0</v>
      </c>
      <c r="BD41" s="54">
        <v>0</v>
      </c>
    </row>
    <row r="42" spans="1:56" x14ac:dyDescent="0.3">
      <c r="A42" s="53" t="s">
        <v>120</v>
      </c>
      <c r="B42" s="54">
        <v>0</v>
      </c>
      <c r="C42" s="54">
        <v>42</v>
      </c>
      <c r="D42" s="54">
        <v>2</v>
      </c>
      <c r="E42" s="54">
        <v>8</v>
      </c>
      <c r="F42" s="54">
        <v>0</v>
      </c>
      <c r="G42" s="54">
        <v>4</v>
      </c>
      <c r="H42" s="53" t="s">
        <v>120</v>
      </c>
      <c r="I42" s="67">
        <v>0</v>
      </c>
      <c r="J42" s="54">
        <v>0</v>
      </c>
      <c r="K42" s="54">
        <v>0</v>
      </c>
      <c r="L42" s="67">
        <v>0</v>
      </c>
      <c r="M42" s="54">
        <v>0</v>
      </c>
      <c r="N42" s="54">
        <v>0</v>
      </c>
      <c r="O42" s="53" t="s">
        <v>120</v>
      </c>
      <c r="P42" s="67">
        <v>0</v>
      </c>
      <c r="Q42" s="54">
        <v>0</v>
      </c>
      <c r="R42" s="54">
        <v>0</v>
      </c>
      <c r="S42" s="67">
        <v>0</v>
      </c>
      <c r="T42" s="54">
        <v>0</v>
      </c>
      <c r="U42" s="54">
        <v>0</v>
      </c>
      <c r="V42" s="53" t="s">
        <v>120</v>
      </c>
      <c r="W42" s="67">
        <v>0</v>
      </c>
      <c r="X42" s="54">
        <v>0</v>
      </c>
      <c r="Y42" s="54">
        <v>0</v>
      </c>
      <c r="Z42" s="67">
        <v>0</v>
      </c>
      <c r="AA42" s="54">
        <v>0</v>
      </c>
      <c r="AB42" s="54">
        <v>0</v>
      </c>
      <c r="AC42" s="53" t="s">
        <v>120</v>
      </c>
      <c r="AD42" s="67">
        <v>0.46</v>
      </c>
      <c r="AE42" s="54">
        <v>28</v>
      </c>
      <c r="AF42" s="54">
        <v>17</v>
      </c>
      <c r="AG42" s="67">
        <v>0.61</v>
      </c>
      <c r="AH42" s="54">
        <v>2</v>
      </c>
      <c r="AI42" s="54">
        <v>2</v>
      </c>
      <c r="AJ42" s="53" t="s">
        <v>120</v>
      </c>
      <c r="AK42" s="67">
        <v>0.5</v>
      </c>
      <c r="AL42" s="54">
        <v>6</v>
      </c>
      <c r="AM42" s="54">
        <v>3</v>
      </c>
      <c r="AN42" s="67">
        <v>0.5</v>
      </c>
      <c r="AO42" s="54">
        <v>0</v>
      </c>
      <c r="AP42" s="54">
        <v>0</v>
      </c>
      <c r="AQ42" s="53" t="s">
        <v>120</v>
      </c>
      <c r="AR42" s="67">
        <v>0</v>
      </c>
      <c r="AS42" s="54">
        <v>0</v>
      </c>
      <c r="AT42" s="54">
        <v>0</v>
      </c>
      <c r="AU42" s="67">
        <v>0</v>
      </c>
      <c r="AV42" s="54">
        <v>0</v>
      </c>
      <c r="AW42" s="54">
        <v>0</v>
      </c>
      <c r="AX42" s="53" t="s">
        <v>120</v>
      </c>
      <c r="AY42" s="67">
        <v>0.44</v>
      </c>
      <c r="AZ42" s="54">
        <v>39</v>
      </c>
      <c r="BA42" s="54">
        <v>10</v>
      </c>
      <c r="BB42" s="67">
        <v>0.26</v>
      </c>
      <c r="BC42" s="67">
        <v>0.31</v>
      </c>
      <c r="BD42" s="54">
        <v>5</v>
      </c>
    </row>
    <row r="43" spans="1:56" x14ac:dyDescent="0.3">
      <c r="A43" s="53" t="s">
        <v>131</v>
      </c>
      <c r="B43" s="56" t="s">
        <v>103</v>
      </c>
      <c r="C43" s="54">
        <v>0</v>
      </c>
      <c r="D43" s="54">
        <v>0</v>
      </c>
      <c r="E43" s="54">
        <v>0</v>
      </c>
      <c r="F43" s="54">
        <v>0</v>
      </c>
      <c r="G43" s="54">
        <v>0</v>
      </c>
      <c r="H43" s="53" t="s">
        <v>123</v>
      </c>
      <c r="I43" s="67">
        <v>0</v>
      </c>
      <c r="J43" s="54">
        <v>0</v>
      </c>
      <c r="K43" s="54">
        <v>0</v>
      </c>
      <c r="L43" s="67">
        <v>0</v>
      </c>
      <c r="M43" s="54">
        <v>0</v>
      </c>
      <c r="N43" s="54">
        <v>0</v>
      </c>
      <c r="O43" s="53" t="s">
        <v>123</v>
      </c>
      <c r="P43" s="67">
        <v>0.18</v>
      </c>
      <c r="Q43" s="54">
        <v>17</v>
      </c>
      <c r="R43" s="54">
        <v>7</v>
      </c>
      <c r="S43" s="67">
        <v>0.41</v>
      </c>
      <c r="T43" s="54">
        <v>2</v>
      </c>
      <c r="U43" s="54">
        <v>2</v>
      </c>
      <c r="V43" s="53" t="s">
        <v>123</v>
      </c>
      <c r="W43" s="67">
        <v>0</v>
      </c>
      <c r="X43" s="54">
        <v>2</v>
      </c>
      <c r="Y43" s="54">
        <v>0</v>
      </c>
      <c r="Z43" s="67">
        <v>0</v>
      </c>
      <c r="AA43" s="54">
        <v>0</v>
      </c>
      <c r="AB43" s="54">
        <v>0</v>
      </c>
      <c r="AC43" s="53" t="s">
        <v>123</v>
      </c>
      <c r="AD43" s="67">
        <v>0</v>
      </c>
      <c r="AE43" s="54">
        <v>0</v>
      </c>
      <c r="AF43" s="54">
        <v>0</v>
      </c>
      <c r="AG43" s="67">
        <v>0</v>
      </c>
      <c r="AH43" s="54">
        <v>0</v>
      </c>
      <c r="AI43" s="54">
        <v>0</v>
      </c>
      <c r="AJ43" s="53" t="s">
        <v>123</v>
      </c>
      <c r="AK43" s="67">
        <v>0</v>
      </c>
      <c r="AL43" s="54">
        <v>0</v>
      </c>
      <c r="AM43" s="54">
        <v>0</v>
      </c>
      <c r="AN43" s="67">
        <v>0</v>
      </c>
      <c r="AO43" s="54">
        <v>0</v>
      </c>
      <c r="AP43" s="54">
        <v>0</v>
      </c>
      <c r="AQ43" s="53" t="s">
        <v>123</v>
      </c>
      <c r="AR43" s="67">
        <v>0</v>
      </c>
      <c r="AS43" s="54">
        <v>0</v>
      </c>
      <c r="AT43" s="54">
        <v>0</v>
      </c>
      <c r="AU43" s="67">
        <v>0</v>
      </c>
      <c r="AV43" s="54">
        <v>0</v>
      </c>
      <c r="AW43" s="54">
        <v>0</v>
      </c>
      <c r="AX43" s="53" t="s">
        <v>123</v>
      </c>
      <c r="AY43" s="67">
        <v>-0.5</v>
      </c>
      <c r="AZ43" s="54">
        <v>4</v>
      </c>
      <c r="BA43" s="54">
        <v>0</v>
      </c>
      <c r="BB43" s="67">
        <v>0</v>
      </c>
      <c r="BC43" s="67">
        <v>0</v>
      </c>
      <c r="BD43" s="54">
        <v>2</v>
      </c>
    </row>
    <row r="44" spans="1:56" x14ac:dyDescent="0.3">
      <c r="A44" s="53" t="s">
        <v>126</v>
      </c>
      <c r="B44" s="66">
        <v>-9.2999999999999992E-3</v>
      </c>
      <c r="C44" s="54">
        <v>54</v>
      </c>
      <c r="D44" s="54">
        <v>0</v>
      </c>
      <c r="E44" s="54">
        <v>2</v>
      </c>
      <c r="F44" s="54">
        <v>0</v>
      </c>
      <c r="G44" s="54">
        <v>1</v>
      </c>
      <c r="H44" s="53" t="s">
        <v>126</v>
      </c>
      <c r="I44" s="67">
        <v>0</v>
      </c>
      <c r="J44" s="54">
        <v>0</v>
      </c>
      <c r="K44" s="54">
        <v>0</v>
      </c>
      <c r="L44" s="67">
        <v>0</v>
      </c>
      <c r="M44" s="54">
        <v>0</v>
      </c>
      <c r="N44" s="54">
        <v>0</v>
      </c>
      <c r="O44" s="53" t="s">
        <v>126</v>
      </c>
      <c r="P44" s="67">
        <v>0</v>
      </c>
      <c r="Q44" s="54">
        <v>0</v>
      </c>
      <c r="R44" s="54">
        <v>0</v>
      </c>
      <c r="S44" s="67">
        <v>0</v>
      </c>
      <c r="T44" s="54">
        <v>0</v>
      </c>
      <c r="U44" s="54">
        <v>0</v>
      </c>
      <c r="V44" s="53" t="s">
        <v>126</v>
      </c>
      <c r="W44" s="67">
        <v>0</v>
      </c>
      <c r="X44" s="54">
        <v>0</v>
      </c>
      <c r="Y44" s="54">
        <v>0</v>
      </c>
      <c r="Z44" s="67">
        <v>0</v>
      </c>
      <c r="AA44" s="54">
        <v>0</v>
      </c>
      <c r="AB44" s="54">
        <v>0</v>
      </c>
      <c r="AC44" s="53" t="s">
        <v>126</v>
      </c>
      <c r="AD44" s="67">
        <v>0</v>
      </c>
      <c r="AE44" s="54">
        <v>0</v>
      </c>
      <c r="AF44" s="54">
        <v>0</v>
      </c>
      <c r="AG44" s="67">
        <v>0</v>
      </c>
      <c r="AH44" s="54">
        <v>0</v>
      </c>
      <c r="AI44" s="54">
        <v>0</v>
      </c>
      <c r="AJ44" s="53" t="s">
        <v>126</v>
      </c>
      <c r="AK44" s="67">
        <v>0</v>
      </c>
      <c r="AL44" s="54">
        <v>0</v>
      </c>
      <c r="AM44" s="54">
        <v>0</v>
      </c>
      <c r="AN44" s="67">
        <v>0</v>
      </c>
      <c r="AO44" s="54">
        <v>0</v>
      </c>
      <c r="AP44" s="54">
        <v>0</v>
      </c>
      <c r="AQ44" s="53" t="s">
        <v>126</v>
      </c>
      <c r="AR44" s="67">
        <v>0</v>
      </c>
      <c r="AS44" s="54">
        <v>0</v>
      </c>
      <c r="AT44" s="54">
        <v>0</v>
      </c>
      <c r="AU44" s="67">
        <v>0</v>
      </c>
      <c r="AV44" s="54">
        <v>0</v>
      </c>
      <c r="AW44" s="54">
        <v>0</v>
      </c>
      <c r="AX44" s="53" t="s">
        <v>126</v>
      </c>
      <c r="AY44" s="67">
        <v>-0.21</v>
      </c>
      <c r="AZ44" s="54">
        <v>29</v>
      </c>
      <c r="BA44" s="54">
        <v>4</v>
      </c>
      <c r="BB44" s="67">
        <v>0.14000000000000001</v>
      </c>
      <c r="BC44" s="67">
        <v>0.21</v>
      </c>
      <c r="BD44" s="54">
        <v>16</v>
      </c>
    </row>
    <row r="45" spans="1:56" x14ac:dyDescent="0.3">
      <c r="A45" s="53" t="s">
        <v>128</v>
      </c>
      <c r="B45" s="66">
        <v>-6.8199999999999997E-2</v>
      </c>
      <c r="C45" s="54">
        <v>11</v>
      </c>
      <c r="D45" s="54">
        <v>0</v>
      </c>
      <c r="E45" s="54">
        <v>1</v>
      </c>
      <c r="F45" s="54">
        <v>0</v>
      </c>
      <c r="G45" s="54">
        <v>1</v>
      </c>
      <c r="H45" s="53" t="s">
        <v>128</v>
      </c>
      <c r="I45" s="67">
        <v>0</v>
      </c>
      <c r="J45" s="54">
        <v>0</v>
      </c>
      <c r="K45" s="54">
        <v>0</v>
      </c>
      <c r="L45" s="67">
        <v>0</v>
      </c>
      <c r="M45" s="54">
        <v>0</v>
      </c>
      <c r="N45" s="54">
        <v>0</v>
      </c>
      <c r="O45" s="53" t="s">
        <v>128</v>
      </c>
      <c r="P45" s="67">
        <v>0</v>
      </c>
      <c r="Q45" s="54">
        <v>0</v>
      </c>
      <c r="R45" s="54">
        <v>0</v>
      </c>
      <c r="S45" s="67">
        <v>0</v>
      </c>
      <c r="T45" s="54">
        <v>0</v>
      </c>
      <c r="U45" s="54">
        <v>0</v>
      </c>
      <c r="V45" s="53" t="s">
        <v>128</v>
      </c>
      <c r="W45" s="67">
        <v>0</v>
      </c>
      <c r="X45" s="54">
        <v>0</v>
      </c>
      <c r="Y45" s="54">
        <v>0</v>
      </c>
      <c r="Z45" s="67">
        <v>0</v>
      </c>
      <c r="AA45" s="54">
        <v>0</v>
      </c>
      <c r="AB45" s="54">
        <v>0</v>
      </c>
      <c r="AC45" s="53" t="s">
        <v>128</v>
      </c>
      <c r="AD45" s="67">
        <v>0</v>
      </c>
      <c r="AE45" s="54">
        <v>0</v>
      </c>
      <c r="AF45" s="54">
        <v>0</v>
      </c>
      <c r="AG45" s="67">
        <v>0</v>
      </c>
      <c r="AH45" s="54">
        <v>0</v>
      </c>
      <c r="AI45" s="54">
        <v>0</v>
      </c>
      <c r="AJ45" s="53" t="s">
        <v>128</v>
      </c>
      <c r="AK45" s="67">
        <v>0</v>
      </c>
      <c r="AL45" s="54">
        <v>0</v>
      </c>
      <c r="AM45" s="54">
        <v>0</v>
      </c>
      <c r="AN45" s="67">
        <v>0</v>
      </c>
      <c r="AO45" s="54">
        <v>0</v>
      </c>
      <c r="AP45" s="54">
        <v>0</v>
      </c>
      <c r="AQ45" s="53" t="s">
        <v>128</v>
      </c>
      <c r="AR45" s="67">
        <v>0</v>
      </c>
      <c r="AS45" s="54">
        <v>0</v>
      </c>
      <c r="AT45" s="54">
        <v>0</v>
      </c>
      <c r="AU45" s="67">
        <v>0</v>
      </c>
      <c r="AV45" s="54">
        <v>0</v>
      </c>
      <c r="AW45" s="54">
        <v>0</v>
      </c>
      <c r="AX45" s="53" t="s">
        <v>128</v>
      </c>
      <c r="AY45" s="67">
        <v>0</v>
      </c>
      <c r="AZ45" s="54">
        <v>0</v>
      </c>
      <c r="BA45" s="54">
        <v>0</v>
      </c>
      <c r="BB45" s="67">
        <v>0</v>
      </c>
      <c r="BC45" s="67">
        <v>0</v>
      </c>
      <c r="BD45" s="54">
        <v>0</v>
      </c>
    </row>
    <row r="46" spans="1:56" x14ac:dyDescent="0.3">
      <c r="A46" s="53" t="s">
        <v>117</v>
      </c>
      <c r="B46" s="66">
        <v>-7.0499999999999993E-2</v>
      </c>
      <c r="C46" s="54">
        <v>39</v>
      </c>
      <c r="D46" s="54">
        <v>0</v>
      </c>
      <c r="E46" s="54">
        <v>1</v>
      </c>
      <c r="F46" s="54">
        <v>2</v>
      </c>
      <c r="G46" s="54">
        <v>4</v>
      </c>
      <c r="H46" s="53" t="s">
        <v>117</v>
      </c>
      <c r="I46" s="67">
        <v>0.22</v>
      </c>
      <c r="J46" s="54">
        <v>37</v>
      </c>
      <c r="K46" s="54">
        <v>16</v>
      </c>
      <c r="L46" s="67">
        <v>0.43</v>
      </c>
      <c r="M46" s="54">
        <v>2</v>
      </c>
      <c r="N46" s="54">
        <v>6</v>
      </c>
      <c r="O46" s="53" t="s">
        <v>117</v>
      </c>
      <c r="P46" s="67">
        <v>0</v>
      </c>
      <c r="Q46" s="54">
        <v>0</v>
      </c>
      <c r="R46" s="54">
        <v>0</v>
      </c>
      <c r="S46" s="67">
        <v>0</v>
      </c>
      <c r="T46" s="54">
        <v>0</v>
      </c>
      <c r="U46" s="54">
        <v>0</v>
      </c>
      <c r="V46" s="53" t="s">
        <v>117</v>
      </c>
      <c r="W46" s="67">
        <v>0.43</v>
      </c>
      <c r="X46" s="54">
        <v>44</v>
      </c>
      <c r="Y46" s="54">
        <v>24</v>
      </c>
      <c r="Z46" s="67">
        <v>0.55000000000000004</v>
      </c>
      <c r="AA46" s="54">
        <v>3</v>
      </c>
      <c r="AB46" s="54">
        <v>2</v>
      </c>
      <c r="AC46" s="53" t="s">
        <v>117</v>
      </c>
      <c r="AD46" s="67">
        <v>0</v>
      </c>
      <c r="AE46" s="54">
        <v>0</v>
      </c>
      <c r="AF46" s="54">
        <v>0</v>
      </c>
      <c r="AG46" s="67">
        <v>0</v>
      </c>
      <c r="AH46" s="54">
        <v>0</v>
      </c>
      <c r="AI46" s="54">
        <v>0</v>
      </c>
      <c r="AJ46" s="53" t="s">
        <v>117</v>
      </c>
      <c r="AK46" s="67">
        <v>0</v>
      </c>
      <c r="AL46" s="54">
        <v>0</v>
      </c>
      <c r="AM46" s="54">
        <v>0</v>
      </c>
      <c r="AN46" s="67">
        <v>0</v>
      </c>
      <c r="AO46" s="54">
        <v>0</v>
      </c>
      <c r="AP46" s="54">
        <v>0</v>
      </c>
      <c r="AQ46" s="53" t="s">
        <v>117</v>
      </c>
      <c r="AR46" s="67">
        <v>0</v>
      </c>
      <c r="AS46" s="54">
        <v>0</v>
      </c>
      <c r="AT46" s="54">
        <v>0</v>
      </c>
      <c r="AU46" s="67">
        <v>0</v>
      </c>
      <c r="AV46" s="54">
        <v>0</v>
      </c>
      <c r="AW46" s="54">
        <v>0</v>
      </c>
      <c r="AX46" s="53" t="s">
        <v>117</v>
      </c>
      <c r="AY46" s="67">
        <v>-7.0000000000000007E-2</v>
      </c>
      <c r="AZ46" s="54">
        <v>30</v>
      </c>
      <c r="BA46" s="54">
        <v>5</v>
      </c>
      <c r="BB46" s="67">
        <v>0.17</v>
      </c>
      <c r="BC46" s="67">
        <v>0.17</v>
      </c>
      <c r="BD46" s="54">
        <v>12</v>
      </c>
    </row>
    <row r="47" spans="1:56" x14ac:dyDescent="0.3">
      <c r="A47" s="53" t="s">
        <v>129</v>
      </c>
      <c r="B47" s="66">
        <v>0.25</v>
      </c>
      <c r="C47" s="54">
        <v>1</v>
      </c>
      <c r="D47" s="54">
        <v>0</v>
      </c>
      <c r="E47" s="54">
        <v>1</v>
      </c>
      <c r="F47" s="54">
        <v>0</v>
      </c>
      <c r="G47" s="54">
        <v>0</v>
      </c>
      <c r="H47" s="53" t="s">
        <v>129</v>
      </c>
      <c r="I47" s="67">
        <v>0</v>
      </c>
      <c r="J47" s="54">
        <v>0</v>
      </c>
      <c r="K47" s="54">
        <v>0</v>
      </c>
      <c r="L47" s="67">
        <v>0</v>
      </c>
      <c r="M47" s="54">
        <v>0</v>
      </c>
      <c r="N47" s="54">
        <v>0</v>
      </c>
      <c r="O47" s="53" t="s">
        <v>129</v>
      </c>
      <c r="P47" s="67">
        <v>0</v>
      </c>
      <c r="Q47" s="54">
        <v>0</v>
      </c>
      <c r="R47" s="54">
        <v>0</v>
      </c>
      <c r="S47" s="67">
        <v>0</v>
      </c>
      <c r="T47" s="54">
        <v>0</v>
      </c>
      <c r="U47" s="54">
        <v>0</v>
      </c>
      <c r="V47" s="53" t="s">
        <v>129</v>
      </c>
      <c r="W47" s="67">
        <v>0</v>
      </c>
      <c r="X47" s="54">
        <v>0</v>
      </c>
      <c r="Y47" s="54">
        <v>0</v>
      </c>
      <c r="Z47" s="67">
        <v>0</v>
      </c>
      <c r="AA47" s="54">
        <v>0</v>
      </c>
      <c r="AB47" s="54">
        <v>0</v>
      </c>
      <c r="AC47" s="53" t="s">
        <v>129</v>
      </c>
      <c r="AD47" s="67">
        <v>0</v>
      </c>
      <c r="AE47" s="54">
        <v>0</v>
      </c>
      <c r="AF47" s="54">
        <v>0</v>
      </c>
      <c r="AG47" s="67">
        <v>0</v>
      </c>
      <c r="AH47" s="54">
        <v>0</v>
      </c>
      <c r="AI47" s="54">
        <v>0</v>
      </c>
      <c r="AJ47" s="53" t="s">
        <v>129</v>
      </c>
      <c r="AK47" s="67">
        <v>0</v>
      </c>
      <c r="AL47" s="54">
        <v>0</v>
      </c>
      <c r="AM47" s="54">
        <v>0</v>
      </c>
      <c r="AN47" s="67">
        <v>0</v>
      </c>
      <c r="AO47" s="54">
        <v>0</v>
      </c>
      <c r="AP47" s="54">
        <v>0</v>
      </c>
      <c r="AQ47" s="53" t="s">
        <v>129</v>
      </c>
      <c r="AR47" s="67">
        <v>0</v>
      </c>
      <c r="AS47" s="54">
        <v>0</v>
      </c>
      <c r="AT47" s="54">
        <v>0</v>
      </c>
      <c r="AU47" s="67">
        <v>0</v>
      </c>
      <c r="AV47" s="54">
        <v>0</v>
      </c>
      <c r="AW47" s="54">
        <v>0</v>
      </c>
      <c r="AX47" s="53" t="s">
        <v>129</v>
      </c>
      <c r="AY47" s="67">
        <v>0</v>
      </c>
      <c r="AZ47" s="54">
        <v>0</v>
      </c>
      <c r="BA47" s="54">
        <v>0</v>
      </c>
      <c r="BB47" s="67">
        <v>0</v>
      </c>
      <c r="BC47" s="67">
        <v>0</v>
      </c>
      <c r="BD47" s="54">
        <v>0</v>
      </c>
    </row>
    <row r="48" spans="1:56" x14ac:dyDescent="0.3">
      <c r="A48" s="57" t="s">
        <v>118</v>
      </c>
      <c r="B48" s="66">
        <v>-3.1300000000000001E-2</v>
      </c>
      <c r="C48" s="58">
        <v>24</v>
      </c>
      <c r="D48" s="58">
        <v>1</v>
      </c>
      <c r="E48" s="58">
        <v>5</v>
      </c>
      <c r="F48" s="58">
        <v>0</v>
      </c>
      <c r="G48" s="58">
        <v>3</v>
      </c>
      <c r="H48" s="57" t="s">
        <v>118</v>
      </c>
      <c r="I48" s="67">
        <v>0</v>
      </c>
      <c r="J48" s="54">
        <v>0</v>
      </c>
      <c r="K48" s="54">
        <v>0</v>
      </c>
      <c r="L48" s="67">
        <v>0</v>
      </c>
      <c r="M48" s="54">
        <v>0</v>
      </c>
      <c r="N48" s="54">
        <v>0</v>
      </c>
      <c r="O48" s="57" t="s">
        <v>118</v>
      </c>
      <c r="P48" s="67">
        <v>0</v>
      </c>
      <c r="Q48" s="54">
        <v>0</v>
      </c>
      <c r="R48" s="54">
        <v>0</v>
      </c>
      <c r="S48" s="67">
        <v>0</v>
      </c>
      <c r="T48" s="54">
        <v>0</v>
      </c>
      <c r="U48" s="54">
        <v>0</v>
      </c>
      <c r="V48" s="57" t="s">
        <v>118</v>
      </c>
      <c r="W48" s="67">
        <v>0</v>
      </c>
      <c r="X48" s="54">
        <v>0</v>
      </c>
      <c r="Y48" s="54">
        <v>0</v>
      </c>
      <c r="Z48" s="67">
        <v>0</v>
      </c>
      <c r="AA48" s="54">
        <v>0</v>
      </c>
      <c r="AB48" s="54">
        <v>0</v>
      </c>
      <c r="AC48" s="57" t="s">
        <v>118</v>
      </c>
      <c r="AD48" s="68">
        <v>0.67</v>
      </c>
      <c r="AE48" s="58">
        <v>3</v>
      </c>
      <c r="AF48" s="58">
        <v>2</v>
      </c>
      <c r="AG48" s="68">
        <v>0.67</v>
      </c>
      <c r="AH48" s="58">
        <v>0</v>
      </c>
      <c r="AI48" s="58">
        <v>0</v>
      </c>
      <c r="AJ48" s="57" t="s">
        <v>118</v>
      </c>
      <c r="AK48" s="68">
        <v>0</v>
      </c>
      <c r="AL48" s="58">
        <v>1</v>
      </c>
      <c r="AM48" s="58">
        <v>0</v>
      </c>
      <c r="AN48" s="68">
        <v>0</v>
      </c>
      <c r="AO48" s="58">
        <v>0</v>
      </c>
      <c r="AP48" s="58">
        <v>0</v>
      </c>
      <c r="AQ48" s="57" t="s">
        <v>118</v>
      </c>
      <c r="AR48" s="67">
        <v>0</v>
      </c>
      <c r="AS48" s="54">
        <v>0</v>
      </c>
      <c r="AT48" s="54">
        <v>0</v>
      </c>
      <c r="AU48" s="67">
        <v>0</v>
      </c>
      <c r="AV48" s="54">
        <v>0</v>
      </c>
      <c r="AW48" s="54">
        <v>0</v>
      </c>
      <c r="AX48" s="57" t="s">
        <v>118</v>
      </c>
      <c r="AY48" s="68">
        <v>-7.0000000000000007E-2</v>
      </c>
      <c r="AZ48" s="58">
        <v>14</v>
      </c>
      <c r="BA48" s="58">
        <v>2</v>
      </c>
      <c r="BB48" s="68">
        <v>0.14000000000000001</v>
      </c>
      <c r="BC48" s="68">
        <v>0.28999999999999998</v>
      </c>
      <c r="BD48" s="58">
        <v>7</v>
      </c>
    </row>
    <row r="49" spans="1:56" x14ac:dyDescent="0.3">
      <c r="A49" s="57" t="s">
        <v>122</v>
      </c>
      <c r="B49" s="66">
        <v>6.25E-2</v>
      </c>
      <c r="C49" s="58">
        <v>4</v>
      </c>
      <c r="D49" s="58">
        <v>0</v>
      </c>
      <c r="E49" s="58">
        <v>1</v>
      </c>
      <c r="F49" s="58">
        <v>0</v>
      </c>
      <c r="G49" s="58">
        <v>0</v>
      </c>
      <c r="H49" s="57" t="s">
        <v>122</v>
      </c>
      <c r="I49" s="67">
        <v>0</v>
      </c>
      <c r="J49" s="54">
        <v>0</v>
      </c>
      <c r="K49" s="54">
        <v>0</v>
      </c>
      <c r="L49" s="67">
        <v>0</v>
      </c>
      <c r="M49" s="54">
        <v>0</v>
      </c>
      <c r="N49" s="54">
        <v>0</v>
      </c>
      <c r="O49" s="57" t="s">
        <v>122</v>
      </c>
      <c r="P49" s="67">
        <v>0.21</v>
      </c>
      <c r="Q49" s="54">
        <v>39</v>
      </c>
      <c r="R49" s="54">
        <v>16</v>
      </c>
      <c r="S49" s="67">
        <v>0.41</v>
      </c>
      <c r="T49" s="54">
        <v>4</v>
      </c>
      <c r="U49" s="54">
        <v>4</v>
      </c>
      <c r="V49" s="57" t="s">
        <v>122</v>
      </c>
      <c r="W49" s="67">
        <v>0</v>
      </c>
      <c r="X49" s="54">
        <v>0</v>
      </c>
      <c r="Y49" s="54">
        <v>0</v>
      </c>
      <c r="Z49" s="67">
        <v>0</v>
      </c>
      <c r="AA49" s="54">
        <v>0</v>
      </c>
      <c r="AB49" s="54">
        <v>0</v>
      </c>
      <c r="AC49" s="57" t="s">
        <v>122</v>
      </c>
      <c r="AD49" s="68">
        <v>0</v>
      </c>
      <c r="AE49" s="58">
        <v>0</v>
      </c>
      <c r="AF49" s="58">
        <v>0</v>
      </c>
      <c r="AG49" s="68">
        <v>0</v>
      </c>
      <c r="AH49" s="58">
        <v>0</v>
      </c>
      <c r="AI49" s="58">
        <v>0</v>
      </c>
      <c r="AJ49" s="57" t="s">
        <v>122</v>
      </c>
      <c r="AK49" s="68">
        <v>0</v>
      </c>
      <c r="AL49" s="58">
        <v>0</v>
      </c>
      <c r="AM49" s="58">
        <v>0</v>
      </c>
      <c r="AN49" s="68">
        <v>0</v>
      </c>
      <c r="AO49" s="58">
        <v>0</v>
      </c>
      <c r="AP49" s="58">
        <v>0</v>
      </c>
      <c r="AQ49" s="57" t="s">
        <v>122</v>
      </c>
      <c r="AR49" s="67">
        <v>0</v>
      </c>
      <c r="AS49" s="54">
        <v>0</v>
      </c>
      <c r="AT49" s="54">
        <v>0</v>
      </c>
      <c r="AU49" s="67">
        <v>0</v>
      </c>
      <c r="AV49" s="54">
        <v>0</v>
      </c>
      <c r="AW49" s="54">
        <v>0</v>
      </c>
      <c r="AX49" s="57" t="s">
        <v>122</v>
      </c>
      <c r="AY49" s="68">
        <v>0.36</v>
      </c>
      <c r="AZ49" s="58">
        <v>14</v>
      </c>
      <c r="BA49" s="58">
        <v>4</v>
      </c>
      <c r="BB49" s="68">
        <v>0.28999999999999998</v>
      </c>
      <c r="BC49" s="68">
        <v>0.21</v>
      </c>
      <c r="BD49" s="58">
        <v>2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</row>
    <row r="51" spans="1:56" x14ac:dyDescent="0.3">
      <c r="A51" s="53" t="s">
        <v>113</v>
      </c>
      <c r="B51" s="50" t="s">
        <v>33</v>
      </c>
      <c r="C51" s="50" t="s">
        <v>31</v>
      </c>
      <c r="D51" s="50" t="s">
        <v>3</v>
      </c>
      <c r="E51" s="50" t="s">
        <v>110</v>
      </c>
      <c r="F51" s="50" t="s">
        <v>111</v>
      </c>
      <c r="G51" s="50" t="s">
        <v>112</v>
      </c>
      <c r="H51" s="53" t="s">
        <v>91</v>
      </c>
      <c r="I51" s="50" t="s">
        <v>33</v>
      </c>
      <c r="J51" s="50" t="s">
        <v>31</v>
      </c>
      <c r="K51" s="50" t="s">
        <v>3</v>
      </c>
      <c r="L51" s="50" t="s">
        <v>34</v>
      </c>
      <c r="M51" s="50" t="s">
        <v>111</v>
      </c>
      <c r="N51" s="50" t="s">
        <v>112</v>
      </c>
      <c r="O51" s="53" t="s">
        <v>86</v>
      </c>
      <c r="P51" s="50" t="s">
        <v>33</v>
      </c>
      <c r="Q51" s="50" t="s">
        <v>31</v>
      </c>
      <c r="R51" s="50" t="s">
        <v>3</v>
      </c>
      <c r="S51" s="50" t="s">
        <v>34</v>
      </c>
      <c r="T51" s="50" t="s">
        <v>111</v>
      </c>
      <c r="U51" s="50" t="s">
        <v>112</v>
      </c>
      <c r="V51" s="53" t="s">
        <v>88</v>
      </c>
      <c r="W51" s="50" t="s">
        <v>33</v>
      </c>
      <c r="X51" s="50" t="s">
        <v>31</v>
      </c>
      <c r="Y51" s="50" t="s">
        <v>3</v>
      </c>
      <c r="Z51" s="50" t="s">
        <v>34</v>
      </c>
      <c r="AA51" s="50" t="s">
        <v>111</v>
      </c>
      <c r="AB51" s="50" t="s">
        <v>112</v>
      </c>
      <c r="AC51" s="53" t="s">
        <v>84</v>
      </c>
      <c r="AD51" s="50" t="s">
        <v>33</v>
      </c>
      <c r="AE51" s="50" t="s">
        <v>31</v>
      </c>
      <c r="AF51" s="50" t="s">
        <v>3</v>
      </c>
      <c r="AG51" s="50" t="s">
        <v>34</v>
      </c>
      <c r="AH51" s="50" t="s">
        <v>111</v>
      </c>
      <c r="AI51" s="50" t="s">
        <v>112</v>
      </c>
      <c r="AJ51" s="49" t="s">
        <v>104</v>
      </c>
      <c r="AK51" s="50" t="s">
        <v>33</v>
      </c>
      <c r="AL51" s="50" t="s">
        <v>31</v>
      </c>
      <c r="AM51" s="50" t="s">
        <v>3</v>
      </c>
      <c r="AN51" s="50" t="s">
        <v>34</v>
      </c>
      <c r="AO51" s="50" t="s">
        <v>111</v>
      </c>
      <c r="AP51" s="50" t="s">
        <v>112</v>
      </c>
      <c r="AQ51" s="53" t="s">
        <v>114</v>
      </c>
      <c r="AR51" s="50" t="s">
        <v>33</v>
      </c>
      <c r="AS51" s="50" t="s">
        <v>31</v>
      </c>
      <c r="AT51" s="50" t="s">
        <v>3</v>
      </c>
      <c r="AU51" s="50" t="s">
        <v>34</v>
      </c>
      <c r="AV51" s="50" t="s">
        <v>111</v>
      </c>
      <c r="AW51" s="50" t="s">
        <v>112</v>
      </c>
      <c r="AX51" s="53" t="s">
        <v>157</v>
      </c>
      <c r="AY51" s="50" t="s">
        <v>33</v>
      </c>
      <c r="AZ51" s="50" t="s">
        <v>31</v>
      </c>
      <c r="BA51" s="50" t="s">
        <v>3</v>
      </c>
      <c r="BB51" s="50" t="s">
        <v>34</v>
      </c>
      <c r="BC51" s="50" t="s">
        <v>111</v>
      </c>
      <c r="BD51" s="50" t="s">
        <v>112</v>
      </c>
    </row>
    <row r="52" spans="1:56" x14ac:dyDescent="0.3">
      <c r="A52" s="49" t="s">
        <v>130</v>
      </c>
      <c r="B52" s="66">
        <v>-0.122</v>
      </c>
      <c r="C52" s="54">
        <v>164</v>
      </c>
      <c r="D52" s="54">
        <v>16</v>
      </c>
      <c r="E52" s="54">
        <v>22</v>
      </c>
      <c r="F52" s="54">
        <v>7</v>
      </c>
      <c r="G52" s="54">
        <v>45</v>
      </c>
      <c r="H52" s="53" t="s">
        <v>130</v>
      </c>
      <c r="I52" s="67">
        <v>0.19</v>
      </c>
      <c r="J52" s="54">
        <v>16</v>
      </c>
      <c r="K52" s="54">
        <v>9</v>
      </c>
      <c r="L52" s="67">
        <v>0.56000000000000005</v>
      </c>
      <c r="M52" s="54">
        <v>3</v>
      </c>
      <c r="N52" s="54">
        <v>3</v>
      </c>
      <c r="O52" s="53" t="s">
        <v>130</v>
      </c>
      <c r="P52" s="67">
        <v>0</v>
      </c>
      <c r="Q52" s="54">
        <v>0</v>
      </c>
      <c r="R52" s="54">
        <v>0</v>
      </c>
      <c r="S52" s="67">
        <v>0</v>
      </c>
      <c r="T52" s="54">
        <v>0</v>
      </c>
      <c r="U52" s="54">
        <v>0</v>
      </c>
      <c r="V52" s="53" t="s">
        <v>130</v>
      </c>
      <c r="W52" s="67">
        <v>0</v>
      </c>
      <c r="X52" s="54">
        <v>0</v>
      </c>
      <c r="Y52" s="54">
        <v>0</v>
      </c>
      <c r="Z52" s="67">
        <v>0</v>
      </c>
      <c r="AA52" s="54">
        <v>0</v>
      </c>
      <c r="AB52" s="54">
        <v>0</v>
      </c>
      <c r="AC52" s="53" t="s">
        <v>130</v>
      </c>
      <c r="AD52" s="67">
        <v>0.56000000000000005</v>
      </c>
      <c r="AE52" s="54">
        <v>34</v>
      </c>
      <c r="AF52" s="54">
        <v>21</v>
      </c>
      <c r="AG52" s="67">
        <v>0.62</v>
      </c>
      <c r="AH52" s="54">
        <v>1</v>
      </c>
      <c r="AI52" s="54">
        <v>1</v>
      </c>
      <c r="AJ52" s="53" t="s">
        <v>130</v>
      </c>
      <c r="AK52" s="67">
        <v>1</v>
      </c>
      <c r="AL52" s="54">
        <v>1</v>
      </c>
      <c r="AM52" s="54">
        <v>1</v>
      </c>
      <c r="AN52" s="67">
        <v>1</v>
      </c>
      <c r="AO52" s="54">
        <v>0</v>
      </c>
      <c r="AP52" s="54">
        <v>0</v>
      </c>
      <c r="AQ52" s="53" t="s">
        <v>130</v>
      </c>
      <c r="AR52" s="67">
        <v>0.3</v>
      </c>
      <c r="AS52" s="54">
        <v>239</v>
      </c>
      <c r="AT52" s="54">
        <v>107</v>
      </c>
      <c r="AU52" s="67">
        <v>0.45</v>
      </c>
      <c r="AV52" s="54">
        <v>20</v>
      </c>
      <c r="AW52" s="54">
        <v>15</v>
      </c>
      <c r="AX52" s="53" t="s">
        <v>130</v>
      </c>
      <c r="AY52" s="67">
        <v>0.31</v>
      </c>
      <c r="AZ52" s="54">
        <v>306</v>
      </c>
      <c r="BA52" s="54">
        <v>146</v>
      </c>
      <c r="BB52" s="67">
        <v>0.48</v>
      </c>
      <c r="BC52" s="54">
        <v>19</v>
      </c>
      <c r="BD52" s="54">
        <v>31</v>
      </c>
    </row>
    <row r="53" spans="1:56" x14ac:dyDescent="0.3">
      <c r="A53" s="49" t="s">
        <v>119</v>
      </c>
      <c r="B53" s="56" t="s">
        <v>103</v>
      </c>
      <c r="C53" s="54">
        <v>0</v>
      </c>
      <c r="D53" s="54">
        <v>0</v>
      </c>
      <c r="E53" s="54">
        <v>0</v>
      </c>
      <c r="F53" s="54">
        <v>0</v>
      </c>
      <c r="G53" s="54">
        <v>0</v>
      </c>
      <c r="H53" s="53" t="s">
        <v>119</v>
      </c>
      <c r="I53" s="67">
        <v>0</v>
      </c>
      <c r="J53" s="54">
        <v>0</v>
      </c>
      <c r="K53" s="54">
        <v>0</v>
      </c>
      <c r="L53" s="67">
        <v>0</v>
      </c>
      <c r="M53" s="54">
        <v>0</v>
      </c>
      <c r="N53" s="54">
        <v>0</v>
      </c>
      <c r="O53" s="53" t="s">
        <v>119</v>
      </c>
      <c r="P53" s="67">
        <v>0</v>
      </c>
      <c r="Q53" s="54">
        <v>0</v>
      </c>
      <c r="R53" s="54">
        <v>0</v>
      </c>
      <c r="S53" s="67">
        <v>0</v>
      </c>
      <c r="T53" s="54">
        <v>0</v>
      </c>
      <c r="U53" s="54">
        <v>0</v>
      </c>
      <c r="V53" s="53" t="s">
        <v>119</v>
      </c>
      <c r="W53" s="67">
        <v>0</v>
      </c>
      <c r="X53" s="54">
        <v>0</v>
      </c>
      <c r="Y53" s="54">
        <v>0</v>
      </c>
      <c r="Z53" s="67">
        <v>0</v>
      </c>
      <c r="AA53" s="54">
        <v>0</v>
      </c>
      <c r="AB53" s="54">
        <v>0</v>
      </c>
      <c r="AC53" s="53" t="s">
        <v>119</v>
      </c>
      <c r="AD53" s="67">
        <v>0.56999999999999995</v>
      </c>
      <c r="AE53" s="54">
        <v>23</v>
      </c>
      <c r="AF53" s="54">
        <v>14</v>
      </c>
      <c r="AG53" s="67">
        <v>0.61</v>
      </c>
      <c r="AH53" s="54">
        <v>1</v>
      </c>
      <c r="AI53" s="54">
        <v>0</v>
      </c>
      <c r="AJ53" s="53" t="s">
        <v>119</v>
      </c>
      <c r="AK53" s="67">
        <v>1</v>
      </c>
      <c r="AL53" s="54">
        <v>1</v>
      </c>
      <c r="AM53" s="54">
        <v>1</v>
      </c>
      <c r="AN53" s="67">
        <v>1</v>
      </c>
      <c r="AO53" s="54">
        <v>0</v>
      </c>
      <c r="AP53" s="54">
        <v>0</v>
      </c>
      <c r="AQ53" s="53" t="s">
        <v>119</v>
      </c>
      <c r="AR53" s="67">
        <v>0</v>
      </c>
      <c r="AS53" s="54">
        <v>15</v>
      </c>
      <c r="AT53" s="54">
        <v>4</v>
      </c>
      <c r="AU53" s="67">
        <v>0.27</v>
      </c>
      <c r="AV53" s="54">
        <v>3</v>
      </c>
      <c r="AW53" s="54">
        <v>1</v>
      </c>
      <c r="AX53" s="53" t="s">
        <v>119</v>
      </c>
      <c r="AY53" s="67">
        <v>0.34</v>
      </c>
      <c r="AZ53" s="54">
        <v>44</v>
      </c>
      <c r="BA53" s="54">
        <v>21</v>
      </c>
      <c r="BB53" s="67">
        <v>0.48</v>
      </c>
      <c r="BC53" s="54">
        <v>3</v>
      </c>
      <c r="BD53" s="54">
        <v>3</v>
      </c>
    </row>
    <row r="54" spans="1:56" x14ac:dyDescent="0.3">
      <c r="A54" s="49" t="s">
        <v>116</v>
      </c>
      <c r="B54" s="66">
        <v>-6.8199999999999997E-2</v>
      </c>
      <c r="C54" s="54">
        <v>11</v>
      </c>
      <c r="D54" s="54">
        <v>3</v>
      </c>
      <c r="E54" s="54">
        <v>1</v>
      </c>
      <c r="F54" s="54">
        <v>0</v>
      </c>
      <c r="G54" s="54">
        <v>4</v>
      </c>
      <c r="H54" s="53" t="s">
        <v>116</v>
      </c>
      <c r="I54" s="67">
        <v>-1</v>
      </c>
      <c r="J54" s="54">
        <v>1</v>
      </c>
      <c r="K54" s="54">
        <v>0</v>
      </c>
      <c r="L54" s="67">
        <v>0</v>
      </c>
      <c r="M54" s="54">
        <v>0</v>
      </c>
      <c r="N54" s="54">
        <v>1</v>
      </c>
      <c r="O54" s="53" t="s">
        <v>116</v>
      </c>
      <c r="P54" s="67">
        <v>0</v>
      </c>
      <c r="Q54" s="54">
        <v>0</v>
      </c>
      <c r="R54" s="54">
        <v>0</v>
      </c>
      <c r="S54" s="67">
        <v>0</v>
      </c>
      <c r="T54" s="54">
        <v>0</v>
      </c>
      <c r="U54" s="54">
        <v>0</v>
      </c>
      <c r="V54" s="53" t="s">
        <v>116</v>
      </c>
      <c r="W54" s="67">
        <v>0</v>
      </c>
      <c r="X54" s="54">
        <v>0</v>
      </c>
      <c r="Y54" s="54">
        <v>0</v>
      </c>
      <c r="Z54" s="67">
        <v>0</v>
      </c>
      <c r="AA54" s="54">
        <v>0</v>
      </c>
      <c r="AB54" s="54">
        <v>0</v>
      </c>
      <c r="AC54" s="53" t="s">
        <v>116</v>
      </c>
      <c r="AD54" s="67">
        <v>0</v>
      </c>
      <c r="AE54" s="54">
        <v>0</v>
      </c>
      <c r="AF54" s="54">
        <v>0</v>
      </c>
      <c r="AG54" s="67">
        <v>0</v>
      </c>
      <c r="AH54" s="54">
        <v>0</v>
      </c>
      <c r="AI54" s="54">
        <v>0</v>
      </c>
      <c r="AJ54" s="53" t="s">
        <v>116</v>
      </c>
      <c r="AK54" s="67">
        <v>0</v>
      </c>
      <c r="AL54" s="54">
        <v>0</v>
      </c>
      <c r="AM54" s="54">
        <v>0</v>
      </c>
      <c r="AN54" s="67">
        <v>0</v>
      </c>
      <c r="AO54" s="54">
        <v>0</v>
      </c>
      <c r="AP54" s="54">
        <v>0</v>
      </c>
      <c r="AQ54" s="53" t="s">
        <v>116</v>
      </c>
      <c r="AR54" s="67">
        <v>0.36</v>
      </c>
      <c r="AS54" s="54">
        <v>11</v>
      </c>
      <c r="AT54" s="54">
        <v>6</v>
      </c>
      <c r="AU54" s="67">
        <v>0.55000000000000004</v>
      </c>
      <c r="AV54" s="54">
        <v>1</v>
      </c>
      <c r="AW54" s="54">
        <v>1</v>
      </c>
      <c r="AX54" s="53" t="s">
        <v>116</v>
      </c>
      <c r="AY54" s="67">
        <v>0.12</v>
      </c>
      <c r="AZ54" s="54">
        <v>16</v>
      </c>
      <c r="BA54" s="54">
        <v>7</v>
      </c>
      <c r="BB54" s="67">
        <v>0.44</v>
      </c>
      <c r="BC54" s="54">
        <v>3</v>
      </c>
      <c r="BD54" s="54">
        <v>2</v>
      </c>
    </row>
    <row r="55" spans="1:56" x14ac:dyDescent="0.3">
      <c r="A55" s="49" t="s">
        <v>120</v>
      </c>
      <c r="B55" s="66">
        <v>-0.1447</v>
      </c>
      <c r="C55" s="54">
        <v>57</v>
      </c>
      <c r="D55" s="54">
        <v>3</v>
      </c>
      <c r="E55" s="54">
        <v>9</v>
      </c>
      <c r="F55" s="54">
        <v>3</v>
      </c>
      <c r="G55" s="54">
        <v>15</v>
      </c>
      <c r="H55" s="53" t="s">
        <v>121</v>
      </c>
      <c r="I55" s="67">
        <v>0</v>
      </c>
      <c r="J55" s="54">
        <v>0</v>
      </c>
      <c r="K55" s="54">
        <v>0</v>
      </c>
      <c r="L55" s="67">
        <v>0</v>
      </c>
      <c r="M55" s="54">
        <v>0</v>
      </c>
      <c r="N55" s="54">
        <v>0</v>
      </c>
      <c r="O55" s="53" t="s">
        <v>121</v>
      </c>
      <c r="P55" s="67">
        <v>0</v>
      </c>
      <c r="Q55" s="54">
        <v>0</v>
      </c>
      <c r="R55" s="54">
        <v>0</v>
      </c>
      <c r="S55" s="67">
        <v>0</v>
      </c>
      <c r="T55" s="54">
        <v>0</v>
      </c>
      <c r="U55" s="54">
        <v>0</v>
      </c>
      <c r="V55" s="53" t="s">
        <v>121</v>
      </c>
      <c r="W55" s="67">
        <v>0</v>
      </c>
      <c r="X55" s="54">
        <v>0</v>
      </c>
      <c r="Y55" s="54">
        <v>0</v>
      </c>
      <c r="Z55" s="67">
        <v>0</v>
      </c>
      <c r="AA55" s="54">
        <v>0</v>
      </c>
      <c r="AB55" s="54">
        <v>0</v>
      </c>
      <c r="AC55" s="53" t="s">
        <v>121</v>
      </c>
      <c r="AD55" s="67">
        <v>0</v>
      </c>
      <c r="AE55" s="54">
        <v>0</v>
      </c>
      <c r="AF55" s="54">
        <v>0</v>
      </c>
      <c r="AG55" s="67">
        <v>0</v>
      </c>
      <c r="AH55" s="54">
        <v>0</v>
      </c>
      <c r="AI55" s="54">
        <v>0</v>
      </c>
      <c r="AJ55" s="53" t="s">
        <v>121</v>
      </c>
      <c r="AK55" s="67">
        <v>0</v>
      </c>
      <c r="AL55" s="54">
        <v>0</v>
      </c>
      <c r="AM55" s="54">
        <v>0</v>
      </c>
      <c r="AN55" s="67">
        <v>0</v>
      </c>
      <c r="AO55" s="54">
        <v>0</v>
      </c>
      <c r="AP55" s="54">
        <v>0</v>
      </c>
      <c r="AQ55" s="53" t="s">
        <v>121</v>
      </c>
      <c r="AR55" s="67">
        <v>0.25</v>
      </c>
      <c r="AS55" s="54">
        <v>63</v>
      </c>
      <c r="AT55" s="54">
        <v>26</v>
      </c>
      <c r="AU55" s="67">
        <v>0.41</v>
      </c>
      <c r="AV55" s="54">
        <v>5</v>
      </c>
      <c r="AW55" s="54">
        <v>5</v>
      </c>
      <c r="AX55" s="53" t="s">
        <v>121</v>
      </c>
      <c r="AY55" s="67">
        <v>0.46</v>
      </c>
      <c r="AZ55" s="54">
        <v>78</v>
      </c>
      <c r="BA55" s="54">
        <v>42</v>
      </c>
      <c r="BB55" s="67">
        <v>0.54</v>
      </c>
      <c r="BC55" s="54">
        <v>0</v>
      </c>
      <c r="BD55" s="54">
        <v>6</v>
      </c>
    </row>
    <row r="56" spans="1:56" x14ac:dyDescent="0.3">
      <c r="A56" s="49" t="s">
        <v>127</v>
      </c>
      <c r="B56" s="54">
        <v>0</v>
      </c>
      <c r="C56" s="54">
        <v>4</v>
      </c>
      <c r="D56" s="54">
        <v>1</v>
      </c>
      <c r="E56" s="54">
        <v>0</v>
      </c>
      <c r="F56" s="54">
        <v>0</v>
      </c>
      <c r="G56" s="54">
        <v>1</v>
      </c>
      <c r="H56" s="53" t="s">
        <v>127</v>
      </c>
      <c r="I56" s="67">
        <v>0</v>
      </c>
      <c r="J56" s="54">
        <v>0</v>
      </c>
      <c r="K56" s="54">
        <v>0</v>
      </c>
      <c r="L56" s="67">
        <v>0</v>
      </c>
      <c r="M56" s="54">
        <v>0</v>
      </c>
      <c r="N56" s="54">
        <v>0</v>
      </c>
      <c r="O56" s="53" t="s">
        <v>127</v>
      </c>
      <c r="P56" s="67">
        <v>0</v>
      </c>
      <c r="Q56" s="54">
        <v>0</v>
      </c>
      <c r="R56" s="54">
        <v>0</v>
      </c>
      <c r="S56" s="67">
        <v>0</v>
      </c>
      <c r="T56" s="54">
        <v>0</v>
      </c>
      <c r="U56" s="54">
        <v>0</v>
      </c>
      <c r="V56" s="53" t="s">
        <v>127</v>
      </c>
      <c r="W56" s="67">
        <v>0</v>
      </c>
      <c r="X56" s="54">
        <v>0</v>
      </c>
      <c r="Y56" s="54">
        <v>0</v>
      </c>
      <c r="Z56" s="67">
        <v>0</v>
      </c>
      <c r="AA56" s="54">
        <v>0</v>
      </c>
      <c r="AB56" s="54">
        <v>0</v>
      </c>
      <c r="AC56" s="53" t="s">
        <v>127</v>
      </c>
      <c r="AD56" s="67">
        <v>0</v>
      </c>
      <c r="AE56" s="54">
        <v>0</v>
      </c>
      <c r="AF56" s="54">
        <v>0</v>
      </c>
      <c r="AG56" s="67">
        <v>0</v>
      </c>
      <c r="AH56" s="54">
        <v>0</v>
      </c>
      <c r="AI56" s="54">
        <v>0</v>
      </c>
      <c r="AJ56" s="53" t="s">
        <v>127</v>
      </c>
      <c r="AK56" s="67">
        <v>0</v>
      </c>
      <c r="AL56" s="54">
        <v>0</v>
      </c>
      <c r="AM56" s="54">
        <v>0</v>
      </c>
      <c r="AN56" s="67">
        <v>0</v>
      </c>
      <c r="AO56" s="54">
        <v>0</v>
      </c>
      <c r="AP56" s="54">
        <v>0</v>
      </c>
      <c r="AQ56" s="53" t="s">
        <v>127</v>
      </c>
      <c r="AR56" s="67">
        <v>0.5</v>
      </c>
      <c r="AS56" s="54">
        <v>2</v>
      </c>
      <c r="AT56" s="54">
        <v>1</v>
      </c>
      <c r="AU56" s="67">
        <v>0.5</v>
      </c>
      <c r="AV56" s="54">
        <v>0</v>
      </c>
      <c r="AW56" s="54">
        <v>0</v>
      </c>
      <c r="AX56" s="53" t="s">
        <v>127</v>
      </c>
      <c r="AY56" s="67">
        <v>0</v>
      </c>
      <c r="AZ56" s="54">
        <v>0</v>
      </c>
      <c r="BA56" s="54">
        <v>0</v>
      </c>
      <c r="BB56" s="67">
        <v>0</v>
      </c>
      <c r="BC56" s="54">
        <v>0</v>
      </c>
      <c r="BD56" s="54">
        <v>0</v>
      </c>
    </row>
    <row r="57" spans="1:56" x14ac:dyDescent="0.3">
      <c r="A57" s="49" t="s">
        <v>120</v>
      </c>
      <c r="B57" s="56" t="s">
        <v>103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3" t="s">
        <v>120</v>
      </c>
      <c r="I57" s="67">
        <v>0</v>
      </c>
      <c r="J57" s="54">
        <v>0</v>
      </c>
      <c r="K57" s="54">
        <v>0</v>
      </c>
      <c r="L57" s="67">
        <v>0</v>
      </c>
      <c r="M57" s="54">
        <v>0</v>
      </c>
      <c r="N57" s="54">
        <v>0</v>
      </c>
      <c r="O57" s="53" t="s">
        <v>120</v>
      </c>
      <c r="P57" s="67">
        <v>0</v>
      </c>
      <c r="Q57" s="54">
        <v>0</v>
      </c>
      <c r="R57" s="54">
        <v>0</v>
      </c>
      <c r="S57" s="67">
        <v>0</v>
      </c>
      <c r="T57" s="54">
        <v>0</v>
      </c>
      <c r="U57" s="54">
        <v>0</v>
      </c>
      <c r="V57" s="53" t="s">
        <v>120</v>
      </c>
      <c r="W57" s="67">
        <v>0</v>
      </c>
      <c r="X57" s="54">
        <v>0</v>
      </c>
      <c r="Y57" s="54">
        <v>0</v>
      </c>
      <c r="Z57" s="67">
        <v>0</v>
      </c>
      <c r="AA57" s="54">
        <v>0</v>
      </c>
      <c r="AB57" s="54">
        <v>0</v>
      </c>
      <c r="AC57" s="53" t="s">
        <v>120</v>
      </c>
      <c r="AD57" s="67">
        <v>0.43</v>
      </c>
      <c r="AE57" s="54">
        <v>7</v>
      </c>
      <c r="AF57" s="54">
        <v>4</v>
      </c>
      <c r="AG57" s="67">
        <v>0.56999999999999995</v>
      </c>
      <c r="AH57" s="54">
        <v>0</v>
      </c>
      <c r="AI57" s="54">
        <v>1</v>
      </c>
      <c r="AJ57" s="53" t="s">
        <v>120</v>
      </c>
      <c r="AK57" s="67">
        <v>0</v>
      </c>
      <c r="AL57" s="54">
        <v>0</v>
      </c>
      <c r="AM57" s="54">
        <v>0</v>
      </c>
      <c r="AN57" s="67">
        <v>0</v>
      </c>
      <c r="AO57" s="54">
        <v>0</v>
      </c>
      <c r="AP57" s="54">
        <v>0</v>
      </c>
      <c r="AQ57" s="53" t="s">
        <v>120</v>
      </c>
      <c r="AR57" s="67">
        <v>0.56999999999999995</v>
      </c>
      <c r="AS57" s="54">
        <v>23</v>
      </c>
      <c r="AT57" s="54">
        <v>14</v>
      </c>
      <c r="AU57" s="67">
        <v>0.61</v>
      </c>
      <c r="AV57" s="54">
        <v>0</v>
      </c>
      <c r="AW57" s="54">
        <v>1</v>
      </c>
      <c r="AX57" s="53" t="s">
        <v>120</v>
      </c>
      <c r="AY57" s="67">
        <v>0.46</v>
      </c>
      <c r="AZ57" s="54">
        <v>24</v>
      </c>
      <c r="BA57" s="54">
        <v>15</v>
      </c>
      <c r="BB57" s="67">
        <v>0.62</v>
      </c>
      <c r="BC57" s="54">
        <v>2</v>
      </c>
      <c r="BD57" s="54">
        <v>2</v>
      </c>
    </row>
    <row r="58" spans="1:56" x14ac:dyDescent="0.3">
      <c r="A58" s="49" t="s">
        <v>131</v>
      </c>
      <c r="B58" s="66">
        <v>0.26390000000000002</v>
      </c>
      <c r="C58" s="54">
        <v>18</v>
      </c>
      <c r="D58" s="54">
        <v>4</v>
      </c>
      <c r="E58" s="54">
        <v>3</v>
      </c>
      <c r="F58" s="54">
        <v>2</v>
      </c>
      <c r="G58" s="54">
        <v>1</v>
      </c>
      <c r="H58" s="53" t="s">
        <v>123</v>
      </c>
      <c r="I58" s="67">
        <v>0</v>
      </c>
      <c r="J58" s="54">
        <v>0</v>
      </c>
      <c r="K58" s="54">
        <v>0</v>
      </c>
      <c r="L58" s="67">
        <v>0</v>
      </c>
      <c r="M58" s="54">
        <v>0</v>
      </c>
      <c r="N58" s="54">
        <v>0</v>
      </c>
      <c r="O58" s="53" t="s">
        <v>123</v>
      </c>
      <c r="P58" s="67">
        <v>0</v>
      </c>
      <c r="Q58" s="54">
        <v>0</v>
      </c>
      <c r="R58" s="54">
        <v>0</v>
      </c>
      <c r="S58" s="67">
        <v>0</v>
      </c>
      <c r="T58" s="54">
        <v>0</v>
      </c>
      <c r="U58" s="54">
        <v>0</v>
      </c>
      <c r="V58" s="53" t="s">
        <v>123</v>
      </c>
      <c r="W58" s="67">
        <v>0</v>
      </c>
      <c r="X58" s="54">
        <v>0</v>
      </c>
      <c r="Y58" s="54">
        <v>0</v>
      </c>
      <c r="Z58" s="67">
        <v>0</v>
      </c>
      <c r="AA58" s="54">
        <v>0</v>
      </c>
      <c r="AB58" s="54">
        <v>0</v>
      </c>
      <c r="AC58" s="53" t="s">
        <v>123</v>
      </c>
      <c r="AD58" s="67">
        <v>0</v>
      </c>
      <c r="AE58" s="54">
        <v>0</v>
      </c>
      <c r="AF58" s="54">
        <v>0</v>
      </c>
      <c r="AG58" s="67">
        <v>0</v>
      </c>
      <c r="AH58" s="54">
        <v>0</v>
      </c>
      <c r="AI58" s="54">
        <v>0</v>
      </c>
      <c r="AJ58" s="53" t="s">
        <v>123</v>
      </c>
      <c r="AK58" s="67">
        <v>0</v>
      </c>
      <c r="AL58" s="54">
        <v>0</v>
      </c>
      <c r="AM58" s="54">
        <v>0</v>
      </c>
      <c r="AN58" s="67">
        <v>0</v>
      </c>
      <c r="AO58" s="54">
        <v>0</v>
      </c>
      <c r="AP58" s="54">
        <v>0</v>
      </c>
      <c r="AQ58" s="53" t="s">
        <v>123</v>
      </c>
      <c r="AR58" s="67">
        <v>0.28999999999999998</v>
      </c>
      <c r="AS58" s="54">
        <v>17</v>
      </c>
      <c r="AT58" s="54">
        <v>7</v>
      </c>
      <c r="AU58" s="67">
        <v>0.41</v>
      </c>
      <c r="AV58" s="54">
        <v>1</v>
      </c>
      <c r="AW58" s="54">
        <v>1</v>
      </c>
      <c r="AX58" s="53" t="s">
        <v>123</v>
      </c>
      <c r="AY58" s="67">
        <v>0.13</v>
      </c>
      <c r="AZ58" s="54">
        <v>23</v>
      </c>
      <c r="BA58" s="54">
        <v>7</v>
      </c>
      <c r="BB58" s="67">
        <v>0.3</v>
      </c>
      <c r="BC58" s="54">
        <v>1</v>
      </c>
      <c r="BD58" s="54">
        <v>3</v>
      </c>
    </row>
    <row r="59" spans="1:56" x14ac:dyDescent="0.3">
      <c r="A59" s="49" t="s">
        <v>126</v>
      </c>
      <c r="B59" s="56" t="s">
        <v>103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3" t="s">
        <v>126</v>
      </c>
      <c r="I59" s="67">
        <v>0</v>
      </c>
      <c r="J59" s="54">
        <v>0</v>
      </c>
      <c r="K59" s="54">
        <v>0</v>
      </c>
      <c r="L59" s="67">
        <v>0</v>
      </c>
      <c r="M59" s="54">
        <v>0</v>
      </c>
      <c r="N59" s="54">
        <v>0</v>
      </c>
      <c r="O59" s="53" t="s">
        <v>126</v>
      </c>
      <c r="P59" s="67">
        <v>0</v>
      </c>
      <c r="Q59" s="54">
        <v>0</v>
      </c>
      <c r="R59" s="54">
        <v>0</v>
      </c>
      <c r="S59" s="67">
        <v>0</v>
      </c>
      <c r="T59" s="54">
        <v>0</v>
      </c>
      <c r="U59" s="54">
        <v>0</v>
      </c>
      <c r="V59" s="53" t="s">
        <v>126</v>
      </c>
      <c r="W59" s="67">
        <v>0</v>
      </c>
      <c r="X59" s="54">
        <v>0</v>
      </c>
      <c r="Y59" s="54">
        <v>0</v>
      </c>
      <c r="Z59" s="67">
        <v>0</v>
      </c>
      <c r="AA59" s="54">
        <v>0</v>
      </c>
      <c r="AB59" s="54">
        <v>0</v>
      </c>
      <c r="AC59" s="53" t="s">
        <v>126</v>
      </c>
      <c r="AD59" s="67">
        <v>0</v>
      </c>
      <c r="AE59" s="54">
        <v>0</v>
      </c>
      <c r="AF59" s="54">
        <v>0</v>
      </c>
      <c r="AG59" s="67">
        <v>0</v>
      </c>
      <c r="AH59" s="54">
        <v>0</v>
      </c>
      <c r="AI59" s="54">
        <v>0</v>
      </c>
      <c r="AJ59" s="53" t="s">
        <v>126</v>
      </c>
      <c r="AK59" s="67">
        <v>0</v>
      </c>
      <c r="AL59" s="54">
        <v>0</v>
      </c>
      <c r="AM59" s="54">
        <v>0</v>
      </c>
      <c r="AN59" s="67">
        <v>0</v>
      </c>
      <c r="AO59" s="54">
        <v>0</v>
      </c>
      <c r="AP59" s="54">
        <v>0</v>
      </c>
      <c r="AQ59" s="53" t="s">
        <v>126</v>
      </c>
      <c r="AR59" s="67">
        <v>0.5</v>
      </c>
      <c r="AS59" s="54">
        <v>2</v>
      </c>
      <c r="AT59" s="54">
        <v>1</v>
      </c>
      <c r="AU59" s="67">
        <v>0.5</v>
      </c>
      <c r="AV59" s="54">
        <v>0</v>
      </c>
      <c r="AW59" s="54">
        <v>0</v>
      </c>
      <c r="AX59" s="53" t="s">
        <v>126</v>
      </c>
      <c r="AY59" s="67">
        <v>0</v>
      </c>
      <c r="AZ59" s="54">
        <v>0</v>
      </c>
      <c r="BA59" s="54">
        <v>0</v>
      </c>
      <c r="BB59" s="67">
        <v>0</v>
      </c>
      <c r="BC59" s="54">
        <v>0</v>
      </c>
      <c r="BD59" s="54">
        <v>0</v>
      </c>
    </row>
    <row r="60" spans="1:56" x14ac:dyDescent="0.3">
      <c r="A60" s="49" t="s">
        <v>128</v>
      </c>
      <c r="B60" s="56" t="s">
        <v>103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3" t="s">
        <v>128</v>
      </c>
      <c r="I60" s="67">
        <v>0</v>
      </c>
      <c r="J60" s="54">
        <v>0</v>
      </c>
      <c r="K60" s="54">
        <v>0</v>
      </c>
      <c r="L60" s="67">
        <v>0</v>
      </c>
      <c r="M60" s="54">
        <v>0</v>
      </c>
      <c r="N60" s="54">
        <v>0</v>
      </c>
      <c r="O60" s="53" t="s">
        <v>128</v>
      </c>
      <c r="P60" s="67">
        <v>0</v>
      </c>
      <c r="Q60" s="54">
        <v>0</v>
      </c>
      <c r="R60" s="54">
        <v>0</v>
      </c>
      <c r="S60" s="67">
        <v>0</v>
      </c>
      <c r="T60" s="54">
        <v>0</v>
      </c>
      <c r="U60" s="54">
        <v>0</v>
      </c>
      <c r="V60" s="53" t="s">
        <v>128</v>
      </c>
      <c r="W60" s="67">
        <v>0</v>
      </c>
      <c r="X60" s="54">
        <v>0</v>
      </c>
      <c r="Y60" s="54">
        <v>0</v>
      </c>
      <c r="Z60" s="67">
        <v>0</v>
      </c>
      <c r="AA60" s="54">
        <v>0</v>
      </c>
      <c r="AB60" s="54">
        <v>0</v>
      </c>
      <c r="AC60" s="53" t="s">
        <v>128</v>
      </c>
      <c r="AD60" s="67">
        <v>0</v>
      </c>
      <c r="AE60" s="54">
        <v>0</v>
      </c>
      <c r="AF60" s="54">
        <v>0</v>
      </c>
      <c r="AG60" s="67">
        <v>0</v>
      </c>
      <c r="AH60" s="54">
        <v>0</v>
      </c>
      <c r="AI60" s="54">
        <v>0</v>
      </c>
      <c r="AJ60" s="53" t="s">
        <v>128</v>
      </c>
      <c r="AK60" s="67">
        <v>0</v>
      </c>
      <c r="AL60" s="54">
        <v>0</v>
      </c>
      <c r="AM60" s="54">
        <v>0</v>
      </c>
      <c r="AN60" s="67">
        <v>0</v>
      </c>
      <c r="AO60" s="54">
        <v>0</v>
      </c>
      <c r="AP60" s="54">
        <v>0</v>
      </c>
      <c r="AQ60" s="53" t="s">
        <v>128</v>
      </c>
      <c r="AR60" s="67">
        <v>0</v>
      </c>
      <c r="AS60" s="54">
        <v>0</v>
      </c>
      <c r="AT60" s="54">
        <v>0</v>
      </c>
      <c r="AU60" s="67">
        <v>0</v>
      </c>
      <c r="AV60" s="54">
        <v>0</v>
      </c>
      <c r="AW60" s="54">
        <v>0</v>
      </c>
      <c r="AX60" s="53" t="s">
        <v>128</v>
      </c>
      <c r="AY60" s="67">
        <v>0</v>
      </c>
      <c r="AZ60" s="54">
        <v>0</v>
      </c>
      <c r="BA60" s="54">
        <v>0</v>
      </c>
      <c r="BB60" s="67">
        <v>0</v>
      </c>
      <c r="BC60" s="54">
        <v>0</v>
      </c>
      <c r="BD60" s="54">
        <v>0</v>
      </c>
    </row>
    <row r="61" spans="1:56" x14ac:dyDescent="0.3">
      <c r="A61" s="49" t="s">
        <v>117</v>
      </c>
      <c r="B61" s="66">
        <v>-0.32</v>
      </c>
      <c r="C61" s="54">
        <v>25</v>
      </c>
      <c r="D61" s="54">
        <v>2</v>
      </c>
      <c r="E61" s="54">
        <v>2</v>
      </c>
      <c r="F61" s="54">
        <v>1</v>
      </c>
      <c r="G61" s="54">
        <v>11</v>
      </c>
      <c r="H61" s="53" t="s">
        <v>117</v>
      </c>
      <c r="I61" s="67">
        <v>0.27</v>
      </c>
      <c r="J61" s="54">
        <v>15</v>
      </c>
      <c r="K61" s="54">
        <v>9</v>
      </c>
      <c r="L61" s="67">
        <v>0.6</v>
      </c>
      <c r="M61" s="54">
        <v>3</v>
      </c>
      <c r="N61" s="54">
        <v>2</v>
      </c>
      <c r="O61" s="53" t="s">
        <v>117</v>
      </c>
      <c r="P61" s="67">
        <v>0</v>
      </c>
      <c r="Q61" s="54">
        <v>0</v>
      </c>
      <c r="R61" s="54">
        <v>0</v>
      </c>
      <c r="S61" s="67">
        <v>0</v>
      </c>
      <c r="T61" s="54">
        <v>0</v>
      </c>
      <c r="U61" s="54">
        <v>0</v>
      </c>
      <c r="V61" s="53" t="s">
        <v>117</v>
      </c>
      <c r="W61" s="67">
        <v>0.33</v>
      </c>
      <c r="X61" s="54">
        <v>36</v>
      </c>
      <c r="Y61" s="54">
        <v>16</v>
      </c>
      <c r="Z61" s="67">
        <v>0.44</v>
      </c>
      <c r="AA61" s="54">
        <v>1</v>
      </c>
      <c r="AB61" s="54">
        <v>3</v>
      </c>
      <c r="AC61" s="53" t="s">
        <v>117</v>
      </c>
      <c r="AD61" s="67">
        <v>0</v>
      </c>
      <c r="AE61" s="54">
        <v>0</v>
      </c>
      <c r="AF61" s="54">
        <v>0</v>
      </c>
      <c r="AG61" s="67">
        <v>0</v>
      </c>
      <c r="AH61" s="54">
        <v>0</v>
      </c>
      <c r="AI61" s="54">
        <v>0</v>
      </c>
      <c r="AJ61" s="53" t="s">
        <v>117</v>
      </c>
      <c r="AK61" s="67">
        <v>0</v>
      </c>
      <c r="AL61" s="54">
        <v>0</v>
      </c>
      <c r="AM61" s="54">
        <v>0</v>
      </c>
      <c r="AN61" s="67">
        <v>0</v>
      </c>
      <c r="AO61" s="54">
        <v>0</v>
      </c>
      <c r="AP61" s="54">
        <v>0</v>
      </c>
      <c r="AQ61" s="53" t="s">
        <v>117</v>
      </c>
      <c r="AR61" s="67">
        <v>0.28999999999999998</v>
      </c>
      <c r="AS61" s="54">
        <v>63</v>
      </c>
      <c r="AT61" s="54">
        <v>29</v>
      </c>
      <c r="AU61" s="67">
        <v>0.46</v>
      </c>
      <c r="AV61" s="54">
        <v>6</v>
      </c>
      <c r="AW61" s="54">
        <v>5</v>
      </c>
      <c r="AX61" s="53" t="s">
        <v>117</v>
      </c>
      <c r="AY61" s="67">
        <v>0.36</v>
      </c>
      <c r="AZ61" s="54">
        <v>70</v>
      </c>
      <c r="BA61" s="54">
        <v>36</v>
      </c>
      <c r="BB61" s="67">
        <v>0.51</v>
      </c>
      <c r="BC61" s="54">
        <v>3</v>
      </c>
      <c r="BD61" s="54">
        <v>8</v>
      </c>
    </row>
    <row r="62" spans="1:56" x14ac:dyDescent="0.3">
      <c r="A62" s="49" t="s">
        <v>129</v>
      </c>
      <c r="B62" s="56" t="s">
        <v>103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3" t="s">
        <v>129</v>
      </c>
      <c r="I62" s="67">
        <v>0</v>
      </c>
      <c r="J62" s="54">
        <v>0</v>
      </c>
      <c r="K62" s="54">
        <v>0</v>
      </c>
      <c r="L62" s="67">
        <v>0</v>
      </c>
      <c r="M62" s="54">
        <v>0</v>
      </c>
      <c r="N62" s="54">
        <v>0</v>
      </c>
      <c r="O62" s="53" t="s">
        <v>129</v>
      </c>
      <c r="P62" s="67">
        <v>0</v>
      </c>
      <c r="Q62" s="54">
        <v>0</v>
      </c>
      <c r="R62" s="54">
        <v>0</v>
      </c>
      <c r="S62" s="67">
        <v>0</v>
      </c>
      <c r="T62" s="54">
        <v>0</v>
      </c>
      <c r="U62" s="54">
        <v>0</v>
      </c>
      <c r="V62" s="53" t="s">
        <v>129</v>
      </c>
      <c r="W62" s="67">
        <v>0</v>
      </c>
      <c r="X62" s="54">
        <v>0</v>
      </c>
      <c r="Y62" s="54">
        <v>0</v>
      </c>
      <c r="Z62" s="67">
        <v>0</v>
      </c>
      <c r="AA62" s="54">
        <v>0</v>
      </c>
      <c r="AB62" s="54">
        <v>0</v>
      </c>
      <c r="AC62" s="53" t="s">
        <v>129</v>
      </c>
      <c r="AD62" s="67">
        <v>0</v>
      </c>
      <c r="AE62" s="54">
        <v>0</v>
      </c>
      <c r="AF62" s="54">
        <v>0</v>
      </c>
      <c r="AG62" s="67">
        <v>0</v>
      </c>
      <c r="AH62" s="54">
        <v>0</v>
      </c>
      <c r="AI62" s="54">
        <v>0</v>
      </c>
      <c r="AJ62" s="53" t="s">
        <v>129</v>
      </c>
      <c r="AK62" s="67">
        <v>0</v>
      </c>
      <c r="AL62" s="54">
        <v>0</v>
      </c>
      <c r="AM62" s="54">
        <v>0</v>
      </c>
      <c r="AN62" s="67">
        <v>0</v>
      </c>
      <c r="AO62" s="54">
        <v>0</v>
      </c>
      <c r="AP62" s="54">
        <v>0</v>
      </c>
      <c r="AQ62" s="53" t="s">
        <v>129</v>
      </c>
      <c r="AR62" s="67">
        <v>0</v>
      </c>
      <c r="AS62" s="54">
        <v>0</v>
      </c>
      <c r="AT62" s="54">
        <v>0</v>
      </c>
      <c r="AU62" s="67">
        <v>0</v>
      </c>
      <c r="AV62" s="54">
        <v>0</v>
      </c>
      <c r="AW62" s="54">
        <v>0</v>
      </c>
      <c r="AX62" s="53" t="s">
        <v>129</v>
      </c>
      <c r="AY62" s="67">
        <v>0</v>
      </c>
      <c r="AZ62" s="54">
        <v>0</v>
      </c>
      <c r="BA62" s="54">
        <v>0</v>
      </c>
      <c r="BB62" s="67">
        <v>0</v>
      </c>
      <c r="BC62" s="54">
        <v>0</v>
      </c>
      <c r="BD62" s="54">
        <v>0</v>
      </c>
    </row>
    <row r="63" spans="1:56" x14ac:dyDescent="0.3">
      <c r="A63" s="69" t="s">
        <v>118</v>
      </c>
      <c r="B63" s="56" t="s">
        <v>103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7" t="s">
        <v>118</v>
      </c>
      <c r="I63" s="67">
        <v>0</v>
      </c>
      <c r="J63" s="54">
        <v>0</v>
      </c>
      <c r="K63" s="54">
        <v>0</v>
      </c>
      <c r="L63" s="67">
        <v>0</v>
      </c>
      <c r="M63" s="54">
        <v>0</v>
      </c>
      <c r="N63" s="54">
        <v>0</v>
      </c>
      <c r="O63" s="57" t="s">
        <v>118</v>
      </c>
      <c r="P63" s="67">
        <v>0</v>
      </c>
      <c r="Q63" s="54">
        <v>0</v>
      </c>
      <c r="R63" s="54">
        <v>0</v>
      </c>
      <c r="S63" s="67">
        <v>0</v>
      </c>
      <c r="T63" s="54">
        <v>0</v>
      </c>
      <c r="U63" s="54">
        <v>0</v>
      </c>
      <c r="V63" s="57" t="s">
        <v>118</v>
      </c>
      <c r="W63" s="67">
        <v>0</v>
      </c>
      <c r="X63" s="54">
        <v>0</v>
      </c>
      <c r="Y63" s="54">
        <v>0</v>
      </c>
      <c r="Z63" s="67">
        <v>0</v>
      </c>
      <c r="AA63" s="54">
        <v>0</v>
      </c>
      <c r="AB63" s="54">
        <v>0</v>
      </c>
      <c r="AC63" s="57" t="s">
        <v>118</v>
      </c>
      <c r="AD63" s="68">
        <v>0.75</v>
      </c>
      <c r="AE63" s="58">
        <v>4</v>
      </c>
      <c r="AF63" s="58">
        <v>3</v>
      </c>
      <c r="AG63" s="68">
        <v>0.75</v>
      </c>
      <c r="AH63" s="58">
        <v>0</v>
      </c>
      <c r="AI63" s="58">
        <v>0</v>
      </c>
      <c r="AJ63" s="57" t="s">
        <v>118</v>
      </c>
      <c r="AK63" s="68">
        <v>0</v>
      </c>
      <c r="AL63" s="58">
        <v>0</v>
      </c>
      <c r="AM63" s="58">
        <v>0</v>
      </c>
      <c r="AN63" s="68">
        <v>0</v>
      </c>
      <c r="AO63" s="58">
        <v>0</v>
      </c>
      <c r="AP63" s="58">
        <v>0</v>
      </c>
      <c r="AQ63" s="57" t="s">
        <v>118</v>
      </c>
      <c r="AR63" s="68">
        <v>0.75</v>
      </c>
      <c r="AS63" s="58">
        <v>4</v>
      </c>
      <c r="AT63" s="58">
        <v>3</v>
      </c>
      <c r="AU63" s="68">
        <v>0.75</v>
      </c>
      <c r="AV63" s="58">
        <v>0</v>
      </c>
      <c r="AW63" s="58">
        <v>0</v>
      </c>
      <c r="AX63" s="57" t="s">
        <v>118</v>
      </c>
      <c r="AY63" s="68">
        <v>0.56999999999999995</v>
      </c>
      <c r="AZ63" s="58">
        <v>7</v>
      </c>
      <c r="BA63" s="58">
        <v>4</v>
      </c>
      <c r="BB63" s="68">
        <v>0.56999999999999995</v>
      </c>
      <c r="BC63" s="58">
        <v>0</v>
      </c>
      <c r="BD63" s="58">
        <v>0</v>
      </c>
    </row>
    <row r="64" spans="1:56" ht="25.95" customHeight="1" x14ac:dyDescent="0.3">
      <c r="A64" s="69" t="s">
        <v>122</v>
      </c>
      <c r="B64" s="66">
        <v>-0.15820000000000001</v>
      </c>
      <c r="C64" s="58">
        <v>49</v>
      </c>
      <c r="D64" s="58">
        <v>3</v>
      </c>
      <c r="E64" s="58">
        <v>7</v>
      </c>
      <c r="F64" s="58">
        <v>1</v>
      </c>
      <c r="G64" s="58">
        <v>13</v>
      </c>
      <c r="H64" s="57" t="s">
        <v>122</v>
      </c>
      <c r="I64" s="67">
        <v>0</v>
      </c>
      <c r="J64" s="54">
        <v>0</v>
      </c>
      <c r="K64" s="54">
        <v>0</v>
      </c>
      <c r="L64" s="67">
        <v>0</v>
      </c>
      <c r="M64" s="54">
        <v>0</v>
      </c>
      <c r="N64" s="54">
        <v>0</v>
      </c>
      <c r="O64" s="57" t="s">
        <v>122</v>
      </c>
      <c r="P64" s="67">
        <v>0</v>
      </c>
      <c r="Q64" s="54">
        <v>0</v>
      </c>
      <c r="R64" s="54">
        <v>0</v>
      </c>
      <c r="S64" s="67">
        <v>0</v>
      </c>
      <c r="T64" s="54">
        <v>0</v>
      </c>
      <c r="U64" s="54">
        <v>0</v>
      </c>
      <c r="V64" s="57" t="s">
        <v>122</v>
      </c>
      <c r="W64" s="67">
        <v>0</v>
      </c>
      <c r="X64" s="54">
        <v>0</v>
      </c>
      <c r="Y64" s="54">
        <v>0</v>
      </c>
      <c r="Z64" s="67">
        <v>0</v>
      </c>
      <c r="AA64" s="54">
        <v>0</v>
      </c>
      <c r="AB64" s="54">
        <v>0</v>
      </c>
      <c r="AC64" s="57" t="s">
        <v>122</v>
      </c>
      <c r="AD64" s="68">
        <v>0</v>
      </c>
      <c r="AE64" s="58">
        <v>0</v>
      </c>
      <c r="AF64" s="58">
        <v>0</v>
      </c>
      <c r="AG64" s="68">
        <v>0</v>
      </c>
      <c r="AH64" s="58">
        <v>0</v>
      </c>
      <c r="AI64" s="58">
        <v>0</v>
      </c>
      <c r="AJ64" s="57" t="s">
        <v>122</v>
      </c>
      <c r="AK64" s="68">
        <v>0</v>
      </c>
      <c r="AL64" s="58">
        <v>0</v>
      </c>
      <c r="AM64" s="58">
        <v>0</v>
      </c>
      <c r="AN64" s="68">
        <v>0</v>
      </c>
      <c r="AO64" s="58">
        <v>0</v>
      </c>
      <c r="AP64" s="58">
        <v>0</v>
      </c>
      <c r="AQ64" s="57" t="s">
        <v>122</v>
      </c>
      <c r="AR64" s="68">
        <v>0.28000000000000003</v>
      </c>
      <c r="AS64" s="58">
        <v>39</v>
      </c>
      <c r="AT64" s="58">
        <v>16</v>
      </c>
      <c r="AU64" s="68">
        <v>0.41</v>
      </c>
      <c r="AV64" s="58">
        <v>4</v>
      </c>
      <c r="AW64" s="58">
        <v>1</v>
      </c>
      <c r="AX64" s="57" t="s">
        <v>122</v>
      </c>
      <c r="AY64" s="68">
        <v>0</v>
      </c>
      <c r="AZ64" s="58">
        <v>44</v>
      </c>
      <c r="BA64" s="58">
        <v>14</v>
      </c>
      <c r="BB64" s="68">
        <v>0.32</v>
      </c>
      <c r="BC64" s="58">
        <v>7</v>
      </c>
      <c r="BD64" s="58">
        <v>7</v>
      </c>
    </row>
    <row r="65" spans="1:35" ht="13.95" customHeight="1" x14ac:dyDescent="0.3"/>
    <row r="66" spans="1:35" ht="30" customHeight="1" x14ac:dyDescent="0.3">
      <c r="A66" s="80" t="s">
        <v>21</v>
      </c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N66" s="81" t="s">
        <v>22</v>
      </c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35" ht="25.95" customHeight="1" x14ac:dyDescent="0.3">
      <c r="B67" s="1" t="s">
        <v>126</v>
      </c>
      <c r="C67" s="17" t="s">
        <v>23</v>
      </c>
      <c r="D67" s="17" t="s">
        <v>24</v>
      </c>
      <c r="E67" s="27" t="s">
        <v>25</v>
      </c>
      <c r="F67" s="17" t="s">
        <v>26</v>
      </c>
      <c r="G67" s="27" t="s">
        <v>27</v>
      </c>
      <c r="H67" s="17" t="s">
        <v>28</v>
      </c>
      <c r="I67" s="27" t="s">
        <v>29</v>
      </c>
      <c r="J67" s="17" t="s">
        <v>30</v>
      </c>
      <c r="K67" s="17" t="s">
        <v>31</v>
      </c>
      <c r="O67" s="18" t="s">
        <v>128</v>
      </c>
      <c r="P67" s="17" t="s">
        <v>23</v>
      </c>
      <c r="Q67" s="17" t="s">
        <v>24</v>
      </c>
      <c r="R67" s="17" t="s">
        <v>25</v>
      </c>
      <c r="S67" s="17" t="s">
        <v>26</v>
      </c>
      <c r="T67" s="17" t="s">
        <v>27</v>
      </c>
      <c r="U67" s="17" t="s">
        <v>28</v>
      </c>
      <c r="V67" s="17" t="s">
        <v>29</v>
      </c>
      <c r="W67" s="17" t="s">
        <v>30</v>
      </c>
      <c r="X67" s="17" t="s">
        <v>31</v>
      </c>
    </row>
    <row r="68" spans="1:35" ht="24" customHeight="1" x14ac:dyDescent="0.3">
      <c r="A68" s="19" t="s">
        <v>126</v>
      </c>
      <c r="B68" s="1" t="s">
        <v>32</v>
      </c>
      <c r="C68" s="24">
        <v>8</v>
      </c>
      <c r="D68" s="21">
        <f>IF(K68&gt;0,C68/K68,0)</f>
        <v>0.2857142857142857</v>
      </c>
      <c r="E68" s="24">
        <v>8</v>
      </c>
      <c r="F68" s="21">
        <f>IF(K68&gt;0,E68/K68,0)</f>
        <v>0.2857142857142857</v>
      </c>
      <c r="G68" s="24">
        <v>9</v>
      </c>
      <c r="H68" s="21">
        <f>IF(K68&gt;0,G68/K68,0)</f>
        <v>0.32142857142857145</v>
      </c>
      <c r="I68" s="24">
        <v>3</v>
      </c>
      <c r="J68" s="21">
        <f>IF(K68&gt;0,I68/K68,0)</f>
        <v>0.10714285714285714</v>
      </c>
      <c r="K68" s="24">
        <v>28</v>
      </c>
      <c r="N68" s="19" t="s">
        <v>128</v>
      </c>
      <c r="O68" s="18" t="s">
        <v>32</v>
      </c>
      <c r="P68" s="20"/>
      <c r="Q68" s="21">
        <f>IF(X68&gt;0,P68/X68,0)</f>
        <v>0</v>
      </c>
      <c r="R68" s="20"/>
      <c r="S68" s="21">
        <f>IF(X68&gt;0,R68/X68,0)</f>
        <v>0</v>
      </c>
      <c r="T68" s="20"/>
      <c r="U68" s="21">
        <f>IF(X68&gt;0,T68/X68,0)</f>
        <v>0</v>
      </c>
      <c r="V68" s="20"/>
      <c r="W68" s="21">
        <f>IF(X68&gt;0,V68/X68,0)</f>
        <v>0</v>
      </c>
      <c r="X68" s="20"/>
      <c r="AA68" s="1" t="s">
        <v>126</v>
      </c>
      <c r="AB68" s="17" t="s">
        <v>33</v>
      </c>
      <c r="AD68" s="1" t="s">
        <v>126</v>
      </c>
      <c r="AE68" s="17" t="s">
        <v>33</v>
      </c>
      <c r="AF68" s="17" t="s">
        <v>31</v>
      </c>
      <c r="AG68" s="17" t="s">
        <v>3</v>
      </c>
      <c r="AH68" s="17" t="s">
        <v>34</v>
      </c>
      <c r="AI68" s="17" t="s">
        <v>35</v>
      </c>
    </row>
    <row r="69" spans="1:35" ht="22.05" customHeight="1" x14ac:dyDescent="0.3">
      <c r="A69" s="19"/>
      <c r="B69" s="22"/>
      <c r="C69" s="25">
        <v>6</v>
      </c>
      <c r="D69" s="21">
        <f>IF(C68&gt;0,C69/C68,0)</f>
        <v>0.75</v>
      </c>
      <c r="E69" s="25">
        <v>4</v>
      </c>
      <c r="F69" s="21">
        <f>IF(E68&gt;0,E69/E68,0)</f>
        <v>0.5</v>
      </c>
      <c r="G69" s="25">
        <v>3</v>
      </c>
      <c r="H69" s="21">
        <f>IF(G68&gt;0,G69/G68,0)</f>
        <v>0.33333333333333331</v>
      </c>
      <c r="I69" s="25">
        <v>1</v>
      </c>
      <c r="J69" s="21">
        <f>IF(I68&gt;0,I69/I68,0)</f>
        <v>0.33333333333333331</v>
      </c>
      <c r="K69" s="25"/>
      <c r="N69" s="19"/>
      <c r="O69" s="22"/>
      <c r="P69" s="23"/>
      <c r="Q69" s="21">
        <f>IF(P68&gt;0,P69/P68,0)</f>
        <v>0</v>
      </c>
      <c r="R69" s="23"/>
      <c r="S69" s="21">
        <f>IF(R68&gt;0,R69/R68,0)</f>
        <v>0</v>
      </c>
      <c r="T69" s="23"/>
      <c r="U69" s="21">
        <f>IF(T68&gt;0,T69/T68,0)</f>
        <v>0</v>
      </c>
      <c r="V69" s="23"/>
      <c r="W69" s="21">
        <f>IF(V68&gt;0,V69/V68,0)</f>
        <v>0</v>
      </c>
      <c r="X69" s="23"/>
      <c r="AA69" s="17" t="s">
        <v>36</v>
      </c>
      <c r="AB69" s="28">
        <v>0.35</v>
      </c>
      <c r="AD69" s="1" t="s">
        <v>32</v>
      </c>
      <c r="AE69" s="28">
        <v>0.32</v>
      </c>
      <c r="AF69" s="25">
        <v>28</v>
      </c>
      <c r="AG69" s="25">
        <v>14</v>
      </c>
      <c r="AH69" s="28">
        <v>0.5</v>
      </c>
      <c r="AI69" s="28">
        <v>0.18</v>
      </c>
    </row>
    <row r="70" spans="1:35" ht="22.05" customHeight="1" x14ac:dyDescent="0.3">
      <c r="A70" s="19" t="s">
        <v>126</v>
      </c>
      <c r="B70" s="1" t="s">
        <v>37</v>
      </c>
      <c r="C70" s="24">
        <v>13</v>
      </c>
      <c r="D70" s="21">
        <f>IF(K70&gt;0,C70/K70,0)</f>
        <v>0.3611111111111111</v>
      </c>
      <c r="E70" s="24">
        <v>14</v>
      </c>
      <c r="F70" s="21">
        <f>IF(K70&gt;0,E70/K70,0)</f>
        <v>0.3888888888888889</v>
      </c>
      <c r="G70" s="24">
        <v>2</v>
      </c>
      <c r="H70" s="21">
        <f>IF(K70&gt;0,G70/K70,0)</f>
        <v>5.5555555555555552E-2</v>
      </c>
      <c r="I70" s="24">
        <v>7</v>
      </c>
      <c r="J70" s="21">
        <f>IF(K70&gt;0,I70/K70,0)</f>
        <v>0.19444444444444445</v>
      </c>
      <c r="K70" s="24">
        <v>36</v>
      </c>
      <c r="N70" s="19" t="s">
        <v>128</v>
      </c>
      <c r="O70" s="18" t="s">
        <v>37</v>
      </c>
      <c r="P70" s="20"/>
      <c r="Q70" s="21">
        <f>IF(X70&gt;0,P70/X70,0)</f>
        <v>0</v>
      </c>
      <c r="R70" s="20"/>
      <c r="S70" s="21">
        <f>IF(X70&gt;0,R70/X70,0)</f>
        <v>0</v>
      </c>
      <c r="T70" s="20"/>
      <c r="U70" s="21">
        <f>IF(X70&gt;0,T70/X70,0)</f>
        <v>0</v>
      </c>
      <c r="V70" s="20"/>
      <c r="W70" s="21">
        <f>IF(X70&gt;0,V70/X70,0)</f>
        <v>0</v>
      </c>
      <c r="X70" s="20"/>
      <c r="AA70" s="17" t="s">
        <v>38</v>
      </c>
      <c r="AB70" s="28">
        <v>0.42</v>
      </c>
      <c r="AD70" s="1" t="s">
        <v>37</v>
      </c>
      <c r="AE70" s="28">
        <v>0.39</v>
      </c>
      <c r="AF70" s="25">
        <v>36</v>
      </c>
      <c r="AG70" s="25">
        <v>17</v>
      </c>
      <c r="AH70" s="28">
        <v>0.47</v>
      </c>
      <c r="AI70" s="28">
        <v>0.08</v>
      </c>
    </row>
    <row r="71" spans="1:35" ht="22.05" customHeight="1" x14ac:dyDescent="0.3">
      <c r="A71" s="19"/>
      <c r="B71" s="22"/>
      <c r="C71" s="25">
        <v>8</v>
      </c>
      <c r="D71" s="21">
        <f>IF(C70&gt;0,C71/C70,0)</f>
        <v>0.61538461538461542</v>
      </c>
      <c r="E71" s="25">
        <v>7</v>
      </c>
      <c r="F71" s="21">
        <f>IF(E70&gt;0,E71/E70,0)</f>
        <v>0.5</v>
      </c>
      <c r="G71" s="25">
        <v>1</v>
      </c>
      <c r="H71" s="21">
        <f>IF(G70&gt;0,G71/G70,0)</f>
        <v>0.5</v>
      </c>
      <c r="I71" s="25">
        <v>1</v>
      </c>
      <c r="J71" s="21">
        <f>IF(I70&gt;0,I71/I70,0)</f>
        <v>0.14285714285714285</v>
      </c>
      <c r="K71" s="25"/>
      <c r="N71" s="19"/>
      <c r="O71" s="22"/>
      <c r="P71" s="23"/>
      <c r="Q71" s="21">
        <f>IF(P70&gt;0,P71/P70,0)</f>
        <v>0</v>
      </c>
      <c r="R71" s="23"/>
      <c r="S71" s="21">
        <f>IF(R70&gt;0,R71/R70,0)</f>
        <v>0</v>
      </c>
      <c r="T71" s="23"/>
      <c r="U71" s="21">
        <f>IF(T70&gt;0,T71/T70,0)</f>
        <v>0</v>
      </c>
      <c r="V71" s="23"/>
      <c r="W71" s="21">
        <f>IF(V70&gt;0,V71/V70,0)</f>
        <v>0</v>
      </c>
      <c r="X71" s="23"/>
      <c r="AA71" s="17" t="s">
        <v>39</v>
      </c>
      <c r="AB71" s="28">
        <v>0.42</v>
      </c>
      <c r="AD71" s="1" t="s">
        <v>40</v>
      </c>
      <c r="AE71" s="28">
        <v>0.57999999999999996</v>
      </c>
      <c r="AF71" s="25">
        <v>33</v>
      </c>
      <c r="AG71" s="25">
        <v>21</v>
      </c>
      <c r="AH71" s="28">
        <v>0.64</v>
      </c>
      <c r="AI71" s="28">
        <v>0.06</v>
      </c>
    </row>
    <row r="72" spans="1:35" ht="22.05" customHeight="1" x14ac:dyDescent="0.3">
      <c r="A72" s="19" t="s">
        <v>126</v>
      </c>
      <c r="B72" s="1" t="s">
        <v>40</v>
      </c>
      <c r="C72" s="24">
        <v>12</v>
      </c>
      <c r="D72" s="21">
        <f>IF(K72&gt;0,C72/K72,0)</f>
        <v>0.36363636363636365</v>
      </c>
      <c r="E72" s="24">
        <v>10</v>
      </c>
      <c r="F72" s="21">
        <f>IF(K72&gt;0,E72/K72,0)</f>
        <v>0.30303030303030304</v>
      </c>
      <c r="G72" s="24">
        <v>8</v>
      </c>
      <c r="H72" s="21">
        <f>IF(K72&gt;0,G72/K72,0)</f>
        <v>0.24242424242424243</v>
      </c>
      <c r="I72" s="24">
        <v>3</v>
      </c>
      <c r="J72" s="21">
        <f>IF(K72&gt;0,I72/K72,0)</f>
        <v>9.0909090909090912E-2</v>
      </c>
      <c r="K72" s="24">
        <v>33</v>
      </c>
      <c r="N72" s="19" t="s">
        <v>128</v>
      </c>
      <c r="O72" s="18" t="s">
        <v>40</v>
      </c>
      <c r="P72" s="20"/>
      <c r="Q72" s="21">
        <f>IF(X72&gt;0,P72/X72,0)</f>
        <v>0</v>
      </c>
      <c r="R72" s="20"/>
      <c r="S72" s="21">
        <f>IF(X72&gt;0,R72/X72,0)</f>
        <v>0</v>
      </c>
      <c r="T72" s="20"/>
      <c r="U72" s="21">
        <f>IF(X72&gt;0,T72/X72,0)</f>
        <v>0</v>
      </c>
      <c r="V72" s="20"/>
      <c r="W72" s="21">
        <f>IF(X72&gt;0,V72/X72,0)</f>
        <v>0</v>
      </c>
      <c r="X72" s="20"/>
      <c r="AA72" s="17" t="s">
        <v>41</v>
      </c>
      <c r="AB72" s="28">
        <v>0.26</v>
      </c>
      <c r="AD72" s="1" t="s">
        <v>42</v>
      </c>
      <c r="AE72" s="28">
        <v>0.44</v>
      </c>
      <c r="AF72" s="25">
        <v>36</v>
      </c>
      <c r="AG72" s="25">
        <v>22</v>
      </c>
      <c r="AH72" s="28">
        <v>0.61</v>
      </c>
      <c r="AI72" s="28">
        <v>0.17</v>
      </c>
    </row>
    <row r="73" spans="1:35" ht="22.05" customHeight="1" x14ac:dyDescent="0.3">
      <c r="A73" s="19"/>
      <c r="B73" s="22"/>
      <c r="C73" s="25">
        <v>8</v>
      </c>
      <c r="D73" s="21">
        <f>IF(C72&gt;0,C73/C72,0)</f>
        <v>0.66666666666666663</v>
      </c>
      <c r="E73" s="25">
        <v>6</v>
      </c>
      <c r="F73" s="21">
        <f>IF(E72&gt;0,E73/E72,0)</f>
        <v>0.6</v>
      </c>
      <c r="G73" s="25">
        <v>6</v>
      </c>
      <c r="H73" s="21">
        <f>IF(G72&gt;0,G73/G72,0)</f>
        <v>0.75</v>
      </c>
      <c r="I73" s="25">
        <v>1</v>
      </c>
      <c r="J73" s="21">
        <f>IF(I72&gt;0,I73/I72,0)</f>
        <v>0.33333333333333331</v>
      </c>
      <c r="K73" s="25"/>
      <c r="N73" s="19"/>
      <c r="O73" s="22"/>
      <c r="P73" s="23"/>
      <c r="Q73" s="21">
        <f>IF(P72&gt;0,P73/P72,0)</f>
        <v>0</v>
      </c>
      <c r="R73" s="23"/>
      <c r="S73" s="21">
        <f>IF(R72&gt;0,R73/R72,0)</f>
        <v>0</v>
      </c>
      <c r="T73" s="23"/>
      <c r="U73" s="21">
        <f>IF(T72&gt;0,T73/T72,0)</f>
        <v>0</v>
      </c>
      <c r="V73" s="23"/>
      <c r="W73" s="21">
        <f>IF(V72&gt;0,V73/V72,0)</f>
        <v>0</v>
      </c>
      <c r="X73" s="23"/>
      <c r="AA73" s="17" t="s">
        <v>43</v>
      </c>
      <c r="AB73" s="28">
        <v>0.1</v>
      </c>
      <c r="AD73" s="1" t="s">
        <v>44</v>
      </c>
      <c r="AE73" s="28">
        <v>0.39</v>
      </c>
      <c r="AF73" s="25">
        <v>18</v>
      </c>
      <c r="AG73" s="25">
        <v>9</v>
      </c>
      <c r="AH73" s="28">
        <v>0.5</v>
      </c>
      <c r="AI73" s="28">
        <v>0.11</v>
      </c>
    </row>
    <row r="74" spans="1:35" ht="22.05" customHeight="1" x14ac:dyDescent="0.3">
      <c r="A74" s="19" t="s">
        <v>126</v>
      </c>
      <c r="B74" s="1" t="s">
        <v>42</v>
      </c>
      <c r="C74" s="24">
        <v>8</v>
      </c>
      <c r="D74" s="21">
        <f>IF(K74&gt;0,C74/K74,0)</f>
        <v>0.22222222222222221</v>
      </c>
      <c r="E74" s="24">
        <v>16</v>
      </c>
      <c r="F74" s="21">
        <f>IF(K74&gt;0,E74/K74,0)</f>
        <v>0.44444444444444442</v>
      </c>
      <c r="G74" s="24">
        <v>12</v>
      </c>
      <c r="H74" s="21">
        <f>IF(K74&gt;0,G74/K74,0)</f>
        <v>0.33333333333333331</v>
      </c>
      <c r="I74" s="24">
        <v>0</v>
      </c>
      <c r="J74" s="21">
        <f>IF(K74&gt;0,I74/K74,0)</f>
        <v>0</v>
      </c>
      <c r="K74" s="24">
        <v>36</v>
      </c>
      <c r="N74" s="19" t="s">
        <v>128</v>
      </c>
      <c r="O74" s="18" t="s">
        <v>42</v>
      </c>
      <c r="P74" s="20"/>
      <c r="Q74" s="21">
        <f>IF(X74&gt;0,P74/X74,0)</f>
        <v>0</v>
      </c>
      <c r="R74" s="20"/>
      <c r="S74" s="21">
        <f>IF(X74&gt;0,R74/X74,0)</f>
        <v>0</v>
      </c>
      <c r="T74" s="20"/>
      <c r="U74" s="21">
        <f>IF(X74&gt;0,T74/X74,0)</f>
        <v>0</v>
      </c>
      <c r="V74" s="20"/>
      <c r="W74" s="21">
        <f>IF(X74&gt;0,V74/X74,0)</f>
        <v>0</v>
      </c>
      <c r="X74" s="20"/>
      <c r="AA74" s="17" t="s">
        <v>45</v>
      </c>
      <c r="AB74" s="28">
        <v>0.28000000000000003</v>
      </c>
      <c r="AD74" s="1" t="s">
        <v>46</v>
      </c>
      <c r="AE74" s="28">
        <v>0.37</v>
      </c>
      <c r="AF74" s="25">
        <v>19</v>
      </c>
      <c r="AG74" s="25">
        <v>10</v>
      </c>
      <c r="AH74" s="28">
        <v>0.53</v>
      </c>
      <c r="AI74" s="28">
        <v>0.16</v>
      </c>
    </row>
    <row r="75" spans="1:35" ht="22.05" customHeight="1" x14ac:dyDescent="0.3">
      <c r="A75" s="19"/>
      <c r="B75" s="22"/>
      <c r="C75" s="25">
        <v>6</v>
      </c>
      <c r="D75" s="21">
        <f>IF(C74&gt;0,C75/C74,0)</f>
        <v>0.75</v>
      </c>
      <c r="E75" s="25">
        <v>9</v>
      </c>
      <c r="F75" s="21">
        <f>IF(E74&gt;0,E75/E74,0)</f>
        <v>0.5625</v>
      </c>
      <c r="G75" s="25">
        <v>7</v>
      </c>
      <c r="H75" s="21">
        <f>IF(G74&gt;0,G75/G74,0)</f>
        <v>0.58333333333333337</v>
      </c>
      <c r="I75" s="25">
        <v>0</v>
      </c>
      <c r="J75" s="21">
        <f>IF(I74&gt;0,I75/I74,0)</f>
        <v>0</v>
      </c>
      <c r="K75" s="25"/>
      <c r="N75" s="19"/>
      <c r="O75" s="22"/>
      <c r="P75" s="23"/>
      <c r="Q75" s="21">
        <f>IF(P74&gt;0,P75/P74,0)</f>
        <v>0</v>
      </c>
      <c r="R75" s="23"/>
      <c r="S75" s="21">
        <f>IF(R74&gt;0,R75/R74,0)</f>
        <v>0</v>
      </c>
      <c r="T75" s="23"/>
      <c r="U75" s="21">
        <f>IF(T74&gt;0,T75/T74,0)</f>
        <v>0</v>
      </c>
      <c r="V75" s="23"/>
      <c r="W75" s="21">
        <f>IF(V74&gt;0,V75/V74,0)</f>
        <v>0</v>
      </c>
      <c r="X75" s="23"/>
      <c r="AD75" s="1" t="s">
        <v>47</v>
      </c>
      <c r="AE75" s="28">
        <v>0.42</v>
      </c>
      <c r="AF75" s="25">
        <v>170</v>
      </c>
      <c r="AG75" s="25">
        <v>93</v>
      </c>
      <c r="AH75" s="28">
        <v>0.55000000000000004</v>
      </c>
      <c r="AI75" s="28">
        <v>0.12</v>
      </c>
    </row>
    <row r="76" spans="1:35" ht="22.05" customHeight="1" x14ac:dyDescent="0.3">
      <c r="A76" s="19" t="s">
        <v>126</v>
      </c>
      <c r="B76" s="1" t="s">
        <v>44</v>
      </c>
      <c r="C76" s="24">
        <v>7</v>
      </c>
      <c r="D76" s="21">
        <f>IF(K76&gt;0,C76/K76,0)</f>
        <v>0.3888888888888889</v>
      </c>
      <c r="E76" s="24">
        <v>5</v>
      </c>
      <c r="F76" s="21">
        <f>IF(K76&gt;0,E76/K76,0)</f>
        <v>0.27777777777777779</v>
      </c>
      <c r="G76" s="24">
        <v>3</v>
      </c>
      <c r="H76" s="21">
        <f>IF(K76&gt;0,G76/K76,0)</f>
        <v>0.16666666666666666</v>
      </c>
      <c r="I76" s="24">
        <v>3</v>
      </c>
      <c r="J76" s="21">
        <f>IF(K76&gt;0,I76/K76,0)</f>
        <v>0.16666666666666666</v>
      </c>
      <c r="K76" s="24">
        <v>18</v>
      </c>
      <c r="N76" s="19" t="s">
        <v>128</v>
      </c>
      <c r="O76" s="18" t="s">
        <v>44</v>
      </c>
      <c r="P76" s="20"/>
      <c r="Q76" s="21">
        <f>IF(X76&gt;0,P76/X76,0)</f>
        <v>0</v>
      </c>
      <c r="R76" s="20"/>
      <c r="S76" s="21">
        <f>IF(X76&gt;0,R76/X76,0)</f>
        <v>0</v>
      </c>
      <c r="T76" s="20"/>
      <c r="U76" s="21">
        <f>IF(X76&gt;0,T76/X76,0)</f>
        <v>0</v>
      </c>
      <c r="V76" s="20"/>
      <c r="W76" s="21">
        <f>IF(X76&gt;0,V76/X76,0)</f>
        <v>0</v>
      </c>
      <c r="X76" s="20"/>
      <c r="AD76" s="1" t="s">
        <v>48</v>
      </c>
      <c r="AE76" s="28">
        <v>0.28000000000000003</v>
      </c>
      <c r="AF76" s="25">
        <v>148</v>
      </c>
      <c r="AG76" s="25">
        <v>67</v>
      </c>
      <c r="AH76" s="28">
        <v>0.45</v>
      </c>
      <c r="AI76" s="28">
        <v>0.17</v>
      </c>
    </row>
    <row r="77" spans="1:35" ht="22.05" customHeight="1" x14ac:dyDescent="0.3">
      <c r="A77" s="19"/>
      <c r="B77" s="22"/>
      <c r="C77" s="25">
        <v>4</v>
      </c>
      <c r="D77" s="21">
        <f>IF(C76&gt;0,C77/C76,0)</f>
        <v>0.5714285714285714</v>
      </c>
      <c r="E77" s="25">
        <v>2</v>
      </c>
      <c r="F77" s="21">
        <f>IF(E76&gt;0,E77/E76,0)</f>
        <v>0.4</v>
      </c>
      <c r="G77" s="25">
        <v>0</v>
      </c>
      <c r="H77" s="21">
        <f>IF(G76&gt;0,G77/G76,0)</f>
        <v>0</v>
      </c>
      <c r="I77" s="25">
        <v>3</v>
      </c>
      <c r="J77" s="21">
        <f>IF(I76&gt;0,I77/I76,0)</f>
        <v>1</v>
      </c>
      <c r="K77" s="25"/>
      <c r="N77" s="19"/>
      <c r="O77" s="22"/>
      <c r="P77" s="23"/>
      <c r="Q77" s="21">
        <f>IF(P76&gt;0,P77/P76,0)</f>
        <v>0</v>
      </c>
      <c r="R77" s="23"/>
      <c r="S77" s="21">
        <f>IF(R76&gt;0,R77/R76,0)</f>
        <v>0</v>
      </c>
      <c r="T77" s="23"/>
      <c r="U77" s="21">
        <f>IF(T76&gt;0,T77/T76,0)</f>
        <v>0</v>
      </c>
      <c r="V77" s="23"/>
      <c r="W77" s="21">
        <f>IF(V76&gt;0,V77/V76,0)</f>
        <v>0</v>
      </c>
      <c r="X77" s="23"/>
      <c r="AE77" s="29"/>
      <c r="AH77" s="29"/>
      <c r="AI77" s="29"/>
    </row>
    <row r="78" spans="1:35" ht="24" customHeight="1" x14ac:dyDescent="0.3">
      <c r="A78" s="19" t="s">
        <v>126</v>
      </c>
      <c r="B78" s="1" t="s">
        <v>46</v>
      </c>
      <c r="C78" s="24">
        <v>6</v>
      </c>
      <c r="D78" s="21">
        <f>IF(K78&gt;0,C78/K78,0)</f>
        <v>0.31578947368421051</v>
      </c>
      <c r="E78" s="24">
        <v>7</v>
      </c>
      <c r="F78" s="21">
        <f>IF(K78&gt;0,E78/K78,0)</f>
        <v>0.36842105263157893</v>
      </c>
      <c r="G78" s="24">
        <v>6</v>
      </c>
      <c r="H78" s="21">
        <f>IF(K78&gt;0,G78/K78,0)</f>
        <v>0.31578947368421051</v>
      </c>
      <c r="I78" s="24">
        <v>0</v>
      </c>
      <c r="J78" s="21">
        <f>IF(K78&gt;0,I78/K78,0)</f>
        <v>0</v>
      </c>
      <c r="K78" s="24">
        <v>19</v>
      </c>
      <c r="N78" s="19" t="s">
        <v>128</v>
      </c>
      <c r="O78" s="18" t="s">
        <v>46</v>
      </c>
      <c r="P78" s="20"/>
      <c r="Q78" s="21">
        <f>IF(X78&gt;0,P78/X78,0)</f>
        <v>0</v>
      </c>
      <c r="R78" s="20"/>
      <c r="S78" s="21">
        <f>IF(X78&gt;0,R78/X78,0)</f>
        <v>0</v>
      </c>
      <c r="T78" s="20"/>
      <c r="U78" s="21">
        <f>IF(X78&gt;0,T78/X78,0)</f>
        <v>0</v>
      </c>
      <c r="V78" s="20"/>
      <c r="W78" s="21">
        <f>IF(X78&gt;0,V78/X78,0)</f>
        <v>0</v>
      </c>
      <c r="X78" s="20"/>
      <c r="AA78" s="18" t="s">
        <v>128</v>
      </c>
      <c r="AB78" s="17" t="s">
        <v>33</v>
      </c>
      <c r="AD78" s="18" t="s">
        <v>128</v>
      </c>
      <c r="AE78" s="30" t="s">
        <v>33</v>
      </c>
      <c r="AF78" s="17" t="s">
        <v>31</v>
      </c>
      <c r="AG78" s="17" t="s">
        <v>3</v>
      </c>
      <c r="AH78" s="30" t="s">
        <v>34</v>
      </c>
      <c r="AI78" s="30" t="s">
        <v>35</v>
      </c>
    </row>
    <row r="79" spans="1:35" ht="22.05" customHeight="1" x14ac:dyDescent="0.3">
      <c r="A79" s="19"/>
      <c r="B79" s="22"/>
      <c r="C79" s="25">
        <v>2</v>
      </c>
      <c r="D79" s="21">
        <f>IF(C78&gt;0,C79/C78,0)</f>
        <v>0.33333333333333331</v>
      </c>
      <c r="E79" s="25">
        <v>5</v>
      </c>
      <c r="F79" s="21">
        <f>IF(E78&gt;0,E79/E78,0)</f>
        <v>0.7142857142857143</v>
      </c>
      <c r="G79" s="25">
        <v>3</v>
      </c>
      <c r="H79" s="21">
        <f>IF(G78&gt;0,G79/G78,0)</f>
        <v>0.5</v>
      </c>
      <c r="I79" s="25">
        <v>0</v>
      </c>
      <c r="J79" s="21">
        <f>IF(I78&gt;0,I79/I78,0)</f>
        <v>0</v>
      </c>
      <c r="K79" s="25"/>
      <c r="N79" s="19"/>
      <c r="O79" s="22"/>
      <c r="P79" s="23"/>
      <c r="Q79" s="21">
        <f>IF(P78&gt;0,P79/P78,0)</f>
        <v>0</v>
      </c>
      <c r="R79" s="23"/>
      <c r="S79" s="21">
        <f>IF(R78&gt;0,R79/R78,0)</f>
        <v>0</v>
      </c>
      <c r="T79" s="23"/>
      <c r="U79" s="21">
        <f>IF(T78&gt;0,T79/T78,0)</f>
        <v>0</v>
      </c>
      <c r="V79" s="23"/>
      <c r="W79" s="21">
        <f>IF(V78&gt;0,V79/V78,0)</f>
        <v>0</v>
      </c>
      <c r="X79" s="23"/>
      <c r="AA79" s="17" t="s">
        <v>36</v>
      </c>
      <c r="AB79" s="28">
        <v>0.41</v>
      </c>
      <c r="AD79" s="18" t="s">
        <v>32</v>
      </c>
      <c r="AE79" s="28">
        <v>0</v>
      </c>
      <c r="AF79" s="25">
        <v>7</v>
      </c>
      <c r="AG79" s="25">
        <v>3</v>
      </c>
      <c r="AH79" s="28">
        <v>0.43</v>
      </c>
      <c r="AI79" s="28">
        <v>0.43</v>
      </c>
    </row>
    <row r="80" spans="1:35" ht="22.05" customHeight="1" x14ac:dyDescent="0.3">
      <c r="A80" s="70" t="s">
        <v>49</v>
      </c>
      <c r="B80" s="71"/>
      <c r="C80" s="71"/>
      <c r="D80" s="71"/>
      <c r="E80" s="71"/>
      <c r="F80" s="72"/>
      <c r="G80" s="73" t="s">
        <v>50</v>
      </c>
      <c r="H80" s="74"/>
      <c r="I80" s="74"/>
      <c r="J80" s="74"/>
      <c r="K80" s="74"/>
      <c r="L80" s="74"/>
      <c r="AA80" s="17" t="s">
        <v>38</v>
      </c>
      <c r="AB80" s="28">
        <v>0.56999999999999995</v>
      </c>
      <c r="AD80" s="18" t="s">
        <v>37</v>
      </c>
      <c r="AE80" s="28">
        <v>0.67</v>
      </c>
      <c r="AF80" s="25">
        <v>3</v>
      </c>
      <c r="AG80" s="25">
        <v>2</v>
      </c>
      <c r="AH80" s="28">
        <v>0.67</v>
      </c>
      <c r="AI80" s="28">
        <v>0</v>
      </c>
    </row>
    <row r="81" spans="1:35" ht="22.05" customHeight="1" x14ac:dyDescent="0.3">
      <c r="A81" s="32">
        <v>47</v>
      </c>
      <c r="B81" s="33"/>
      <c r="C81" s="39">
        <v>46</v>
      </c>
      <c r="D81" s="33"/>
      <c r="E81" s="39">
        <v>15</v>
      </c>
      <c r="F81" s="33"/>
      <c r="G81" s="32">
        <v>56</v>
      </c>
      <c r="H81" s="33"/>
      <c r="I81" s="32">
        <v>0</v>
      </c>
      <c r="J81" s="33"/>
      <c r="K81" s="32">
        <v>2</v>
      </c>
      <c r="L81" s="33"/>
      <c r="AA81" s="17" t="s">
        <v>39</v>
      </c>
      <c r="AB81" s="28">
        <v>0.44</v>
      </c>
      <c r="AD81" s="18" t="s">
        <v>40</v>
      </c>
      <c r="AE81" s="28">
        <v>0.5</v>
      </c>
      <c r="AF81" s="25">
        <v>4</v>
      </c>
      <c r="AG81" s="25">
        <v>2</v>
      </c>
      <c r="AH81" s="28">
        <v>0.5</v>
      </c>
      <c r="AI81" s="28">
        <v>0</v>
      </c>
    </row>
    <row r="82" spans="1:35" ht="22.05" customHeight="1" x14ac:dyDescent="0.3">
      <c r="A82" s="34">
        <v>32</v>
      </c>
      <c r="B82" s="35"/>
      <c r="C82" s="40">
        <v>23</v>
      </c>
      <c r="D82" s="35"/>
      <c r="E82" s="40">
        <v>8</v>
      </c>
      <c r="F82" s="35"/>
      <c r="G82" s="34">
        <v>22</v>
      </c>
      <c r="H82" s="35"/>
      <c r="I82" s="34">
        <v>0</v>
      </c>
      <c r="J82" s="35"/>
      <c r="K82" s="34">
        <v>1</v>
      </c>
      <c r="L82" s="35"/>
      <c r="AA82" s="17" t="s">
        <v>41</v>
      </c>
      <c r="AB82" s="28">
        <v>0.32</v>
      </c>
      <c r="AD82" s="18" t="s">
        <v>42</v>
      </c>
      <c r="AE82" s="28">
        <v>1</v>
      </c>
      <c r="AF82" s="25">
        <v>3</v>
      </c>
      <c r="AG82" s="25">
        <v>3</v>
      </c>
      <c r="AH82" s="28">
        <v>1</v>
      </c>
      <c r="AI82" s="28">
        <v>0</v>
      </c>
    </row>
    <row r="83" spans="1:35" ht="22.05" customHeight="1" x14ac:dyDescent="0.3">
      <c r="A83" s="46"/>
      <c r="B83" s="43"/>
      <c r="C83" s="39">
        <v>14</v>
      </c>
      <c r="D83" s="33"/>
      <c r="E83" s="38">
        <v>19</v>
      </c>
      <c r="F83" s="33"/>
      <c r="G83" s="32"/>
      <c r="H83" s="33"/>
      <c r="I83" s="38">
        <v>0</v>
      </c>
      <c r="J83" s="36"/>
      <c r="K83" s="32">
        <v>0</v>
      </c>
      <c r="L83" s="33"/>
      <c r="AA83" s="17" t="s">
        <v>43</v>
      </c>
      <c r="AB83" s="28">
        <v>0.25</v>
      </c>
      <c r="AD83" s="18" t="s">
        <v>44</v>
      </c>
      <c r="AE83" s="28">
        <v>0.67</v>
      </c>
      <c r="AF83" s="25">
        <v>3</v>
      </c>
      <c r="AG83" s="25">
        <v>2</v>
      </c>
      <c r="AH83" s="28">
        <v>0.67</v>
      </c>
      <c r="AI83" s="28">
        <v>0</v>
      </c>
    </row>
    <row r="84" spans="1:35" ht="22.05" customHeight="1" x14ac:dyDescent="0.3">
      <c r="A84" s="47"/>
      <c r="B84" s="44"/>
      <c r="C84" s="40">
        <v>6</v>
      </c>
      <c r="D84" s="35"/>
      <c r="E84" s="31">
        <v>8</v>
      </c>
      <c r="F84" s="41"/>
      <c r="G84" s="34"/>
      <c r="H84" s="35"/>
      <c r="I84" s="31">
        <v>0</v>
      </c>
      <c r="J84" s="37"/>
      <c r="K84" s="34">
        <v>0</v>
      </c>
      <c r="L84" s="35"/>
      <c r="AA84" s="17" t="s">
        <v>45</v>
      </c>
      <c r="AB84" s="28">
        <v>0.16</v>
      </c>
      <c r="AD84" s="18" t="s">
        <v>46</v>
      </c>
      <c r="AE84" s="28">
        <v>1</v>
      </c>
      <c r="AF84" s="25">
        <v>3</v>
      </c>
      <c r="AG84" s="25">
        <v>3</v>
      </c>
      <c r="AH84" s="28">
        <v>1</v>
      </c>
      <c r="AI84" s="28">
        <v>0</v>
      </c>
    </row>
    <row r="85" spans="1:35" ht="22.05" customHeight="1" x14ac:dyDescent="0.3">
      <c r="A85" s="42"/>
      <c r="B85" s="45"/>
      <c r="AD85" s="18" t="s">
        <v>47</v>
      </c>
      <c r="AE85" s="28">
        <v>0.52</v>
      </c>
      <c r="AF85" s="25">
        <v>23</v>
      </c>
      <c r="AG85" s="25">
        <v>15</v>
      </c>
      <c r="AH85" s="28">
        <v>0.65</v>
      </c>
      <c r="AI85" s="28">
        <v>0.13</v>
      </c>
    </row>
    <row r="86" spans="1:35" ht="22.05" customHeight="1" x14ac:dyDescent="0.3">
      <c r="D86" s="48"/>
      <c r="AD86" s="18" t="s">
        <v>48</v>
      </c>
      <c r="AE86" s="28">
        <v>0.16</v>
      </c>
      <c r="AF86" s="25">
        <v>32</v>
      </c>
      <c r="AG86" s="25">
        <v>12</v>
      </c>
      <c r="AH86" s="28">
        <v>0.38</v>
      </c>
      <c r="AI86" s="28">
        <v>0.22</v>
      </c>
    </row>
  </sheetData>
  <mergeCells count="10">
    <mergeCell ref="A1:BH1"/>
    <mergeCell ref="A66:L66"/>
    <mergeCell ref="N66:Y66"/>
    <mergeCell ref="BJ17:BS17"/>
    <mergeCell ref="A35:L35"/>
    <mergeCell ref="A80:F80"/>
    <mergeCell ref="G80:L80"/>
    <mergeCell ref="A20:L20"/>
    <mergeCell ref="A2:L2"/>
    <mergeCell ref="BJ2:BS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>
      <selection activeCell="C13" sqref="C13"/>
    </sheetView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79" t="s">
        <v>71</v>
      </c>
      <c r="C1" s="76"/>
    </row>
    <row r="3" spans="2:3" ht="30" customHeight="1" x14ac:dyDescent="0.3">
      <c r="B3" s="15" t="s">
        <v>72</v>
      </c>
      <c r="C3" s="16" t="s">
        <v>115</v>
      </c>
    </row>
    <row r="4" spans="2:3" ht="30" customHeight="1" x14ac:dyDescent="0.3">
      <c r="B4" s="15" t="s">
        <v>73</v>
      </c>
      <c r="C4" s="16" t="s">
        <v>74</v>
      </c>
    </row>
    <row r="5" spans="2:3" ht="30" customHeight="1" x14ac:dyDescent="0.3">
      <c r="B5" s="15" t="s">
        <v>75</v>
      </c>
      <c r="C5" s="16">
        <v>6</v>
      </c>
    </row>
    <row r="6" spans="2:3" ht="30" customHeight="1" x14ac:dyDescent="0.3">
      <c r="B6" s="15" t="s">
        <v>76</v>
      </c>
      <c r="C6" s="16" t="s">
        <v>115</v>
      </c>
    </row>
    <row r="8" spans="2:3" ht="40.049999999999997" customHeight="1" x14ac:dyDescent="0.3">
      <c r="B8" s="82" t="s">
        <v>77</v>
      </c>
      <c r="C8" s="76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3FEE1-F89C-4C76-8722-B4F42DB5CD1B}">
  <sheetPr codeName="Hoja6"/>
  <dimension ref="A1:G88"/>
  <sheetViews>
    <sheetView workbookViewId="0">
      <selection activeCell="F19" sqref="F19"/>
    </sheetView>
  </sheetViews>
  <sheetFormatPr baseColWidth="10" defaultRowHeight="14.4" x14ac:dyDescent="0.3"/>
  <cols>
    <col min="1" max="1" width="8.77734375" customWidth="1"/>
    <col min="2" max="2" width="20.77734375" customWidth="1"/>
    <col min="3" max="3" width="14.77734375" customWidth="1"/>
    <col min="4" max="4" width="18.77734375" customWidth="1"/>
    <col min="5" max="5" width="12.77734375" customWidth="1"/>
    <col min="6" max="6" width="50.77734375" customWidth="1"/>
    <col min="7" max="7" width="14.77734375" customWidth="1"/>
  </cols>
  <sheetData>
    <row r="1" spans="1:7" ht="30" customHeight="1" x14ac:dyDescent="0.35">
      <c r="A1" s="85" t="s">
        <v>132</v>
      </c>
      <c r="B1" s="86"/>
      <c r="C1" s="86"/>
      <c r="D1" s="86"/>
      <c r="E1" s="86"/>
      <c r="F1" s="86"/>
      <c r="G1" s="86"/>
    </row>
    <row r="2" spans="1:7" ht="18" customHeight="1" x14ac:dyDescent="0.3">
      <c r="A2" s="87" t="s">
        <v>133</v>
      </c>
      <c r="B2" s="86"/>
      <c r="C2" s="86"/>
      <c r="D2" s="86"/>
      <c r="E2" s="86"/>
      <c r="F2" s="86"/>
      <c r="G2" s="86"/>
    </row>
    <row r="3" spans="1:7" ht="6" customHeight="1" x14ac:dyDescent="0.3"/>
    <row r="4" spans="1:7" ht="22.05" customHeight="1" x14ac:dyDescent="0.3">
      <c r="A4" s="88" t="s">
        <v>3</v>
      </c>
      <c r="B4" s="88" t="s">
        <v>4</v>
      </c>
      <c r="C4" s="88" t="s">
        <v>5</v>
      </c>
      <c r="D4" s="88" t="s">
        <v>78</v>
      </c>
      <c r="E4" s="88" t="s">
        <v>79</v>
      </c>
      <c r="F4" s="88" t="s">
        <v>12</v>
      </c>
      <c r="G4" s="88" t="s">
        <v>134</v>
      </c>
    </row>
    <row r="5" spans="1:7" ht="19.95" customHeight="1" x14ac:dyDescent="0.3">
      <c r="A5" s="89" t="s">
        <v>119</v>
      </c>
      <c r="B5" s="90" t="s">
        <v>119</v>
      </c>
      <c r="C5" s="89" t="s">
        <v>14</v>
      </c>
      <c r="D5" s="89" t="s">
        <v>82</v>
      </c>
      <c r="E5" s="89" t="s">
        <v>135</v>
      </c>
      <c r="F5" s="89"/>
      <c r="G5" s="91" t="str">
        <f>IF(F5="","","? Listo")</f>
        <v/>
      </c>
    </row>
    <row r="6" spans="1:7" ht="19.95" customHeight="1" x14ac:dyDescent="0.3">
      <c r="A6" s="89"/>
      <c r="B6" s="89"/>
      <c r="C6" s="89"/>
      <c r="D6" s="89" t="s">
        <v>104</v>
      </c>
      <c r="E6" s="89" t="s">
        <v>135</v>
      </c>
      <c r="F6" s="89"/>
      <c r="G6" s="91" t="str">
        <f>IF(F6="","","? Listo")</f>
        <v/>
      </c>
    </row>
    <row r="7" spans="1:7" ht="19.95" customHeight="1" x14ac:dyDescent="0.3">
      <c r="A7" s="89"/>
      <c r="B7" s="89"/>
      <c r="C7" s="89"/>
      <c r="D7" s="89" t="s">
        <v>83</v>
      </c>
      <c r="E7" s="89" t="s">
        <v>135</v>
      </c>
      <c r="F7" s="89" t="s">
        <v>142</v>
      </c>
      <c r="G7" s="91" t="str">
        <f>IF(F7="","","? Listo")</f>
        <v>? Listo</v>
      </c>
    </row>
    <row r="8" spans="1:7" ht="19.95" customHeight="1" x14ac:dyDescent="0.3">
      <c r="A8" s="89"/>
      <c r="B8" s="89"/>
      <c r="C8" s="89"/>
      <c r="D8" s="89" t="s">
        <v>84</v>
      </c>
      <c r="E8" s="89" t="s">
        <v>135</v>
      </c>
      <c r="F8" s="89" t="s">
        <v>141</v>
      </c>
      <c r="G8" s="91" t="str">
        <f>IF(F8="","","? Listo")</f>
        <v>? Listo</v>
      </c>
    </row>
    <row r="9" spans="1:7" ht="19.95" customHeight="1" x14ac:dyDescent="0.3">
      <c r="A9" s="89"/>
      <c r="B9" s="89"/>
      <c r="C9" s="89"/>
      <c r="D9" s="89" t="s">
        <v>80</v>
      </c>
      <c r="E9" s="89" t="s">
        <v>136</v>
      </c>
      <c r="F9" s="89" t="s">
        <v>149</v>
      </c>
      <c r="G9" s="91" t="str">
        <f>IF(F9="","","? Listo")</f>
        <v>? Listo</v>
      </c>
    </row>
    <row r="10" spans="1:7" ht="19.95" customHeight="1" x14ac:dyDescent="0.3">
      <c r="A10" s="89"/>
      <c r="B10" s="89"/>
      <c r="C10" s="89"/>
      <c r="D10" s="89" t="s">
        <v>81</v>
      </c>
      <c r="E10" s="89" t="s">
        <v>136</v>
      </c>
      <c r="F10" s="89"/>
      <c r="G10" s="91" t="str">
        <f>IF(F10="","","? Listo")</f>
        <v/>
      </c>
    </row>
    <row r="11" spans="1:7" ht="19.95" customHeight="1" x14ac:dyDescent="0.3"/>
    <row r="12" spans="1:7" ht="19.95" customHeight="1" x14ac:dyDescent="0.3">
      <c r="A12" s="92" t="s">
        <v>116</v>
      </c>
      <c r="B12" s="93" t="s">
        <v>116</v>
      </c>
      <c r="C12" s="92" t="s">
        <v>17</v>
      </c>
      <c r="D12" s="92" t="s">
        <v>85</v>
      </c>
      <c r="E12" s="92" t="s">
        <v>135</v>
      </c>
      <c r="F12" s="92"/>
      <c r="G12" s="94" t="str">
        <f>IF(F12="","","? Listo")</f>
        <v/>
      </c>
    </row>
    <row r="13" spans="1:7" ht="19.95" customHeight="1" x14ac:dyDescent="0.3">
      <c r="A13" s="92"/>
      <c r="B13" s="92"/>
      <c r="C13" s="92"/>
      <c r="D13" s="92" t="s">
        <v>86</v>
      </c>
      <c r="E13" s="92" t="s">
        <v>135</v>
      </c>
      <c r="F13" s="92"/>
      <c r="G13" s="94" t="str">
        <f>IF(F13="","","? Listo")</f>
        <v/>
      </c>
    </row>
    <row r="14" spans="1:7" ht="19.95" customHeight="1" x14ac:dyDescent="0.3">
      <c r="A14" s="92"/>
      <c r="B14" s="92"/>
      <c r="C14" s="92"/>
      <c r="D14" s="92" t="s">
        <v>87</v>
      </c>
      <c r="E14" s="92" t="s">
        <v>135</v>
      </c>
      <c r="F14" s="92" t="s">
        <v>152</v>
      </c>
      <c r="G14" s="94" t="str">
        <f>IF(F14="","","? Listo")</f>
        <v>? Listo</v>
      </c>
    </row>
    <row r="15" spans="1:7" ht="19.95" customHeight="1" x14ac:dyDescent="0.3">
      <c r="A15" s="92"/>
      <c r="B15" s="92"/>
      <c r="C15" s="92"/>
      <c r="D15" s="92" t="s">
        <v>88</v>
      </c>
      <c r="E15" s="92" t="s">
        <v>135</v>
      </c>
      <c r="F15" s="92"/>
      <c r="G15" s="94" t="str">
        <f>IF(F15="","","? Listo")</f>
        <v/>
      </c>
    </row>
    <row r="16" spans="1:7" ht="19.95" customHeight="1" x14ac:dyDescent="0.3">
      <c r="A16" s="92"/>
      <c r="B16" s="92"/>
      <c r="C16" s="92"/>
      <c r="D16" s="92" t="s">
        <v>90</v>
      </c>
      <c r="E16" s="92" t="s">
        <v>135</v>
      </c>
      <c r="F16" s="92" t="s">
        <v>153</v>
      </c>
      <c r="G16" s="94" t="str">
        <f>IF(F16="","","? Listo")</f>
        <v>? Listo</v>
      </c>
    </row>
    <row r="17" spans="1:7" ht="19.95" customHeight="1" x14ac:dyDescent="0.3">
      <c r="A17" s="92"/>
      <c r="B17" s="92"/>
      <c r="C17" s="92"/>
      <c r="D17" s="92" t="s">
        <v>91</v>
      </c>
      <c r="E17" s="92" t="s">
        <v>135</v>
      </c>
      <c r="F17" s="92"/>
      <c r="G17" s="94" t="str">
        <f>IF(F17="","","? Listo")</f>
        <v/>
      </c>
    </row>
    <row r="18" spans="1:7" ht="19.95" customHeight="1" x14ac:dyDescent="0.3">
      <c r="A18" s="92"/>
      <c r="B18" s="92"/>
      <c r="C18" s="92"/>
      <c r="D18" s="92" t="s">
        <v>80</v>
      </c>
      <c r="E18" s="92" t="s">
        <v>136</v>
      </c>
      <c r="F18" s="92"/>
      <c r="G18" s="94" t="str">
        <f>IF(F18="","","? Listo")</f>
        <v/>
      </c>
    </row>
    <row r="19" spans="1:7" ht="19.95" customHeight="1" x14ac:dyDescent="0.3">
      <c r="A19" s="92"/>
      <c r="B19" s="92"/>
      <c r="C19" s="92"/>
      <c r="D19" s="92" t="s">
        <v>81</v>
      </c>
      <c r="E19" s="92" t="s">
        <v>136</v>
      </c>
      <c r="F19" s="92" t="s">
        <v>154</v>
      </c>
      <c r="G19" s="94" t="str">
        <f>IF(F19="","","? Listo")</f>
        <v>? Listo</v>
      </c>
    </row>
    <row r="20" spans="1:7" ht="19.95" customHeight="1" x14ac:dyDescent="0.3"/>
    <row r="21" spans="1:7" ht="19.95" customHeight="1" x14ac:dyDescent="0.3">
      <c r="A21" s="89" t="s">
        <v>121</v>
      </c>
      <c r="B21" s="90" t="s">
        <v>121</v>
      </c>
      <c r="C21" s="89" t="s">
        <v>15</v>
      </c>
      <c r="D21" s="89" t="s">
        <v>85</v>
      </c>
      <c r="E21" s="89" t="s">
        <v>135</v>
      </c>
      <c r="F21" s="89" t="s">
        <v>139</v>
      </c>
      <c r="G21" s="91" t="str">
        <f>IF(F21="","","? Listo")</f>
        <v>? Listo</v>
      </c>
    </row>
    <row r="22" spans="1:7" ht="19.95" customHeight="1" x14ac:dyDescent="0.3">
      <c r="A22" s="89"/>
      <c r="B22" s="89"/>
      <c r="C22" s="89"/>
      <c r="D22" s="89" t="s">
        <v>86</v>
      </c>
      <c r="E22" s="89" t="s">
        <v>135</v>
      </c>
      <c r="F22" s="89"/>
      <c r="G22" s="91" t="str">
        <f>IF(F22="","","? Listo")</f>
        <v/>
      </c>
    </row>
    <row r="23" spans="1:7" ht="19.95" customHeight="1" x14ac:dyDescent="0.3">
      <c r="A23" s="89"/>
      <c r="B23" s="89"/>
      <c r="C23" s="89"/>
      <c r="D23" s="89" t="s">
        <v>87</v>
      </c>
      <c r="E23" s="89" t="s">
        <v>135</v>
      </c>
      <c r="F23" s="89"/>
      <c r="G23" s="91" t="str">
        <f>IF(F23="","","? Listo")</f>
        <v/>
      </c>
    </row>
    <row r="24" spans="1:7" ht="19.95" customHeight="1" x14ac:dyDescent="0.3">
      <c r="A24" s="89"/>
      <c r="B24" s="89"/>
      <c r="C24" s="89"/>
      <c r="D24" s="89" t="s">
        <v>88</v>
      </c>
      <c r="E24" s="89" t="s">
        <v>135</v>
      </c>
      <c r="F24" s="89"/>
      <c r="G24" s="91" t="str">
        <f>IF(F24="","","? Listo")</f>
        <v/>
      </c>
    </row>
    <row r="25" spans="1:7" ht="19.95" customHeight="1" x14ac:dyDescent="0.3">
      <c r="A25" s="89"/>
      <c r="B25" s="89"/>
      <c r="C25" s="89"/>
      <c r="D25" s="89" t="s">
        <v>89</v>
      </c>
      <c r="E25" s="89" t="s">
        <v>135</v>
      </c>
      <c r="F25" s="89" t="s">
        <v>148</v>
      </c>
      <c r="G25" s="91" t="str">
        <f>IF(F25="","","? Listo")</f>
        <v>? Listo</v>
      </c>
    </row>
    <row r="26" spans="1:7" ht="19.95" customHeight="1" x14ac:dyDescent="0.3">
      <c r="A26" s="89"/>
      <c r="B26" s="89"/>
      <c r="C26" s="89"/>
      <c r="D26" s="89" t="s">
        <v>80</v>
      </c>
      <c r="E26" s="89" t="s">
        <v>136</v>
      </c>
      <c r="F26" s="89"/>
      <c r="G26" s="91" t="str">
        <f>IF(F26="","","? Listo")</f>
        <v/>
      </c>
    </row>
    <row r="27" spans="1:7" ht="19.95" customHeight="1" x14ac:dyDescent="0.3">
      <c r="A27" s="89"/>
      <c r="B27" s="89"/>
      <c r="C27" s="89"/>
      <c r="D27" s="89" t="s">
        <v>81</v>
      </c>
      <c r="E27" s="89" t="s">
        <v>136</v>
      </c>
      <c r="F27" s="89" t="s">
        <v>150</v>
      </c>
      <c r="G27" s="91" t="str">
        <f>IF(F27="","","? Listo")</f>
        <v>? Listo</v>
      </c>
    </row>
    <row r="28" spans="1:7" ht="19.95" customHeight="1" x14ac:dyDescent="0.3"/>
    <row r="29" spans="1:7" ht="19.95" customHeight="1" x14ac:dyDescent="0.3">
      <c r="A29" s="92" t="s">
        <v>127</v>
      </c>
      <c r="B29" s="93" t="s">
        <v>127</v>
      </c>
      <c r="C29" s="92" t="s">
        <v>14</v>
      </c>
      <c r="D29" s="92" t="s">
        <v>82</v>
      </c>
      <c r="E29" s="92" t="s">
        <v>135</v>
      </c>
      <c r="F29" s="92"/>
      <c r="G29" s="94" t="str">
        <f>IF(F29="","","? Listo")</f>
        <v/>
      </c>
    </row>
    <row r="30" spans="1:7" ht="19.95" customHeight="1" x14ac:dyDescent="0.3">
      <c r="A30" s="92"/>
      <c r="B30" s="92"/>
      <c r="C30" s="92"/>
      <c r="D30" s="92" t="s">
        <v>104</v>
      </c>
      <c r="E30" s="92" t="s">
        <v>135</v>
      </c>
      <c r="F30" s="92"/>
      <c r="G30" s="94" t="str">
        <f>IF(F30="","","? Listo")</f>
        <v/>
      </c>
    </row>
    <row r="31" spans="1:7" ht="19.95" customHeight="1" x14ac:dyDescent="0.3">
      <c r="A31" s="92"/>
      <c r="B31" s="92"/>
      <c r="C31" s="92"/>
      <c r="D31" s="92" t="s">
        <v>83</v>
      </c>
      <c r="E31" s="92" t="s">
        <v>135</v>
      </c>
      <c r="F31" s="92"/>
      <c r="G31" s="94" t="str">
        <f>IF(F31="","","? Listo")</f>
        <v/>
      </c>
    </row>
    <row r="32" spans="1:7" ht="19.95" customHeight="1" x14ac:dyDescent="0.3">
      <c r="A32" s="92"/>
      <c r="B32" s="92"/>
      <c r="C32" s="92"/>
      <c r="D32" s="92" t="s">
        <v>84</v>
      </c>
      <c r="E32" s="92" t="s">
        <v>135</v>
      </c>
      <c r="F32" s="92"/>
      <c r="G32" s="94" t="str">
        <f>IF(F32="","","? Listo")</f>
        <v/>
      </c>
    </row>
    <row r="33" spans="1:7" ht="19.95" customHeight="1" x14ac:dyDescent="0.3">
      <c r="A33" s="92"/>
      <c r="B33" s="92"/>
      <c r="C33" s="92"/>
      <c r="D33" s="92" t="s">
        <v>80</v>
      </c>
      <c r="E33" s="92" t="s">
        <v>136</v>
      </c>
      <c r="F33" s="92"/>
      <c r="G33" s="94" t="str">
        <f>IF(F33="","","? Listo")</f>
        <v/>
      </c>
    </row>
    <row r="34" spans="1:7" ht="19.95" customHeight="1" x14ac:dyDescent="0.3">
      <c r="A34" s="92"/>
      <c r="B34" s="92"/>
      <c r="C34" s="92"/>
      <c r="D34" s="92" t="s">
        <v>81</v>
      </c>
      <c r="E34" s="92" t="s">
        <v>136</v>
      </c>
      <c r="F34" s="92"/>
      <c r="G34" s="94" t="str">
        <f>IF(F34="","","? Listo")</f>
        <v/>
      </c>
    </row>
    <row r="35" spans="1:7" ht="19.95" customHeight="1" x14ac:dyDescent="0.3"/>
    <row r="36" spans="1:7" ht="19.95" customHeight="1" x14ac:dyDescent="0.3">
      <c r="A36" s="89" t="s">
        <v>120</v>
      </c>
      <c r="B36" s="90" t="s">
        <v>120</v>
      </c>
      <c r="C36" s="89" t="s">
        <v>14</v>
      </c>
      <c r="D36" s="89" t="s">
        <v>82</v>
      </c>
      <c r="E36" s="89" t="s">
        <v>135</v>
      </c>
      <c r="F36" s="89" t="s">
        <v>144</v>
      </c>
      <c r="G36" s="91" t="str">
        <f>IF(F36="","","? Listo")</f>
        <v>? Listo</v>
      </c>
    </row>
    <row r="37" spans="1:7" ht="19.95" customHeight="1" x14ac:dyDescent="0.3">
      <c r="A37" s="89"/>
      <c r="B37" s="89"/>
      <c r="C37" s="89"/>
      <c r="D37" s="89" t="s">
        <v>104</v>
      </c>
      <c r="E37" s="89" t="s">
        <v>135</v>
      </c>
      <c r="F37" s="89"/>
      <c r="G37" s="91" t="str">
        <f>IF(F37="","","? Listo")</f>
        <v/>
      </c>
    </row>
    <row r="38" spans="1:7" ht="19.95" customHeight="1" x14ac:dyDescent="0.3">
      <c r="A38" s="89"/>
      <c r="B38" s="89"/>
      <c r="C38" s="89"/>
      <c r="D38" s="89" t="s">
        <v>83</v>
      </c>
      <c r="E38" s="89" t="s">
        <v>135</v>
      </c>
      <c r="F38" s="89" t="s">
        <v>143</v>
      </c>
      <c r="G38" s="91" t="str">
        <f>IF(F38="","","? Listo")</f>
        <v>? Listo</v>
      </c>
    </row>
    <row r="39" spans="1:7" ht="19.95" customHeight="1" x14ac:dyDescent="0.3">
      <c r="A39" s="89"/>
      <c r="B39" s="89"/>
      <c r="C39" s="89"/>
      <c r="D39" s="89" t="s">
        <v>84</v>
      </c>
      <c r="E39" s="89" t="s">
        <v>135</v>
      </c>
      <c r="F39" s="89"/>
      <c r="G39" s="91" t="str">
        <f>IF(F39="","","? Listo")</f>
        <v/>
      </c>
    </row>
    <row r="40" spans="1:7" ht="19.95" customHeight="1" x14ac:dyDescent="0.3">
      <c r="A40" s="89"/>
      <c r="B40" s="89"/>
      <c r="C40" s="89"/>
      <c r="D40" s="89" t="s">
        <v>80</v>
      </c>
      <c r="E40" s="89" t="s">
        <v>136</v>
      </c>
      <c r="F40" s="89" t="s">
        <v>151</v>
      </c>
      <c r="G40" s="91" t="str">
        <f>IF(F40="","","? Listo")</f>
        <v>? Listo</v>
      </c>
    </row>
    <row r="41" spans="1:7" ht="19.95" customHeight="1" x14ac:dyDescent="0.3">
      <c r="A41" s="89"/>
      <c r="B41" s="89"/>
      <c r="C41" s="89"/>
      <c r="D41" s="89" t="s">
        <v>81</v>
      </c>
      <c r="E41" s="89" t="s">
        <v>136</v>
      </c>
      <c r="F41" s="89"/>
      <c r="G41" s="91" t="str">
        <f>IF(F41="","","? Listo")</f>
        <v/>
      </c>
    </row>
    <row r="43" spans="1:7" ht="19.95" customHeight="1" x14ac:dyDescent="0.3">
      <c r="A43" s="92" t="s">
        <v>123</v>
      </c>
      <c r="B43" s="93" t="s">
        <v>123</v>
      </c>
      <c r="C43" s="92" t="s">
        <v>15</v>
      </c>
      <c r="D43" s="92" t="s">
        <v>85</v>
      </c>
      <c r="E43" s="92" t="s">
        <v>135</v>
      </c>
      <c r="F43" s="92" t="s">
        <v>140</v>
      </c>
      <c r="G43" s="94" t="str">
        <f>IF(F43="","","? Listo")</f>
        <v>? Listo</v>
      </c>
    </row>
    <row r="44" spans="1:7" ht="19.95" customHeight="1" x14ac:dyDescent="0.3">
      <c r="A44" s="92"/>
      <c r="B44" s="92"/>
      <c r="C44" s="92"/>
      <c r="D44" s="92" t="s">
        <v>86</v>
      </c>
      <c r="E44" s="92" t="s">
        <v>135</v>
      </c>
      <c r="F44" s="92"/>
      <c r="G44" s="94" t="str">
        <f>IF(F44="","","? Listo")</f>
        <v/>
      </c>
    </row>
    <row r="45" spans="1:7" ht="19.95" customHeight="1" x14ac:dyDescent="0.3">
      <c r="A45" s="92"/>
      <c r="B45" s="92"/>
      <c r="C45" s="92"/>
      <c r="D45" s="92" t="s">
        <v>87</v>
      </c>
      <c r="E45" s="92" t="s">
        <v>135</v>
      </c>
      <c r="F45" s="92"/>
      <c r="G45" s="94" t="str">
        <f>IF(F45="","","? Listo")</f>
        <v/>
      </c>
    </row>
    <row r="46" spans="1:7" ht="19.95" customHeight="1" x14ac:dyDescent="0.3">
      <c r="A46" s="92"/>
      <c r="B46" s="92"/>
      <c r="C46" s="92"/>
      <c r="D46" s="92" t="s">
        <v>88</v>
      </c>
      <c r="E46" s="92" t="s">
        <v>135</v>
      </c>
      <c r="F46" s="92"/>
      <c r="G46" s="94" t="str">
        <f>IF(F46="","","? Listo")</f>
        <v/>
      </c>
    </row>
    <row r="47" spans="1:7" ht="19.95" customHeight="1" x14ac:dyDescent="0.3">
      <c r="A47" s="92"/>
      <c r="B47" s="92"/>
      <c r="C47" s="92"/>
      <c r="D47" s="92" t="s">
        <v>89</v>
      </c>
      <c r="E47" s="92" t="s">
        <v>135</v>
      </c>
      <c r="F47" s="92"/>
      <c r="G47" s="94" t="str">
        <f>IF(F47="","","? Listo")</f>
        <v/>
      </c>
    </row>
    <row r="48" spans="1:7" ht="19.95" customHeight="1" x14ac:dyDescent="0.3">
      <c r="A48" s="92"/>
      <c r="B48" s="92"/>
      <c r="C48" s="92"/>
      <c r="D48" s="92" t="s">
        <v>80</v>
      </c>
      <c r="E48" s="92" t="s">
        <v>136</v>
      </c>
      <c r="F48" s="92"/>
      <c r="G48" s="94" t="str">
        <f>IF(F48="","","? Listo")</f>
        <v/>
      </c>
    </row>
    <row r="49" spans="1:7" ht="19.95" customHeight="1" x14ac:dyDescent="0.3">
      <c r="A49" s="92"/>
      <c r="B49" s="92"/>
      <c r="C49" s="92"/>
      <c r="D49" s="92" t="s">
        <v>81</v>
      </c>
      <c r="E49" s="92" t="s">
        <v>136</v>
      </c>
      <c r="F49" s="92" t="s">
        <v>146</v>
      </c>
      <c r="G49" s="94" t="str">
        <f>IF(F49="","","? Listo")</f>
        <v>? Listo</v>
      </c>
    </row>
    <row r="50" spans="1:7" ht="19.95" customHeight="1" x14ac:dyDescent="0.3"/>
    <row r="51" spans="1:7" ht="19.95" customHeight="1" x14ac:dyDescent="0.3">
      <c r="A51" s="89" t="s">
        <v>126</v>
      </c>
      <c r="B51" s="90" t="s">
        <v>126</v>
      </c>
      <c r="C51" s="89" t="s">
        <v>13</v>
      </c>
      <c r="D51" s="89" t="s">
        <v>80</v>
      </c>
      <c r="E51" s="89" t="s">
        <v>136</v>
      </c>
      <c r="F51" s="89" t="s">
        <v>147</v>
      </c>
      <c r="G51" s="91" t="str">
        <f>IF(F51="","","? Listo")</f>
        <v>? Listo</v>
      </c>
    </row>
    <row r="52" spans="1:7" ht="19.95" customHeight="1" x14ac:dyDescent="0.3">
      <c r="A52" s="89"/>
      <c r="B52" s="89"/>
      <c r="C52" s="89"/>
      <c r="D52" s="89" t="s">
        <v>81</v>
      </c>
      <c r="E52" s="89" t="s">
        <v>136</v>
      </c>
      <c r="F52" s="89"/>
      <c r="G52" s="91" t="str">
        <f>IF(F52="","","? Listo")</f>
        <v/>
      </c>
    </row>
    <row r="53" spans="1:7" ht="19.95" customHeight="1" x14ac:dyDescent="0.3">
      <c r="A53" s="89"/>
      <c r="B53" s="89"/>
      <c r="C53" s="89"/>
      <c r="D53" s="89" t="s">
        <v>137</v>
      </c>
      <c r="E53" s="89" t="s">
        <v>136</v>
      </c>
      <c r="F53" s="89"/>
      <c r="G53" s="91" t="str">
        <f>IF(F53="","","? Listo")</f>
        <v/>
      </c>
    </row>
    <row r="54" spans="1:7" ht="19.95" customHeight="1" x14ac:dyDescent="0.3"/>
    <row r="55" spans="1:7" ht="19.95" customHeight="1" x14ac:dyDescent="0.3">
      <c r="A55" s="92" t="s">
        <v>128</v>
      </c>
      <c r="B55" s="93" t="s">
        <v>128</v>
      </c>
      <c r="C55" s="92" t="s">
        <v>13</v>
      </c>
      <c r="D55" s="92" t="s">
        <v>80</v>
      </c>
      <c r="E55" s="92" t="s">
        <v>136</v>
      </c>
      <c r="F55" s="92"/>
      <c r="G55" s="94" t="str">
        <f>IF(F55="","","? Listo")</f>
        <v/>
      </c>
    </row>
    <row r="56" spans="1:7" ht="19.95" customHeight="1" x14ac:dyDescent="0.3">
      <c r="A56" s="92"/>
      <c r="B56" s="92"/>
      <c r="C56" s="92"/>
      <c r="D56" s="92" t="s">
        <v>81</v>
      </c>
      <c r="E56" s="92" t="s">
        <v>136</v>
      </c>
      <c r="F56" s="92"/>
      <c r="G56" s="94" t="str">
        <f>IF(F56="","","? Listo")</f>
        <v/>
      </c>
    </row>
    <row r="57" spans="1:7" ht="19.95" customHeight="1" x14ac:dyDescent="0.3">
      <c r="A57" s="92"/>
      <c r="B57" s="92"/>
      <c r="C57" s="92"/>
      <c r="D57" s="92" t="s">
        <v>137</v>
      </c>
      <c r="E57" s="92" t="s">
        <v>136</v>
      </c>
      <c r="F57" s="92"/>
      <c r="G57" s="94" t="str">
        <f>IF(F57="","","? Listo")</f>
        <v/>
      </c>
    </row>
    <row r="58" spans="1:7" ht="19.95" customHeight="1" x14ac:dyDescent="0.3"/>
    <row r="59" spans="1:7" ht="19.95" customHeight="1" x14ac:dyDescent="0.3">
      <c r="A59" s="89" t="s">
        <v>117</v>
      </c>
      <c r="B59" s="90" t="s">
        <v>117</v>
      </c>
      <c r="C59" s="89" t="s">
        <v>17</v>
      </c>
      <c r="D59" s="89" t="s">
        <v>85</v>
      </c>
      <c r="E59" s="89" t="s">
        <v>135</v>
      </c>
      <c r="F59" s="89"/>
      <c r="G59" s="91" t="str">
        <f>IF(F59="","","? Listo")</f>
        <v/>
      </c>
    </row>
    <row r="60" spans="1:7" ht="19.95" customHeight="1" x14ac:dyDescent="0.3">
      <c r="A60" s="89"/>
      <c r="B60" s="89"/>
      <c r="C60" s="89"/>
      <c r="D60" s="89" t="s">
        <v>86</v>
      </c>
      <c r="E60" s="89" t="s">
        <v>135</v>
      </c>
      <c r="F60" s="89"/>
      <c r="G60" s="91" t="str">
        <f>IF(F60="","","? Listo")</f>
        <v/>
      </c>
    </row>
    <row r="61" spans="1:7" ht="19.95" customHeight="1" x14ac:dyDescent="0.3">
      <c r="A61" s="89"/>
      <c r="B61" s="89"/>
      <c r="C61" s="89"/>
      <c r="D61" s="89" t="s">
        <v>87</v>
      </c>
      <c r="E61" s="89" t="s">
        <v>135</v>
      </c>
      <c r="F61" s="89"/>
      <c r="G61" s="91" t="str">
        <f>IF(F61="","","? Listo")</f>
        <v/>
      </c>
    </row>
    <row r="62" spans="1:7" ht="19.95" customHeight="1" x14ac:dyDescent="0.3">
      <c r="A62" s="89"/>
      <c r="B62" s="89"/>
      <c r="C62" s="89"/>
      <c r="D62" s="89" t="s">
        <v>88</v>
      </c>
      <c r="E62" s="89" t="s">
        <v>135</v>
      </c>
      <c r="F62" s="89"/>
      <c r="G62" s="91" t="str">
        <f>IF(F62="","","? Listo")</f>
        <v/>
      </c>
    </row>
    <row r="63" spans="1:7" ht="19.95" customHeight="1" x14ac:dyDescent="0.3">
      <c r="A63" s="89"/>
      <c r="B63" s="89"/>
      <c r="C63" s="89"/>
      <c r="D63" s="89" t="s">
        <v>90</v>
      </c>
      <c r="E63" s="89" t="s">
        <v>135</v>
      </c>
      <c r="F63" s="89"/>
      <c r="G63" s="91" t="str">
        <f>IF(F63="","","? Listo")</f>
        <v/>
      </c>
    </row>
    <row r="64" spans="1:7" ht="19.95" customHeight="1" x14ac:dyDescent="0.3">
      <c r="A64" s="89"/>
      <c r="B64" s="89"/>
      <c r="C64" s="89"/>
      <c r="D64" s="89" t="s">
        <v>91</v>
      </c>
      <c r="E64" s="89" t="s">
        <v>135</v>
      </c>
      <c r="F64" s="89"/>
      <c r="G64" s="91" t="str">
        <f>IF(F64="","","? Listo")</f>
        <v/>
      </c>
    </row>
    <row r="65" spans="1:7" ht="19.95" customHeight="1" x14ac:dyDescent="0.3">
      <c r="A65" s="89"/>
      <c r="B65" s="89"/>
      <c r="C65" s="89"/>
      <c r="D65" s="89" t="s">
        <v>80</v>
      </c>
      <c r="E65" s="89" t="s">
        <v>136</v>
      </c>
      <c r="F65" s="89"/>
      <c r="G65" s="91" t="str">
        <f>IF(F65="","","? Listo")</f>
        <v/>
      </c>
    </row>
    <row r="66" spans="1:7" ht="19.95" customHeight="1" x14ac:dyDescent="0.3">
      <c r="A66" s="89"/>
      <c r="B66" s="89"/>
      <c r="C66" s="89"/>
      <c r="D66" s="89" t="s">
        <v>81</v>
      </c>
      <c r="E66" s="89" t="s">
        <v>136</v>
      </c>
      <c r="F66" s="89"/>
      <c r="G66" s="91" t="str">
        <f>IF(F66="","","? Listo")</f>
        <v/>
      </c>
    </row>
    <row r="67" spans="1:7" ht="19.95" customHeight="1" x14ac:dyDescent="0.3"/>
    <row r="68" spans="1:7" ht="19.95" customHeight="1" x14ac:dyDescent="0.3">
      <c r="A68" s="92" t="s">
        <v>129</v>
      </c>
      <c r="B68" s="93" t="s">
        <v>129</v>
      </c>
      <c r="C68" s="92" t="s">
        <v>14</v>
      </c>
      <c r="D68" s="92" t="s">
        <v>82</v>
      </c>
      <c r="E68" s="92" t="s">
        <v>135</v>
      </c>
      <c r="F68" s="92"/>
      <c r="G68" s="94" t="str">
        <f>IF(F68="","","? Listo")</f>
        <v/>
      </c>
    </row>
    <row r="69" spans="1:7" ht="19.95" customHeight="1" x14ac:dyDescent="0.3">
      <c r="A69" s="92"/>
      <c r="B69" s="92"/>
      <c r="C69" s="92"/>
      <c r="D69" s="92" t="s">
        <v>104</v>
      </c>
      <c r="E69" s="92" t="s">
        <v>135</v>
      </c>
      <c r="F69" s="92"/>
      <c r="G69" s="94" t="str">
        <f>IF(F69="","","? Listo")</f>
        <v/>
      </c>
    </row>
    <row r="70" spans="1:7" ht="19.95" customHeight="1" x14ac:dyDescent="0.3">
      <c r="A70" s="92"/>
      <c r="B70" s="92"/>
      <c r="C70" s="92"/>
      <c r="D70" s="92" t="s">
        <v>83</v>
      </c>
      <c r="E70" s="92" t="s">
        <v>135</v>
      </c>
      <c r="F70" s="92"/>
      <c r="G70" s="94" t="str">
        <f>IF(F70="","","? Listo")</f>
        <v/>
      </c>
    </row>
    <row r="71" spans="1:7" ht="19.95" customHeight="1" x14ac:dyDescent="0.3">
      <c r="A71" s="92"/>
      <c r="B71" s="92"/>
      <c r="C71" s="92"/>
      <c r="D71" s="92" t="s">
        <v>84</v>
      </c>
      <c r="E71" s="92" t="s">
        <v>135</v>
      </c>
      <c r="F71" s="92"/>
      <c r="G71" s="94" t="str">
        <f>IF(F71="","","? Listo")</f>
        <v/>
      </c>
    </row>
    <row r="72" spans="1:7" ht="19.95" customHeight="1" x14ac:dyDescent="0.3">
      <c r="A72" s="92"/>
      <c r="B72" s="92"/>
      <c r="C72" s="92"/>
      <c r="D72" s="92" t="s">
        <v>80</v>
      </c>
      <c r="E72" s="92" t="s">
        <v>136</v>
      </c>
      <c r="F72" s="92"/>
      <c r="G72" s="94" t="str">
        <f>IF(F72="","","? Listo")</f>
        <v/>
      </c>
    </row>
    <row r="73" spans="1:7" ht="19.95" customHeight="1" x14ac:dyDescent="0.3">
      <c r="A73" s="92"/>
      <c r="B73" s="92"/>
      <c r="C73" s="92"/>
      <c r="D73" s="92" t="s">
        <v>81</v>
      </c>
      <c r="E73" s="92" t="s">
        <v>136</v>
      </c>
      <c r="F73" s="92"/>
      <c r="G73" s="94" t="str">
        <f>IF(F73="","","? Listo")</f>
        <v/>
      </c>
    </row>
    <row r="75" spans="1:7" ht="19.95" customHeight="1" x14ac:dyDescent="0.3">
      <c r="A75" s="89" t="s">
        <v>118</v>
      </c>
      <c r="B75" s="90" t="s">
        <v>118</v>
      </c>
      <c r="C75" s="89" t="s">
        <v>14</v>
      </c>
      <c r="D75" s="89" t="s">
        <v>82</v>
      </c>
      <c r="E75" s="89" t="s">
        <v>135</v>
      </c>
      <c r="F75" s="89"/>
      <c r="G75" s="91" t="str">
        <f>IF(F75="","","? Listo")</f>
        <v/>
      </c>
    </row>
    <row r="76" spans="1:7" ht="19.95" customHeight="1" x14ac:dyDescent="0.3">
      <c r="A76" s="89"/>
      <c r="B76" s="89"/>
      <c r="C76" s="89"/>
      <c r="D76" s="89" t="s">
        <v>104</v>
      </c>
      <c r="E76" s="89" t="s">
        <v>135</v>
      </c>
      <c r="F76" s="89"/>
      <c r="G76" s="91" t="str">
        <f>IF(F76="","","? Listo")</f>
        <v/>
      </c>
    </row>
    <row r="77" spans="1:7" ht="19.95" customHeight="1" x14ac:dyDescent="0.3">
      <c r="A77" s="89"/>
      <c r="B77" s="89"/>
      <c r="C77" s="89"/>
      <c r="D77" s="89" t="s">
        <v>83</v>
      </c>
      <c r="E77" s="89" t="s">
        <v>135</v>
      </c>
      <c r="F77" s="89"/>
      <c r="G77" s="91" t="str">
        <f>IF(F77="","","? Listo")</f>
        <v/>
      </c>
    </row>
    <row r="78" spans="1:7" ht="19.95" customHeight="1" x14ac:dyDescent="0.3">
      <c r="A78" s="89"/>
      <c r="B78" s="89"/>
      <c r="C78" s="89"/>
      <c r="D78" s="89" t="s">
        <v>84</v>
      </c>
      <c r="E78" s="89" t="s">
        <v>135</v>
      </c>
      <c r="F78" s="89"/>
      <c r="G78" s="91" t="str">
        <f>IF(F78="","","? Listo")</f>
        <v/>
      </c>
    </row>
    <row r="79" spans="1:7" ht="19.95" customHeight="1" x14ac:dyDescent="0.3">
      <c r="A79" s="89"/>
      <c r="B79" s="89"/>
      <c r="C79" s="89"/>
      <c r="D79" s="89" t="s">
        <v>80</v>
      </c>
      <c r="E79" s="89" t="s">
        <v>136</v>
      </c>
      <c r="F79" s="89"/>
      <c r="G79" s="91" t="str">
        <f>IF(F79="","","? Listo")</f>
        <v/>
      </c>
    </row>
    <row r="80" spans="1:7" ht="19.95" customHeight="1" x14ac:dyDescent="0.3">
      <c r="A80" s="89"/>
      <c r="B80" s="89"/>
      <c r="C80" s="89"/>
      <c r="D80" s="89" t="s">
        <v>81</v>
      </c>
      <c r="E80" s="89" t="s">
        <v>136</v>
      </c>
      <c r="F80" s="89"/>
      <c r="G80" s="91" t="str">
        <f>IF(F80="","","? Listo")</f>
        <v/>
      </c>
    </row>
    <row r="82" spans="1:7" ht="19.95" customHeight="1" x14ac:dyDescent="0.3">
      <c r="A82" s="92" t="s">
        <v>122</v>
      </c>
      <c r="B82" s="93" t="s">
        <v>122</v>
      </c>
      <c r="C82" s="92" t="s">
        <v>15</v>
      </c>
      <c r="D82" s="92" t="s">
        <v>85</v>
      </c>
      <c r="E82" s="92" t="s">
        <v>135</v>
      </c>
      <c r="F82" s="92" t="s">
        <v>138</v>
      </c>
      <c r="G82" s="94" t="str">
        <f>IF(F82="","","? Listo")</f>
        <v>? Listo</v>
      </c>
    </row>
    <row r="83" spans="1:7" ht="19.95" customHeight="1" x14ac:dyDescent="0.3">
      <c r="A83" s="92"/>
      <c r="B83" s="92"/>
      <c r="C83" s="92"/>
      <c r="D83" s="92" t="s">
        <v>86</v>
      </c>
      <c r="E83" s="92" t="s">
        <v>135</v>
      </c>
      <c r="F83" s="92"/>
      <c r="G83" s="94" t="str">
        <f>IF(F83="","","? Listo")</f>
        <v/>
      </c>
    </row>
    <row r="84" spans="1:7" ht="19.95" customHeight="1" x14ac:dyDescent="0.3">
      <c r="A84" s="92"/>
      <c r="B84" s="92"/>
      <c r="C84" s="92"/>
      <c r="D84" s="92" t="s">
        <v>87</v>
      </c>
      <c r="E84" s="92" t="s">
        <v>135</v>
      </c>
      <c r="F84" s="92"/>
      <c r="G84" s="94" t="str">
        <f>IF(F84="","","? Listo")</f>
        <v/>
      </c>
    </row>
    <row r="85" spans="1:7" ht="19.95" customHeight="1" x14ac:dyDescent="0.3">
      <c r="A85" s="92"/>
      <c r="B85" s="92"/>
      <c r="C85" s="92"/>
      <c r="D85" s="92" t="s">
        <v>88</v>
      </c>
      <c r="E85" s="92" t="s">
        <v>135</v>
      </c>
      <c r="F85" s="92"/>
      <c r="G85" s="94" t="str">
        <f>IF(F85="","","? Listo")</f>
        <v/>
      </c>
    </row>
    <row r="86" spans="1:7" ht="19.95" customHeight="1" x14ac:dyDescent="0.3">
      <c r="A86" s="92"/>
      <c r="B86" s="92"/>
      <c r="C86" s="92"/>
      <c r="D86" s="92" t="s">
        <v>89</v>
      </c>
      <c r="E86" s="92" t="s">
        <v>135</v>
      </c>
      <c r="F86" s="92"/>
      <c r="G86" s="94" t="str">
        <f>IF(F86="","","? Listo")</f>
        <v/>
      </c>
    </row>
    <row r="87" spans="1:7" ht="19.95" customHeight="1" x14ac:dyDescent="0.3">
      <c r="A87" s="92"/>
      <c r="B87" s="92"/>
      <c r="C87" s="92"/>
      <c r="D87" s="92" t="s">
        <v>80</v>
      </c>
      <c r="E87" s="92" t="s">
        <v>136</v>
      </c>
      <c r="F87" s="92"/>
      <c r="G87" s="94" t="str">
        <f>IF(F87="","","? Listo")</f>
        <v/>
      </c>
    </row>
    <row r="88" spans="1:7" ht="19.95" customHeight="1" x14ac:dyDescent="0.3">
      <c r="A88" s="92"/>
      <c r="B88" s="92"/>
      <c r="C88" s="92"/>
      <c r="D88" s="92" t="s">
        <v>81</v>
      </c>
      <c r="E88" s="92" t="s">
        <v>136</v>
      </c>
      <c r="F88" s="92" t="s">
        <v>145</v>
      </c>
      <c r="G88" s="94" t="str">
        <f>IF(F88="","","? Listo")</f>
        <v>? Listo</v>
      </c>
    </row>
  </sheetData>
  <mergeCells count="2">
    <mergeCell ref="A1:G1"/>
    <mergeCell ref="A2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</vt:lpstr>
      <vt:lpstr>DBANF</vt:lpstr>
      <vt:lpstr>EXPORTAR</vt:lpstr>
      <vt:lpstr>VIDEOS_DBANF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2026-05-25T19:28:07Z</dcterms:modified>
</cp:coreProperties>
</file>