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33409C88-AC4C-445F-964D-EAC8F167C2EC}" xr6:coauthVersionLast="47" xr6:coauthVersionMax="47" xr10:uidLastSave="{00000000-0000-0000-0000-000000000000}"/>
  <bookViews>
    <workbookView xWindow="-108" yWindow="-108" windowWidth="23256" windowHeight="13896" firstSheet="1" activeTab="5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  <sheet name="CASLA_PLANTEL" sheetId="11" r:id="rId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30" i="10" l="1"/>
  <c r="AG130" i="10"/>
  <c r="AH130" i="10"/>
  <c r="BB144" i="10"/>
  <c r="BA144" i="10"/>
  <c r="AZ144" i="10"/>
  <c r="AY144" i="10"/>
  <c r="AW144" i="10"/>
  <c r="AV144" i="10"/>
  <c r="AU144" i="10"/>
  <c r="AT144" i="10"/>
  <c r="AX144" i="10" s="1"/>
  <c r="AR144" i="10"/>
  <c r="AQ144" i="10"/>
  <c r="AP144" i="10"/>
  <c r="AO144" i="10"/>
  <c r="AM144" i="10"/>
  <c r="AL144" i="10"/>
  <c r="AK144" i="10"/>
  <c r="AJ144" i="10"/>
  <c r="AH144" i="10"/>
  <c r="AG144" i="10"/>
  <c r="AF144" i="10"/>
  <c r="AE144" i="10"/>
  <c r="AC144" i="10"/>
  <c r="AB144" i="10"/>
  <c r="AA144" i="10"/>
  <c r="Z144" i="10"/>
  <c r="X144" i="10"/>
  <c r="W144" i="10"/>
  <c r="V144" i="10"/>
  <c r="U144" i="10"/>
  <c r="S144" i="10"/>
  <c r="R144" i="10"/>
  <c r="Q144" i="10"/>
  <c r="O144" i="10"/>
  <c r="N144" i="10"/>
  <c r="P144" i="10" s="1"/>
  <c r="L144" i="10"/>
  <c r="K144" i="10"/>
  <c r="J144" i="10"/>
  <c r="I144" i="10"/>
  <c r="H144" i="10"/>
  <c r="F144" i="10"/>
  <c r="E144" i="10"/>
  <c r="D144" i="10"/>
  <c r="C144" i="10"/>
  <c r="B144" i="10"/>
  <c r="G144" i="10" s="1"/>
  <c r="A144" i="10"/>
  <c r="BB143" i="10"/>
  <c r="BA143" i="10"/>
  <c r="AZ143" i="10"/>
  <c r="AY143" i="10"/>
  <c r="BC143" i="10" s="1"/>
  <c r="AW143" i="10"/>
  <c r="AV143" i="10"/>
  <c r="AU143" i="10"/>
  <c r="AT143" i="10"/>
  <c r="AR143" i="10"/>
  <c r="AQ143" i="10"/>
  <c r="AP143" i="10"/>
  <c r="AO143" i="10"/>
  <c r="AS143" i="10" s="1"/>
  <c r="AM143" i="10"/>
  <c r="AL143" i="10"/>
  <c r="AK143" i="10"/>
  <c r="AJ143" i="10"/>
  <c r="AH143" i="10"/>
  <c r="AG143" i="10"/>
  <c r="AF143" i="10"/>
  <c r="AE143" i="10"/>
  <c r="AC143" i="10"/>
  <c r="AB143" i="10"/>
  <c r="AA143" i="10"/>
  <c r="Z143" i="10"/>
  <c r="X143" i="10"/>
  <c r="W143" i="10"/>
  <c r="V143" i="10"/>
  <c r="U143" i="10"/>
  <c r="Y143" i="10" s="1"/>
  <c r="S143" i="10"/>
  <c r="T143" i="10" s="1"/>
  <c r="R143" i="10"/>
  <c r="Q143" i="10"/>
  <c r="O143" i="10"/>
  <c r="N143" i="10"/>
  <c r="L143" i="10"/>
  <c r="K143" i="10"/>
  <c r="J143" i="10"/>
  <c r="I143" i="10"/>
  <c r="H143" i="10"/>
  <c r="M143" i="10" s="1"/>
  <c r="F143" i="10"/>
  <c r="E143" i="10"/>
  <c r="D143" i="10"/>
  <c r="G143" i="10" s="1"/>
  <c r="C143" i="10"/>
  <c r="B143" i="10"/>
  <c r="A143" i="10"/>
  <c r="BB142" i="10"/>
  <c r="BA142" i="10"/>
  <c r="AZ142" i="10"/>
  <c r="AY142" i="10"/>
  <c r="BC142" i="10" s="1"/>
  <c r="AW142" i="10"/>
  <c r="AV142" i="10"/>
  <c r="AU142" i="10"/>
  <c r="AT142" i="10"/>
  <c r="AX142" i="10" s="1"/>
  <c r="AR142" i="10"/>
  <c r="AQ142" i="10"/>
  <c r="AP142" i="10"/>
  <c r="AO142" i="10"/>
  <c r="AM142" i="10"/>
  <c r="AL142" i="10"/>
  <c r="AK142" i="10"/>
  <c r="AJ142" i="10"/>
  <c r="AN142" i="10" s="1"/>
  <c r="AH142" i="10"/>
  <c r="AG142" i="10"/>
  <c r="AF142" i="10"/>
  <c r="AE142" i="10"/>
  <c r="AC142" i="10"/>
  <c r="AB142" i="10"/>
  <c r="AA142" i="10"/>
  <c r="Z142" i="10"/>
  <c r="X142" i="10"/>
  <c r="W142" i="10"/>
  <c r="V142" i="10"/>
  <c r="U142" i="10"/>
  <c r="S142" i="10"/>
  <c r="R142" i="10"/>
  <c r="Q142" i="10"/>
  <c r="O142" i="10"/>
  <c r="N142" i="10"/>
  <c r="P142" i="10" s="1"/>
  <c r="L142" i="10"/>
  <c r="K142" i="10"/>
  <c r="J142" i="10"/>
  <c r="I142" i="10"/>
  <c r="H142" i="10"/>
  <c r="F142" i="10"/>
  <c r="E142" i="10"/>
  <c r="D142" i="10"/>
  <c r="C142" i="10"/>
  <c r="B142" i="10"/>
  <c r="A142" i="10"/>
  <c r="BB141" i="10"/>
  <c r="BA141" i="10"/>
  <c r="AZ141" i="10"/>
  <c r="AY141" i="10"/>
  <c r="AW141" i="10"/>
  <c r="AV141" i="10"/>
  <c r="AU141" i="10"/>
  <c r="AT141" i="10"/>
  <c r="AX141" i="10" s="1"/>
  <c r="AR141" i="10"/>
  <c r="AQ141" i="10"/>
  <c r="AP141" i="10"/>
  <c r="AO141" i="10"/>
  <c r="AS141" i="10" s="1"/>
  <c r="AM141" i="10"/>
  <c r="AL141" i="10"/>
  <c r="AK141" i="10"/>
  <c r="AJ141" i="10"/>
  <c r="AH141" i="10"/>
  <c r="AG141" i="10"/>
  <c r="AF141" i="10"/>
  <c r="AE141" i="10"/>
  <c r="AI141" i="10" s="1"/>
  <c r="AC141" i="10"/>
  <c r="AB141" i="10"/>
  <c r="AA141" i="10"/>
  <c r="Z141" i="10"/>
  <c r="X141" i="10"/>
  <c r="W141" i="10"/>
  <c r="V141" i="10"/>
  <c r="U141" i="10"/>
  <c r="S141" i="10"/>
  <c r="R141" i="10"/>
  <c r="Q141" i="10"/>
  <c r="O141" i="10"/>
  <c r="N141" i="10"/>
  <c r="L141" i="10"/>
  <c r="K141" i="10"/>
  <c r="J141" i="10"/>
  <c r="I141" i="10"/>
  <c r="H141" i="10"/>
  <c r="F141" i="10"/>
  <c r="E141" i="10"/>
  <c r="D141" i="10"/>
  <c r="C141" i="10"/>
  <c r="B141" i="10"/>
  <c r="A141" i="10"/>
  <c r="BB140" i="10"/>
  <c r="BA140" i="10"/>
  <c r="AZ140" i="10"/>
  <c r="AY140" i="10"/>
  <c r="BC140" i="10" s="1"/>
  <c r="AW140" i="10"/>
  <c r="AV140" i="10"/>
  <c r="AU140" i="10"/>
  <c r="AT140" i="10"/>
  <c r="AR140" i="10"/>
  <c r="AQ140" i="10"/>
  <c r="AP140" i="10"/>
  <c r="AO140" i="10"/>
  <c r="AS140" i="10" s="1"/>
  <c r="AM140" i="10"/>
  <c r="AL140" i="10"/>
  <c r="AK140" i="10"/>
  <c r="AJ140" i="10"/>
  <c r="AN140" i="10" s="1"/>
  <c r="AH140" i="10"/>
  <c r="AG140" i="10"/>
  <c r="AF140" i="10"/>
  <c r="AE140" i="10"/>
  <c r="AC140" i="10"/>
  <c r="AB140" i="10"/>
  <c r="AA140" i="10"/>
  <c r="Z140" i="10"/>
  <c r="AD140" i="10" s="1"/>
  <c r="X140" i="10"/>
  <c r="W140" i="10"/>
  <c r="V140" i="10"/>
  <c r="U140" i="10"/>
  <c r="S140" i="10"/>
  <c r="R140" i="10"/>
  <c r="Q140" i="10"/>
  <c r="O140" i="10"/>
  <c r="N140" i="10"/>
  <c r="L140" i="10"/>
  <c r="K140" i="10"/>
  <c r="J140" i="10"/>
  <c r="I140" i="10"/>
  <c r="H140" i="10"/>
  <c r="F140" i="10"/>
  <c r="E140" i="10"/>
  <c r="D140" i="10"/>
  <c r="C140" i="10"/>
  <c r="B140" i="10"/>
  <c r="A140" i="10"/>
  <c r="BB139" i="10"/>
  <c r="BA139" i="10"/>
  <c r="AZ139" i="10"/>
  <c r="AY139" i="10"/>
  <c r="BC139" i="10" s="1"/>
  <c r="AW139" i="10"/>
  <c r="AV139" i="10"/>
  <c r="AU139" i="10"/>
  <c r="AT139" i="10"/>
  <c r="AX139" i="10" s="1"/>
  <c r="AR139" i="10"/>
  <c r="AQ139" i="10"/>
  <c r="AP139" i="10"/>
  <c r="AO139" i="10"/>
  <c r="AM139" i="10"/>
  <c r="AL139" i="10"/>
  <c r="AK139" i="10"/>
  <c r="AJ139" i="10"/>
  <c r="AN139" i="10" s="1"/>
  <c r="AH139" i="10"/>
  <c r="AG139" i="10"/>
  <c r="AF139" i="10"/>
  <c r="AE139" i="10"/>
  <c r="AI139" i="10" s="1"/>
  <c r="AC139" i="10"/>
  <c r="AB139" i="10"/>
  <c r="AA139" i="10"/>
  <c r="Z139" i="10"/>
  <c r="AD139" i="10" s="1"/>
  <c r="X139" i="10"/>
  <c r="W139" i="10"/>
  <c r="V139" i="10"/>
  <c r="U139" i="10"/>
  <c r="Y139" i="10" s="1"/>
  <c r="S139" i="10"/>
  <c r="T139" i="10" s="1"/>
  <c r="R139" i="10"/>
  <c r="Q139" i="10"/>
  <c r="O139" i="10"/>
  <c r="N139" i="10"/>
  <c r="L139" i="10"/>
  <c r="K139" i="10"/>
  <c r="J139" i="10"/>
  <c r="I139" i="10"/>
  <c r="H139" i="10"/>
  <c r="M139" i="10" s="1"/>
  <c r="F139" i="10"/>
  <c r="E139" i="10"/>
  <c r="D139" i="10"/>
  <c r="C139" i="10"/>
  <c r="B139" i="10"/>
  <c r="G139" i="10" s="1"/>
  <c r="A139" i="10"/>
  <c r="BB138" i="10"/>
  <c r="BA138" i="10"/>
  <c r="AZ138" i="10"/>
  <c r="AY138" i="10"/>
  <c r="BC138" i="10" s="1"/>
  <c r="AW138" i="10"/>
  <c r="AV138" i="10"/>
  <c r="AU138" i="10"/>
  <c r="AT138" i="10"/>
  <c r="AX138" i="10" s="1"/>
  <c r="AR138" i="10"/>
  <c r="AQ138" i="10"/>
  <c r="AP138" i="10"/>
  <c r="AO138" i="10"/>
  <c r="AM138" i="10"/>
  <c r="AL138" i="10"/>
  <c r="AK138" i="10"/>
  <c r="AJ138" i="10"/>
  <c r="AH138" i="10"/>
  <c r="AG138" i="10"/>
  <c r="AF138" i="10"/>
  <c r="AE138" i="10"/>
  <c r="AC138" i="10"/>
  <c r="AB138" i="10"/>
  <c r="AA138" i="10"/>
  <c r="Z138" i="10"/>
  <c r="X138" i="10"/>
  <c r="W138" i="10"/>
  <c r="V138" i="10"/>
  <c r="U138" i="10"/>
  <c r="Y138" i="10" s="1"/>
  <c r="S138" i="10"/>
  <c r="R138" i="10"/>
  <c r="Q138" i="10"/>
  <c r="O138" i="10"/>
  <c r="N138" i="10"/>
  <c r="P138" i="10" s="1"/>
  <c r="L138" i="10"/>
  <c r="K138" i="10"/>
  <c r="J138" i="10"/>
  <c r="I138" i="10"/>
  <c r="H138" i="10"/>
  <c r="F138" i="10"/>
  <c r="E138" i="10"/>
  <c r="D138" i="10"/>
  <c r="C138" i="10"/>
  <c r="B138" i="10"/>
  <c r="G138" i="10" s="1"/>
  <c r="A138" i="10"/>
  <c r="BB137" i="10"/>
  <c r="BA137" i="10"/>
  <c r="AZ137" i="10"/>
  <c r="AY137" i="10"/>
  <c r="AW137" i="10"/>
  <c r="AV137" i="10"/>
  <c r="AU137" i="10"/>
  <c r="AT137" i="10"/>
  <c r="AX137" i="10" s="1"/>
  <c r="AR137" i="10"/>
  <c r="AQ137" i="10"/>
  <c r="AP137" i="10"/>
  <c r="AO137" i="10"/>
  <c r="AS137" i="10" s="1"/>
  <c r="AM137" i="10"/>
  <c r="AL137" i="10"/>
  <c r="AK137" i="10"/>
  <c r="AJ137" i="10"/>
  <c r="AH137" i="10"/>
  <c r="AG137" i="10"/>
  <c r="AF137" i="10"/>
  <c r="AE137" i="10"/>
  <c r="AC137" i="10"/>
  <c r="AB137" i="10"/>
  <c r="AA137" i="10"/>
  <c r="Z137" i="10"/>
  <c r="AD137" i="10" s="1"/>
  <c r="X137" i="10"/>
  <c r="W137" i="10"/>
  <c r="V137" i="10"/>
  <c r="U137" i="10"/>
  <c r="S137" i="10"/>
  <c r="R137" i="10"/>
  <c r="Q137" i="10"/>
  <c r="O137" i="10"/>
  <c r="N137" i="10"/>
  <c r="T137" i="10" s="1"/>
  <c r="L137" i="10"/>
  <c r="K137" i="10"/>
  <c r="J137" i="10"/>
  <c r="I137" i="10"/>
  <c r="M137" i="10" s="1"/>
  <c r="H137" i="10"/>
  <c r="F137" i="10"/>
  <c r="E137" i="10"/>
  <c r="D137" i="10"/>
  <c r="C137" i="10"/>
  <c r="B137" i="10"/>
  <c r="G137" i="10" s="1"/>
  <c r="A137" i="10"/>
  <c r="BB136" i="10"/>
  <c r="BA136" i="10"/>
  <c r="AZ136" i="10"/>
  <c r="AY136" i="10"/>
  <c r="AW136" i="10"/>
  <c r="AV136" i="10"/>
  <c r="AU136" i="10"/>
  <c r="AT136" i="10"/>
  <c r="AR136" i="10"/>
  <c r="AQ136" i="10"/>
  <c r="AP136" i="10"/>
  <c r="AO136" i="10"/>
  <c r="AS136" i="10" s="1"/>
  <c r="AM136" i="10"/>
  <c r="AL136" i="10"/>
  <c r="AK136" i="10"/>
  <c r="AJ136" i="10"/>
  <c r="AN136" i="10" s="1"/>
  <c r="AH136" i="10"/>
  <c r="AG136" i="10"/>
  <c r="AF136" i="10"/>
  <c r="AE136" i="10"/>
  <c r="AI136" i="10" s="1"/>
  <c r="AC136" i="10"/>
  <c r="AB136" i="10"/>
  <c r="AA136" i="10"/>
  <c r="Z136" i="10"/>
  <c r="X136" i="10"/>
  <c r="W136" i="10"/>
  <c r="V136" i="10"/>
  <c r="U136" i="10"/>
  <c r="Y136" i="10" s="1"/>
  <c r="S136" i="10"/>
  <c r="R136" i="10"/>
  <c r="Q136" i="10"/>
  <c r="O136" i="10"/>
  <c r="N136" i="10"/>
  <c r="P136" i="10" s="1"/>
  <c r="L136" i="10"/>
  <c r="K136" i="10"/>
  <c r="J136" i="10"/>
  <c r="I136" i="10"/>
  <c r="H136" i="10"/>
  <c r="M136" i="10" s="1"/>
  <c r="F136" i="10"/>
  <c r="E136" i="10"/>
  <c r="D136" i="10"/>
  <c r="C136" i="10"/>
  <c r="B136" i="10"/>
  <c r="A136" i="10"/>
  <c r="BB135" i="10"/>
  <c r="BA135" i="10"/>
  <c r="AZ135" i="10"/>
  <c r="AY135" i="10"/>
  <c r="BC135" i="10" s="1"/>
  <c r="AW135" i="10"/>
  <c r="AV135" i="10"/>
  <c r="AU135" i="10"/>
  <c r="AX135" i="10" s="1"/>
  <c r="AT135" i="10"/>
  <c r="AR135" i="10"/>
  <c r="AQ135" i="10"/>
  <c r="AP135" i="10"/>
  <c r="AO135" i="10"/>
  <c r="AS135" i="10" s="1"/>
  <c r="AM135" i="10"/>
  <c r="AL135" i="10"/>
  <c r="AK135" i="10"/>
  <c r="AJ135" i="10"/>
  <c r="AN135" i="10" s="1"/>
  <c r="AH135" i="10"/>
  <c r="AG135" i="10"/>
  <c r="AI135" i="10" s="1"/>
  <c r="AF135" i="10"/>
  <c r="AE135" i="10"/>
  <c r="AC135" i="10"/>
  <c r="AB135" i="10"/>
  <c r="AA135" i="10"/>
  <c r="Z135" i="10"/>
  <c r="AD135" i="10" s="1"/>
  <c r="X135" i="10"/>
  <c r="W135" i="10"/>
  <c r="V135" i="10"/>
  <c r="U135" i="10"/>
  <c r="S135" i="10"/>
  <c r="R135" i="10"/>
  <c r="Q135" i="10"/>
  <c r="O135" i="10"/>
  <c r="N135" i="10"/>
  <c r="L135" i="10"/>
  <c r="K135" i="10"/>
  <c r="J135" i="10"/>
  <c r="I135" i="10"/>
  <c r="H135" i="10"/>
  <c r="F135" i="10"/>
  <c r="E135" i="10"/>
  <c r="D135" i="10"/>
  <c r="C135" i="10"/>
  <c r="B135" i="10"/>
  <c r="A135" i="10"/>
  <c r="BB134" i="10"/>
  <c r="BA134" i="10"/>
  <c r="AZ134" i="10"/>
  <c r="AY134" i="10"/>
  <c r="AW134" i="10"/>
  <c r="AV134" i="10"/>
  <c r="AU134" i="10"/>
  <c r="AT134" i="10"/>
  <c r="AR134" i="10"/>
  <c r="AQ134" i="10"/>
  <c r="AP134" i="10"/>
  <c r="AO134" i="10"/>
  <c r="AM134" i="10"/>
  <c r="AL134" i="10"/>
  <c r="AK134" i="10"/>
  <c r="AJ134" i="10"/>
  <c r="AN134" i="10" s="1"/>
  <c r="AH134" i="10"/>
  <c r="AG134" i="10"/>
  <c r="AF134" i="10"/>
  <c r="AE134" i="10"/>
  <c r="AC134" i="10"/>
  <c r="AD134" i="10" s="1"/>
  <c r="AB134" i="10"/>
  <c r="AA134" i="10"/>
  <c r="Z134" i="10"/>
  <c r="X134" i="10"/>
  <c r="W134" i="10"/>
  <c r="V134" i="10"/>
  <c r="U134" i="10"/>
  <c r="Y134" i="10" s="1"/>
  <c r="S134" i="10"/>
  <c r="R134" i="10"/>
  <c r="Q134" i="10"/>
  <c r="O134" i="10"/>
  <c r="N134" i="10"/>
  <c r="P134" i="10" s="1"/>
  <c r="L134" i="10"/>
  <c r="K134" i="10"/>
  <c r="J134" i="10"/>
  <c r="I134" i="10"/>
  <c r="H134" i="10"/>
  <c r="M134" i="10" s="1"/>
  <c r="F134" i="10"/>
  <c r="E134" i="10"/>
  <c r="D134" i="10"/>
  <c r="C134" i="10"/>
  <c r="B134" i="10"/>
  <c r="A134" i="10"/>
  <c r="BB133" i="10"/>
  <c r="BA133" i="10"/>
  <c r="AZ133" i="10"/>
  <c r="AY133" i="10"/>
  <c r="AW133" i="10"/>
  <c r="AV133" i="10"/>
  <c r="AU133" i="10"/>
  <c r="AT133" i="10"/>
  <c r="AR133" i="10"/>
  <c r="AQ133" i="10"/>
  <c r="AP133" i="10"/>
  <c r="AO133" i="10"/>
  <c r="AS133" i="10" s="1"/>
  <c r="AM133" i="10"/>
  <c r="AL133" i="10"/>
  <c r="AK133" i="10"/>
  <c r="AJ133" i="10"/>
  <c r="AH133" i="10"/>
  <c r="AG133" i="10"/>
  <c r="AF133" i="10"/>
  <c r="AE133" i="10"/>
  <c r="AI133" i="10" s="1"/>
  <c r="AC133" i="10"/>
  <c r="AB133" i="10"/>
  <c r="AA133" i="10"/>
  <c r="Z133" i="10"/>
  <c r="AD133" i="10" s="1"/>
  <c r="Y133" i="10"/>
  <c r="X133" i="10"/>
  <c r="W133" i="10"/>
  <c r="V133" i="10"/>
  <c r="U133" i="10"/>
  <c r="S133" i="10"/>
  <c r="R133" i="10"/>
  <c r="Q133" i="10"/>
  <c r="O133" i="10"/>
  <c r="N133" i="10"/>
  <c r="T133" i="10" s="1"/>
  <c r="L133" i="10"/>
  <c r="K133" i="10"/>
  <c r="M133" i="10" s="1"/>
  <c r="J133" i="10"/>
  <c r="I133" i="10"/>
  <c r="H133" i="10"/>
  <c r="F133" i="10"/>
  <c r="E133" i="10"/>
  <c r="D133" i="10"/>
  <c r="C133" i="10"/>
  <c r="B133" i="10"/>
  <c r="G133" i="10" s="1"/>
  <c r="A133" i="10"/>
  <c r="BB132" i="10"/>
  <c r="BA132" i="10"/>
  <c r="AZ132" i="10"/>
  <c r="AY132" i="10"/>
  <c r="AW132" i="10"/>
  <c r="AV132" i="10"/>
  <c r="AU132" i="10"/>
  <c r="AT132" i="10"/>
  <c r="AX132" i="10" s="1"/>
  <c r="AR132" i="10"/>
  <c r="AQ132" i="10"/>
  <c r="AP132" i="10"/>
  <c r="AO132" i="10"/>
  <c r="AM132" i="10"/>
  <c r="AL132" i="10"/>
  <c r="AK132" i="10"/>
  <c r="AJ132" i="10"/>
  <c r="AH132" i="10"/>
  <c r="AG132" i="10"/>
  <c r="AF132" i="10"/>
  <c r="AE132" i="10"/>
  <c r="AC132" i="10"/>
  <c r="AB132" i="10"/>
  <c r="AA132" i="10"/>
  <c r="Z132" i="10"/>
  <c r="AD132" i="10" s="1"/>
  <c r="X132" i="10"/>
  <c r="W132" i="10"/>
  <c r="V132" i="10"/>
  <c r="U132" i="10"/>
  <c r="S132" i="10"/>
  <c r="R132" i="10"/>
  <c r="Q132" i="10"/>
  <c r="O132" i="10"/>
  <c r="N132" i="10"/>
  <c r="P132" i="10" s="1"/>
  <c r="L132" i="10"/>
  <c r="K132" i="10"/>
  <c r="J132" i="10"/>
  <c r="I132" i="10"/>
  <c r="H132" i="10"/>
  <c r="M132" i="10" s="1"/>
  <c r="F132" i="10"/>
  <c r="E132" i="10"/>
  <c r="D132" i="10"/>
  <c r="C132" i="10"/>
  <c r="B132" i="10"/>
  <c r="G132" i="10" s="1"/>
  <c r="A132" i="10"/>
  <c r="BB131" i="10"/>
  <c r="BA131" i="10"/>
  <c r="AZ131" i="10"/>
  <c r="AY131" i="10"/>
  <c r="AW131" i="10"/>
  <c r="AV131" i="10"/>
  <c r="AU131" i="10"/>
  <c r="AT131" i="10"/>
  <c r="AR131" i="10"/>
  <c r="AQ131" i="10"/>
  <c r="AP131" i="10"/>
  <c r="AO131" i="10"/>
  <c r="AS131" i="10" s="1"/>
  <c r="AM131" i="10"/>
  <c r="AL131" i="10"/>
  <c r="AK131" i="10"/>
  <c r="AJ131" i="10"/>
  <c r="AH131" i="10"/>
  <c r="AG131" i="10"/>
  <c r="AF131" i="10"/>
  <c r="AE131" i="10"/>
  <c r="AC131" i="10"/>
  <c r="AB131" i="10"/>
  <c r="AA131" i="10"/>
  <c r="Z131" i="10"/>
  <c r="X131" i="10"/>
  <c r="W131" i="10"/>
  <c r="V131" i="10"/>
  <c r="U131" i="10"/>
  <c r="S131" i="10"/>
  <c r="T131" i="10" s="1"/>
  <c r="R131" i="10"/>
  <c r="Q131" i="10"/>
  <c r="O131" i="10"/>
  <c r="N131" i="10"/>
  <c r="L131" i="10"/>
  <c r="K131" i="10"/>
  <c r="J131" i="10"/>
  <c r="I131" i="10"/>
  <c r="H131" i="10"/>
  <c r="M131" i="10" s="1"/>
  <c r="F131" i="10"/>
  <c r="E131" i="10"/>
  <c r="D131" i="10"/>
  <c r="C131" i="10"/>
  <c r="B131" i="10"/>
  <c r="A131" i="10"/>
  <c r="BB130" i="10"/>
  <c r="BA130" i="10"/>
  <c r="AZ130" i="10"/>
  <c r="AY130" i="10"/>
  <c r="BC130" i="10" s="1"/>
  <c r="AW130" i="10"/>
  <c r="AV130" i="10"/>
  <c r="AU130" i="10"/>
  <c r="AT130" i="10"/>
  <c r="AR130" i="10"/>
  <c r="AQ130" i="10"/>
  <c r="AP130" i="10"/>
  <c r="AO130" i="10"/>
  <c r="AM130" i="10"/>
  <c r="AL130" i="10"/>
  <c r="AK130" i="10"/>
  <c r="AJ130" i="10"/>
  <c r="AN130" i="10" s="1"/>
  <c r="AE130" i="10"/>
  <c r="AC130" i="10"/>
  <c r="AB130" i="10"/>
  <c r="AA130" i="10"/>
  <c r="Z130" i="10"/>
  <c r="AD130" i="10" s="1"/>
  <c r="X130" i="10"/>
  <c r="W130" i="10"/>
  <c r="V130" i="10"/>
  <c r="U130" i="10"/>
  <c r="S130" i="10"/>
  <c r="R130" i="10"/>
  <c r="Q130" i="10"/>
  <c r="O130" i="10"/>
  <c r="N130" i="10"/>
  <c r="P130" i="10" s="1"/>
  <c r="L130" i="10"/>
  <c r="K130" i="10"/>
  <c r="J130" i="10"/>
  <c r="I130" i="10"/>
  <c r="H130" i="10"/>
  <c r="F130" i="10"/>
  <c r="E130" i="10"/>
  <c r="D130" i="10"/>
  <c r="C130" i="10"/>
  <c r="B130" i="10"/>
  <c r="G130" i="10" s="1"/>
  <c r="A130" i="10"/>
  <c r="BB129" i="10"/>
  <c r="BA129" i="10"/>
  <c r="AZ129" i="10"/>
  <c r="AY129" i="10"/>
  <c r="AW129" i="10"/>
  <c r="AV129" i="10"/>
  <c r="AU129" i="10"/>
  <c r="AT129" i="10"/>
  <c r="AR129" i="10"/>
  <c r="AQ129" i="10"/>
  <c r="AP129" i="10"/>
  <c r="AO129" i="10"/>
  <c r="AS129" i="10" s="1"/>
  <c r="AM129" i="10"/>
  <c r="AL129" i="10"/>
  <c r="AK129" i="10"/>
  <c r="AJ129" i="10"/>
  <c r="AN129" i="10" s="1"/>
  <c r="AH129" i="10"/>
  <c r="AG129" i="10"/>
  <c r="AF129" i="10"/>
  <c r="AE129" i="10"/>
  <c r="AC129" i="10"/>
  <c r="AB129" i="10"/>
  <c r="AA129" i="10"/>
  <c r="Z129" i="10"/>
  <c r="X129" i="10"/>
  <c r="W129" i="10"/>
  <c r="V129" i="10"/>
  <c r="U129" i="10"/>
  <c r="Y129" i="10" s="1"/>
  <c r="S129" i="10"/>
  <c r="T129" i="10" s="1"/>
  <c r="R129" i="10"/>
  <c r="Q129" i="10"/>
  <c r="O129" i="10"/>
  <c r="N129" i="10"/>
  <c r="L129" i="10"/>
  <c r="K129" i="10"/>
  <c r="J129" i="10"/>
  <c r="I129" i="10"/>
  <c r="H129" i="10"/>
  <c r="M129" i="10" s="1"/>
  <c r="F129" i="10"/>
  <c r="E129" i="10"/>
  <c r="D129" i="10"/>
  <c r="C129" i="10"/>
  <c r="B129" i="10"/>
  <c r="A129" i="10"/>
  <c r="BB128" i="10"/>
  <c r="BA128" i="10"/>
  <c r="AZ128" i="10"/>
  <c r="AY128" i="10"/>
  <c r="AW128" i="10"/>
  <c r="AV128" i="10"/>
  <c r="AU128" i="10"/>
  <c r="AT128" i="10"/>
  <c r="AR128" i="10"/>
  <c r="AQ128" i="10"/>
  <c r="AP128" i="10"/>
  <c r="AO128" i="10"/>
  <c r="AM128" i="10"/>
  <c r="AL128" i="10"/>
  <c r="AK128" i="10"/>
  <c r="AJ128" i="10"/>
  <c r="AH128" i="10"/>
  <c r="AG128" i="10"/>
  <c r="AF128" i="10"/>
  <c r="AE128" i="10"/>
  <c r="AC128" i="10"/>
  <c r="AB128" i="10"/>
  <c r="AA128" i="10"/>
  <c r="Z128" i="10"/>
  <c r="X128" i="10"/>
  <c r="W128" i="10"/>
  <c r="V128" i="10"/>
  <c r="U128" i="10"/>
  <c r="S128" i="10"/>
  <c r="R128" i="10"/>
  <c r="Q128" i="10"/>
  <c r="O128" i="10"/>
  <c r="N128" i="10"/>
  <c r="L128" i="10"/>
  <c r="K128" i="10"/>
  <c r="J128" i="10"/>
  <c r="I128" i="10"/>
  <c r="H128" i="10"/>
  <c r="F128" i="10"/>
  <c r="E128" i="10"/>
  <c r="D128" i="10"/>
  <c r="C128" i="10"/>
  <c r="B128" i="10"/>
  <c r="A128" i="10"/>
  <c r="D68" i="10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  <c r="G129" i="10" l="1"/>
  <c r="M130" i="10"/>
  <c r="BC129" i="10"/>
  <c r="T134" i="10"/>
  <c r="Y135" i="10"/>
  <c r="Y140" i="10"/>
  <c r="AD141" i="10"/>
  <c r="AI142" i="10"/>
  <c r="AN143" i="10"/>
  <c r="AI130" i="10"/>
  <c r="AN131" i="10"/>
  <c r="P141" i="10"/>
  <c r="AS144" i="10"/>
  <c r="AS132" i="10"/>
  <c r="G134" i="10"/>
  <c r="AD136" i="10"/>
  <c r="Y142" i="10"/>
  <c r="AD143" i="10"/>
  <c r="AD131" i="10"/>
  <c r="M135" i="10"/>
  <c r="AI137" i="10"/>
  <c r="M140" i="10"/>
  <c r="AI144" i="10"/>
  <c r="AD129" i="10"/>
  <c r="AI132" i="10"/>
  <c r="AX133" i="10"/>
  <c r="M138" i="10"/>
  <c r="AN138" i="10"/>
  <c r="P140" i="10"/>
  <c r="T141" i="10"/>
  <c r="P129" i="10"/>
  <c r="AI129" i="10"/>
  <c r="AX129" i="10"/>
  <c r="BC133" i="10"/>
  <c r="BC134" i="10"/>
  <c r="P135" i="10"/>
  <c r="AX136" i="10"/>
  <c r="Y137" i="10"/>
  <c r="AN137" i="10"/>
  <c r="AI140" i="10"/>
  <c r="G141" i="10"/>
  <c r="Y141" i="10"/>
  <c r="AN141" i="10"/>
  <c r="M142" i="10"/>
  <c r="AD142" i="10"/>
  <c r="AS142" i="10"/>
  <c r="P143" i="10"/>
  <c r="AI143" i="10"/>
  <c r="AX143" i="10"/>
  <c r="T144" i="10"/>
  <c r="Y130" i="10"/>
  <c r="AS130" i="10"/>
  <c r="P131" i="10"/>
  <c r="AI131" i="10"/>
  <c r="AX131" i="10"/>
  <c r="T132" i="10"/>
  <c r="AN133" i="10"/>
  <c r="G136" i="10"/>
  <c r="BC137" i="10"/>
  <c r="AD138" i="10"/>
  <c r="AS138" i="10"/>
  <c r="AS139" i="10"/>
  <c r="G140" i="10"/>
  <c r="Y144" i="10"/>
  <c r="AN144" i="10"/>
  <c r="BC144" i="10"/>
  <c r="Y132" i="10"/>
  <c r="AN132" i="10"/>
  <c r="BC132" i="10"/>
  <c r="AS134" i="10"/>
  <c r="G135" i="10"/>
  <c r="T136" i="10"/>
  <c r="P139" i="10"/>
  <c r="AX140" i="10"/>
  <c r="M141" i="10"/>
  <c r="BC141" i="10"/>
  <c r="M144" i="10"/>
  <c r="G131" i="10"/>
  <c r="AX130" i="10"/>
  <c r="Y131" i="10"/>
  <c r="BC131" i="10"/>
  <c r="AI134" i="10"/>
  <c r="AX134" i="10"/>
  <c r="BC136" i="10"/>
  <c r="AI138" i="10"/>
  <c r="G142" i="10"/>
  <c r="AD144" i="10"/>
  <c r="P133" i="10"/>
  <c r="T138" i="10"/>
  <c r="T140" i="10"/>
  <c r="T135" i="10"/>
  <c r="T130" i="10"/>
  <c r="T142" i="10"/>
  <c r="P137" i="10"/>
</calcChain>
</file>

<file path=xl/sharedStrings.xml><?xml version="1.0" encoding="utf-8"?>
<sst xmlns="http://schemas.openxmlformats.org/spreadsheetml/2006/main" count="3277" uniqueCount="324">
  <si>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</si>
  <si>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</si>
  <si>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</si>
  <si>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</si>
  <si>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</si>
  <si>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</si>
  <si>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</si>
  <si>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</si>
  <si>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</si>
  <si>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</si>
  <si>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</si>
  <si>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</si>
  <si>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</si>
  <si>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</si>
  <si>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</si>
  <si>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</si>
  <si>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</si>
  <si>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</si>
  <si>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</si>
  <si>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</si>
  <si>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</si>
  <si>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</si>
  <si>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</si>
  <si>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</si>
  <si>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</si>
  <si>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</si>
  <si>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</si>
  <si>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</si>
  <si>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</si>
  <si>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</si>
  <si>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</si>
  <si>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</si>
  <si>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</si>
  <si>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</si>
  <si>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</si>
  <si>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</si>
  <si>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</si>
  <si>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</si>
  <si>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</si>
  <si>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</si>
  <si>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</si>
  <si>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</si>
  <si>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</si>
  <si>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</si>
  <si>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</si>
  <si>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</si>
  <si>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</si>
  <si>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</si>
  <si>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</si>
  <si>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</si>
  <si>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</si>
  <si>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</si>
  <si>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</si>
  <si>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</si>
  <si>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</si>
  <si>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</si>
  <si>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</si>
  <si>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</si>
  <si>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</si>
  <si>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</si>
  <si>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</si>
  <si>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</si>
  <si>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</si>
  <si>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</si>
  <si>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</si>
  <si>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</si>
  <si>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</si>
  <si>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</si>
  <si>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</si>
  <si>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</si>
  <si>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</si>
  <si>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</si>
  <si>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</si>
  <si>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</si>
  <si>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</si>
  <si>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</si>
  <si>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</si>
  <si>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</si>
  <si>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</si>
  <si>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</si>
  <si>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</si>
  <si>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</si>
  <si>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</si>
  <si>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</si>
  <si>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</si>
  <si>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</si>
  <si>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</si>
  <si>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</si>
  <si>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</si>
  <si>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</si>
  <si>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</si>
  <si>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</si>
  <si>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</si>
  <si>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</si>
  <si>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</si>
  <si>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</si>
  <si>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</si>
  <si>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</si>
  <si>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</si>
  <si>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</si>
  <si>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</si>
  <si>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</si>
  <si>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</si>
  <si>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</si>
  <si>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</si>
  <si>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</si>
  <si>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</si>
  <si>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</si>
  <si>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</si>
  <si>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</si>
  <si>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</si>
  <si>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</si>
  <si>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</si>
  <si>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</si>
  <si>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</si>
  <si>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</si>
  <si>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</si>
  <si>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</si>
  <si>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</si>
  <si>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</si>
  <si>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</si>
  <si>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</si>
  <si>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</si>
  <si>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</si>
  <si>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</si>
  <si>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</si>
  <si>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</si>
  <si>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</si>
  <si>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</si>
  <si>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</si>
  <si>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</si>
  <si>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</si>
  <si>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</si>
  <si>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</si>
  <si>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</si>
  <si>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</si>
  <si>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</si>
  <si>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</si>
  <si>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</si>
  <si>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</si>
  <si>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</si>
  <si>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</si>
  <si>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</si>
  <si>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</si>
  <si>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</si>
  <si>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</si>
  <si>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</si>
  <si>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</si>
  <si>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</si>
  <si>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</si>
  <si>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</si>
  <si>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</si>
  <si>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</si>
  <si>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</si>
  <si>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</si>
  <si>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</si>
  <si>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</si>
  <si>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</si>
  <si>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</si>
  <si>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</si>
  <si>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</si>
  <si>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</si>
  <si>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</si>
  <si>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</si>
  <si>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</si>
  <si>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</si>
  <si>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</si>
  <si>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</si>
  <si>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</si>
  <si>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</si>
  <si>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</si>
  <si>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</si>
  <si>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</si>
  <si>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</si>
  <si>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</si>
  <si>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</si>
  <si>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</si>
  <si>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</si>
  <si>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</si>
  <si>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</si>
  <si>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</si>
  <si>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</si>
  <si>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</si>
  <si>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</si>
  <si>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</si>
  <si>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</si>
  <si>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</si>
  <si>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</si>
  <si>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</si>
  <si>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</si>
  <si>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</si>
  <si>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</si>
  <si>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</si>
  <si>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</si>
  <si>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</si>
  <si>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</si>
  <si>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</si>
  <si>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</si>
  <si>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</si>
  <si>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</si>
  <si>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</si>
  <si>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</si>
  <si>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</si>
  <si>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</si>
  <si>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</si>
  <si>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</si>
  <si>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</si>
  <si>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</si>
  <si>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</si>
  <si>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</si>
  <si>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</si>
  <si>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</si>
  <si>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</si>
  <si>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</si>
  <si>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</si>
  <si>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</si>
  <si>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</si>
  <si>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</si>
  <si>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</si>
  <si>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</si>
  <si>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</si>
  <si>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</si>
  <si>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</si>
  <si>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</si>
  <si>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</si>
  <si>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</si>
  <si>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</si>
  <si>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</si>
  <si>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</si>
  <si>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</si>
  <si>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</si>
  <si>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</si>
  <si>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</si>
  <si>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</si>
  <si>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</si>
  <si>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</si>
  <si>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</si>
  <si>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</si>
  <si>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</si>
  <si>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</si>
  <si>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</si>
  <si>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</si>
  <si>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</si>
  <si>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</si>
  <si>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</si>
  <si>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</si>
  <si>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</si>
  <si>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</si>
  <si>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</si>
  <si>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</si>
  <si>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</si>
  <si>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</si>
  <si>
    <t>A (NUM)</t>
  </si>
  <si>
    <t>B (NOMBRE)</t>
  </si>
  <si>
    <t>C (POSICION)</t>
  </si>
  <si>
    <t>OJUEZ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</si>
  <si>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</si>
  <si>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</si>
  <si>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</si>
  <si>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</si>
  <si>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</si>
  <si>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</si>
  <si>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</si>
  <si>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</si>
  <si>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</si>
  <si>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</si>
  <si>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</si>
  <si>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</si>
  <si>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</si>
  <si>
    <t>ROMEO WINER</t>
  </si>
  <si>
    <t>TABLA AUTOMATICA "NO TOCAR"</t>
  </si>
  <si>
    <t>% SQ</t>
  </si>
  <si>
    <t>% REC</t>
  </si>
  <si>
    <t xml:space="preserve">% BQ POS </t>
  </si>
  <si>
    <t>% PUNTOS</t>
  </si>
  <si>
    <t>% ATQ Q</t>
  </si>
  <si>
    <t>% ATQ HB</t>
  </si>
  <si>
    <t>% ATQ X</t>
  </si>
  <si>
    <t>% ATQ R#+</t>
  </si>
  <si>
    <t>% At R!</t>
  </si>
  <si>
    <t>% At R-</t>
  </si>
  <si>
    <t>% ATQ TR</t>
  </si>
  <si>
    <t>📋  DATOS PARA OBJETIVOS — Pegar datos del Data Volley de CASLA</t>
  </si>
  <si>
    <t>SQ #</t>
  </si>
  <si>
    <t>SQ +</t>
  </si>
  <si>
    <t>SQ /</t>
  </si>
  <si>
    <t>SQ =</t>
  </si>
  <si>
    <t>SQ TOT</t>
  </si>
  <si>
    <t>REC /</t>
  </si>
  <si>
    <t>REC =</t>
  </si>
  <si>
    <t>REC TOT</t>
  </si>
  <si>
    <t>BLQ #</t>
  </si>
  <si>
    <t>BLQ +</t>
  </si>
  <si>
    <t>BLQ =</t>
  </si>
  <si>
    <t>BLQ /</t>
  </si>
  <si>
    <t>BLQ TOT</t>
  </si>
  <si>
    <t>ATQ Q #</t>
  </si>
  <si>
    <t>ATQ Q /</t>
  </si>
  <si>
    <t>ATQ Q =</t>
  </si>
  <si>
    <t>ATQ Q TOT</t>
  </si>
  <si>
    <t>ATQ V #</t>
  </si>
  <si>
    <t>ATQ V /</t>
  </si>
  <si>
    <t>ATQ V =</t>
  </si>
  <si>
    <t>ATQ V TOT</t>
  </si>
  <si>
    <t>ATQ X #</t>
  </si>
  <si>
    <t>ATQ X /</t>
  </si>
  <si>
    <t>ATQ X =</t>
  </si>
  <si>
    <t>ATQ X TOT</t>
  </si>
  <si>
    <t>ATQ R# #</t>
  </si>
  <si>
    <t>ATQ R# /</t>
  </si>
  <si>
    <t>ATQ R# =</t>
  </si>
  <si>
    <t>ATQ R# TOT</t>
  </si>
  <si>
    <t>ATQ R! #</t>
  </si>
  <si>
    <t>ATQ R! /</t>
  </si>
  <si>
    <t>ATQ R! =</t>
  </si>
  <si>
    <t>ATQ R! TOT</t>
  </si>
  <si>
    <t>ATQ R- #</t>
  </si>
  <si>
    <t>ATQ R- /</t>
  </si>
  <si>
    <t>ATQ R- =</t>
  </si>
  <si>
    <t>ATQ R- TOT</t>
  </si>
  <si>
    <t>ATQ TR #</t>
  </si>
  <si>
    <t>ATQ TR /</t>
  </si>
  <si>
    <t>ATQ TR =</t>
  </si>
  <si>
    <t>ATQ TR 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</si>
</sst>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48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  <family val="2"/>
    </font>
    <font>
      <sz val="8"/>
      <color rgb="FF000000"/>
      <name val="Segoe UI"/>
      <family val="2"/>
    </font>
    <font>
      <b/>
      <sz val="8"/>
      <color rgb="FF000000"/>
      <name val="Segoe UI"/>
      <family val="2"/>
    </font>
    <font>
      <b/>
      <sz val="8"/>
      <color rgb="FF0000A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  <font>
      <i/>
      <sz val="9"/>
      <color rgb="FF818CF8"/>
      <name val="Arial"/>
      <family val="2"/>
      <charset val="1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@Malgun Gothic"/>
    </font>
    <font>
      <sz val="7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A2F5E"/>
        <bgColor rgb="FF1E2030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3D56A"/>
        <bgColor indexed="64"/>
      </patternFill>
    </fill>
    <fill>
      <patternFill patternType="solid">
        <fgColor rgb="FF80FF80"/>
        <bgColor indexed="64"/>
      </patternFill>
    </fill>
  </fills>
  <borders count="3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197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4" fillId="19" borderId="38" xfId="0" applyFont="1" applyFill="1" applyBorder="1" applyAlignment="1">
      <alignment horizontal="center" vertical="center"/>
    </xf>
    <xf numFmtId="164" fontId="45" fillId="20" borderId="38" xfId="0" applyNumberFormat="1" applyFont="1" applyFill="1" applyBorder="1" applyAlignment="1">
      <alignment horizontal="center" vertical="center"/>
    </xf>
    <xf numFmtId="9" fontId="45" fillId="21" borderId="38" xfId="1" applyFont="1" applyFill="1" applyBorder="1" applyAlignment="1">
      <alignment horizontal="center" vertical="center"/>
    </xf>
    <xf numFmtId="164" fontId="0" fillId="22" borderId="38" xfId="0" applyNumberFormat="1" applyFill="1" applyBorder="1" applyAlignment="1">
      <alignment horizontal="center" vertical="center"/>
    </xf>
    <xf numFmtId="9" fontId="45" fillId="20" borderId="38" xfId="1" applyFont="1" applyFill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0" fontId="39" fillId="23" borderId="28" xfId="0" applyFont="1" applyFill="1" applyBorder="1" applyAlignment="1">
      <alignment horizontal="center" vertical="top"/>
    </xf>
    <xf numFmtId="0" fontId="39" fillId="15" borderId="28" xfId="0" applyFont="1" applyFill="1" applyBorder="1" applyAlignment="1">
      <alignment horizontal="center" vertical="top"/>
    </xf>
    <xf numFmtId="0" fontId="39" fillId="24" borderId="28" xfId="0" applyFont="1" applyFill="1" applyBorder="1" applyAlignment="1">
      <alignment horizontal="center" vertical="top"/>
    </xf>
    <xf numFmtId="0" fontId="46" fillId="24" borderId="28" xfId="0" applyFont="1" applyFill="1" applyBorder="1" applyAlignment="1">
      <alignment horizontal="center" vertical="top"/>
    </xf>
    <xf numFmtId="0" fontId="46" fillId="15" borderId="28" xfId="0" applyFont="1" applyFill="1" applyBorder="1" applyAlignment="1">
      <alignment horizontal="center" vertical="top"/>
    </xf>
    <xf numFmtId="0" fontId="26" fillId="23" borderId="26" xfId="0" applyFont="1" applyFill="1" applyBorder="1" applyAlignment="1">
      <alignment horizontal="center" vertical="center"/>
    </xf>
    <xf numFmtId="164" fontId="39" fillId="15" borderId="26" xfId="0" applyNumberFormat="1" applyFont="1" applyFill="1" applyBorder="1" applyAlignment="1">
      <alignment horizontal="center" vertical="center"/>
    </xf>
    <xf numFmtId="164" fontId="39" fillId="24" borderId="26" xfId="0" applyNumberFormat="1" applyFont="1" applyFill="1" applyBorder="1" applyAlignment="1">
      <alignment horizontal="center" vertical="center"/>
    </xf>
    <xf numFmtId="0" fontId="47" fillId="23" borderId="26" xfId="0" applyFont="1" applyFill="1" applyBorder="1" applyAlignment="1">
      <alignment horizontal="center" vertical="center"/>
    </xf>
    <xf numFmtId="0" fontId="47" fillId="23" borderId="28" xfId="0" applyFont="1" applyFill="1" applyBorder="1" applyAlignment="1">
      <alignment horizontal="center" vertical="center"/>
    </xf>
    <xf numFmtId="164" fontId="39" fillId="15" borderId="28" xfId="0" applyNumberFormat="1" applyFont="1" applyFill="1" applyBorder="1" applyAlignment="1">
      <alignment horizontal="center" vertical="center"/>
    </xf>
    <xf numFmtId="164" fontId="39" fillId="24" borderId="28" xfId="0" applyNumberFormat="1" applyFont="1" applyFill="1" applyBorder="1" applyAlignment="1">
      <alignment horizontal="center" vertical="center"/>
    </xf>
    <xf numFmtId="0" fontId="12" fillId="9" borderId="37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28" fillId="9" borderId="20" xfId="0" applyFont="1" applyFill="1" applyBorder="1" applyAlignment="1">
      <alignment horizontal="center" vertical="center"/>
    </xf>
    <xf numFmtId="0" fontId="0" fillId="0" borderId="21" xfId="0" applyBorder="1"/>
    <xf numFmtId="0" fontId="26" fillId="0" borderId="3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top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187" t="s">
        <v>50</v>
      </c>
      <c r="C1" s="176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186" t="s">
        <v>69</v>
      </c>
      <c r="C13" s="176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V1" zoomScale="80" workbookViewId="0">
      <pane ySplit="3" topLeftCell="A4" activePane="bottomLeft" state="frozen"/>
      <selection pane="bottomLeft" activeCell="AZ4" sqref="AZ4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88" t="s">
        <v>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</row>
    <row r="2" spans="1:71" ht="28.05" customHeight="1" x14ac:dyDescent="0.3">
      <c r="A2" s="186" t="s">
        <v>1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BJ2" s="175" t="s">
        <v>2</v>
      </c>
      <c r="BK2" s="176"/>
      <c r="BL2" s="176"/>
      <c r="BM2" s="176"/>
      <c r="BN2" s="176"/>
      <c r="BO2" s="176"/>
      <c r="BP2" s="176"/>
      <c r="BQ2" s="176"/>
      <c r="BR2" s="176"/>
      <c r="BS2" s="176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85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74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74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74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74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85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174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174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174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174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85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74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74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74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74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85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174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174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174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74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78" t="s">
        <v>17</v>
      </c>
      <c r="BK17" s="176"/>
      <c r="BL17" s="176"/>
      <c r="BM17" s="176"/>
      <c r="BN17" s="176"/>
      <c r="BO17" s="176"/>
      <c r="BP17" s="176"/>
      <c r="BQ17" s="176"/>
      <c r="BR17" s="176"/>
      <c r="BS17" s="176"/>
    </row>
    <row r="20" spans="1:71" ht="25.95" customHeight="1" x14ac:dyDescent="0.3">
      <c r="A20" s="184" t="s">
        <v>18</v>
      </c>
      <c r="B20" s="176"/>
      <c r="C20" s="176"/>
      <c r="D20" s="176"/>
      <c r="E20" s="176"/>
      <c r="F20" s="176"/>
      <c r="G20" s="176"/>
      <c r="H20" s="176"/>
      <c r="I20" s="176"/>
      <c r="J20" s="176"/>
      <c r="K20" s="176"/>
      <c r="L20" s="176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90" t="s">
        <v>19</v>
      </c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89" t="s">
        <v>20</v>
      </c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N66" s="177" t="s">
        <v>21</v>
      </c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191" t="s">
        <v>48</v>
      </c>
      <c r="B80" s="192"/>
      <c r="C80" s="192"/>
      <c r="D80" s="192"/>
      <c r="E80" s="192"/>
      <c r="F80" s="193"/>
      <c r="G80" s="172" t="s">
        <v>49</v>
      </c>
      <c r="H80" s="194"/>
      <c r="I80" s="194"/>
      <c r="J80" s="194"/>
      <c r="K80" s="194"/>
      <c r="L80" s="194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  <mergeCell ref="A1:BH1"/>
    <mergeCell ref="A66:L66"/>
    <mergeCell ref="N66:Y66"/>
    <mergeCell ref="BJ17:BS17"/>
    <mergeCell ref="A35:L3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188" t="s">
        <v>70</v>
      </c>
      <c r="C1" s="176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178" t="s">
        <v>76</v>
      </c>
      <c r="C8" s="176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63"/>
  <sheetViews>
    <sheetView tabSelected="1" workbookViewId="0">
      <selection activeCell="A4" sqref="A4:BH17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9.109375" bestFit="1" customWidth="1"/>
    <col min="13" max="13" width="9.21875" bestFit="1" customWidth="1"/>
    <col min="14" max="14" width="16" customWidth="1"/>
    <col min="15" max="15" width="8" customWidth="1"/>
    <col min="16" max="16" width="11.109375" bestFit="1" customWidth="1"/>
    <col min="17" max="19" width="7" customWidth="1"/>
    <col min="20" max="20" width="11" bestFit="1" customWidth="1"/>
    <col min="21" max="23" width="7" customWidth="1"/>
    <col min="24" max="24" width="8" customWidth="1"/>
    <col min="25" max="25" width="9.77734375" bestFit="1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80" t="s">
        <v>234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</row>
    <row r="2" spans="1:71" ht="28.05" customHeight="1" x14ac:dyDescent="0.3">
      <c r="A2" s="182" t="s">
        <v>233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BJ2" s="175" t="s">
        <v>2</v>
      </c>
      <c r="BK2" s="176"/>
      <c r="BL2" s="176"/>
      <c r="BM2" s="176"/>
      <c r="BN2" s="176"/>
      <c r="BO2" s="176"/>
      <c r="BP2" s="176"/>
      <c r="BQ2" s="176"/>
      <c r="BR2" s="176"/>
      <c r="BS2" s="176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95" t="s">
        <v>235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96" t="s">
        <v>236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95" t="s">
        <v>237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95" t="s">
        <v>238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96" t="s">
        <v>247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95"/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196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195"/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195"/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196"/>
      <c r="AX5" s="44" t="s">
        <v>79</v>
      </c>
      <c r="AY5" s="45">
        <v>0</v>
      </c>
      <c r="AZ5" s="45">
        <v>2</v>
      </c>
      <c r="BA5" s="45">
        <v>0</v>
      </c>
      <c r="BB5" s="46">
        <v>0</v>
      </c>
      <c r="BC5" s="45">
        <v>1</v>
      </c>
      <c r="BD5" s="45">
        <v>2</v>
      </c>
      <c r="BE5" s="45">
        <v>1</v>
      </c>
      <c r="BF5" s="45">
        <v>0</v>
      </c>
      <c r="BG5" s="45">
        <v>0</v>
      </c>
      <c r="BH5" s="45">
        <v>6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2</v>
      </c>
      <c r="BA6" s="45">
        <v>1</v>
      </c>
      <c r="BB6" s="45">
        <v>0</v>
      </c>
      <c r="BC6" s="45">
        <v>1</v>
      </c>
      <c r="BD6" s="46">
        <v>0</v>
      </c>
      <c r="BE6" s="45">
        <v>0</v>
      </c>
      <c r="BF6" s="45">
        <v>0</v>
      </c>
      <c r="BG6" s="45">
        <v>0</v>
      </c>
      <c r="BH6" s="45">
        <v>4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4</v>
      </c>
      <c r="BA7" s="45">
        <v>0</v>
      </c>
      <c r="BB7" s="45">
        <v>3</v>
      </c>
      <c r="BC7" s="45">
        <v>2</v>
      </c>
      <c r="BD7" s="45">
        <v>0</v>
      </c>
      <c r="BE7" s="45">
        <v>4</v>
      </c>
      <c r="BF7" s="45">
        <v>0</v>
      </c>
      <c r="BG7" s="45">
        <v>0</v>
      </c>
      <c r="BH7" s="45">
        <v>14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3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95" t="s">
        <v>239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95" t="s">
        <v>240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95" t="s">
        <v>241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95" t="s">
        <v>242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95" t="s">
        <v>243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95"/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195"/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195"/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195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95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3</v>
      </c>
      <c r="P17" s="49">
        <v>0</v>
      </c>
      <c r="Q17" s="49">
        <v>0</v>
      </c>
      <c r="R17" s="49">
        <v>3</v>
      </c>
      <c r="S17" s="49">
        <v>1</v>
      </c>
      <c r="T17" s="49">
        <v>1</v>
      </c>
      <c r="U17" s="49">
        <v>0</v>
      </c>
      <c r="V17" s="49">
        <v>0</v>
      </c>
      <c r="W17" s="49">
        <v>0</v>
      </c>
      <c r="X17" s="49">
        <v>8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78" t="s">
        <v>17</v>
      </c>
      <c r="BK17" s="176"/>
      <c r="BL17" s="176"/>
      <c r="BM17" s="176"/>
      <c r="BN17" s="176"/>
      <c r="BO17" s="176"/>
      <c r="BP17" s="176"/>
      <c r="BQ17" s="176"/>
      <c r="BR17" s="176"/>
      <c r="BS17" s="176"/>
    </row>
    <row r="20" spans="1:71" ht="25.95" customHeight="1" x14ac:dyDescent="0.3">
      <c r="A20" s="184" t="s">
        <v>18</v>
      </c>
      <c r="B20" s="176"/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6</v>
      </c>
      <c r="F22" s="53">
        <v>1</v>
      </c>
      <c r="G22" s="53">
        <v>2</v>
      </c>
      <c r="H22" s="53">
        <v>4</v>
      </c>
      <c r="I22" s="53">
        <v>18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1</v>
      </c>
      <c r="AG22" s="53">
        <v>2</v>
      </c>
      <c r="AH22" s="53">
        <v>0</v>
      </c>
      <c r="AI22" s="53">
        <v>1</v>
      </c>
      <c r="AJ22" s="53">
        <v>11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7</v>
      </c>
      <c r="AP22" s="53">
        <v>1</v>
      </c>
      <c r="AQ22" s="53">
        <v>1</v>
      </c>
      <c r="AR22" s="53">
        <v>1</v>
      </c>
      <c r="AS22" s="53">
        <v>14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2</v>
      </c>
      <c r="D23" s="53">
        <v>1</v>
      </c>
      <c r="E23" s="53">
        <v>7</v>
      </c>
      <c r="F23" s="53">
        <v>0</v>
      </c>
      <c r="G23" s="53">
        <v>4</v>
      </c>
      <c r="H23" s="53">
        <v>1</v>
      </c>
      <c r="I23" s="53">
        <v>15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5</v>
      </c>
      <c r="AE23" s="53">
        <v>4</v>
      </c>
      <c r="AF23" s="53">
        <v>2</v>
      </c>
      <c r="AG23" s="53">
        <v>0</v>
      </c>
      <c r="AH23" s="53">
        <v>4</v>
      </c>
      <c r="AI23" s="53">
        <v>3</v>
      </c>
      <c r="AJ23" s="53">
        <v>18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1</v>
      </c>
      <c r="Z24" s="53">
        <v>1</v>
      </c>
      <c r="AA24" s="53">
        <v>2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6</v>
      </c>
      <c r="AG24" s="53">
        <v>2</v>
      </c>
      <c r="AH24" s="53">
        <v>7</v>
      </c>
      <c r="AI24" s="53">
        <v>6</v>
      </c>
      <c r="AJ24" s="53">
        <v>22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7</v>
      </c>
      <c r="M25" s="53">
        <v>2</v>
      </c>
      <c r="N25" s="53">
        <v>17</v>
      </c>
      <c r="O25" s="53">
        <v>0</v>
      </c>
      <c r="P25" s="53">
        <v>21</v>
      </c>
      <c r="Q25" s="53">
        <v>1</v>
      </c>
      <c r="R25" s="53">
        <v>54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4</v>
      </c>
      <c r="AK25" s="51" t="s">
        <v>239</v>
      </c>
      <c r="AL25" s="52" t="s">
        <v>103</v>
      </c>
      <c r="AM25" s="53">
        <v>19</v>
      </c>
      <c r="AN25" s="53">
        <v>0</v>
      </c>
      <c r="AO25" s="53">
        <v>36</v>
      </c>
      <c r="AP25" s="53">
        <v>0</v>
      </c>
      <c r="AQ25" s="53">
        <v>8</v>
      </c>
      <c r="AR25" s="53">
        <v>1</v>
      </c>
      <c r="AS25" s="53">
        <v>68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10</v>
      </c>
      <c r="AN26" s="53">
        <v>0</v>
      </c>
      <c r="AO26" s="53">
        <v>17</v>
      </c>
      <c r="AP26" s="53">
        <v>0</v>
      </c>
      <c r="AQ26" s="53">
        <v>2</v>
      </c>
      <c r="AR26" s="53">
        <v>0</v>
      </c>
      <c r="AS26" s="53">
        <v>30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6</v>
      </c>
      <c r="AE27" s="55">
        <v>0</v>
      </c>
      <c r="AF27" s="55">
        <v>7</v>
      </c>
      <c r="AG27" s="55">
        <v>0</v>
      </c>
      <c r="AH27" s="55">
        <v>7</v>
      </c>
      <c r="AI27" s="55">
        <v>0</v>
      </c>
      <c r="AJ27" s="55">
        <v>24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15</v>
      </c>
      <c r="D29" s="53">
        <v>8</v>
      </c>
      <c r="E29" s="53">
        <v>19</v>
      </c>
      <c r="F29" s="53">
        <v>5</v>
      </c>
      <c r="G29" s="53">
        <v>2</v>
      </c>
      <c r="H29" s="53">
        <v>1</v>
      </c>
      <c r="I29" s="53">
        <v>51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3</v>
      </c>
      <c r="F30" s="53">
        <v>0</v>
      </c>
      <c r="G30" s="53">
        <v>0</v>
      </c>
      <c r="H30" s="53">
        <v>0</v>
      </c>
      <c r="I30" s="53">
        <v>3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7</v>
      </c>
      <c r="D31" s="53">
        <v>4</v>
      </c>
      <c r="E31" s="53">
        <v>14</v>
      </c>
      <c r="F31" s="53">
        <v>4</v>
      </c>
      <c r="G31" s="53">
        <v>6</v>
      </c>
      <c r="H31" s="53">
        <v>6</v>
      </c>
      <c r="I31" s="53">
        <v>42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15</v>
      </c>
      <c r="AP31" s="53">
        <v>5</v>
      </c>
      <c r="AQ31" s="53">
        <v>23</v>
      </c>
      <c r="AR31" s="53">
        <v>13</v>
      </c>
      <c r="AS31" s="53">
        <v>65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16</v>
      </c>
      <c r="AY32" s="53">
        <v>0</v>
      </c>
      <c r="AZ32" s="53">
        <v>11</v>
      </c>
      <c r="BA32" s="53">
        <v>0</v>
      </c>
      <c r="BB32" s="53">
        <v>38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1</v>
      </c>
      <c r="Q33" s="53">
        <v>0</v>
      </c>
      <c r="R33" s="53">
        <v>7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83" t="s">
        <v>232</v>
      </c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-1.0200000000000001E-2</v>
      </c>
      <c r="C37" s="45">
        <v>415</v>
      </c>
      <c r="D37" s="45">
        <v>9</v>
      </c>
      <c r="E37" s="45">
        <v>35</v>
      </c>
      <c r="F37" s="45">
        <v>12</v>
      </c>
      <c r="G37" s="45">
        <v>28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0.1</v>
      </c>
      <c r="AS37" s="45">
        <v>20</v>
      </c>
      <c r="AT37" s="45">
        <v>8</v>
      </c>
      <c r="AU37" s="58">
        <v>0.4</v>
      </c>
      <c r="AV37" s="45">
        <v>0</v>
      </c>
      <c r="AW37" s="45">
        <v>6</v>
      </c>
      <c r="AX37" s="44" t="s">
        <v>248</v>
      </c>
      <c r="AY37" s="58">
        <v>0.12</v>
      </c>
      <c r="AZ37" s="45">
        <v>396</v>
      </c>
      <c r="BA37" s="45">
        <v>78</v>
      </c>
      <c r="BB37" s="58">
        <v>0.2</v>
      </c>
      <c r="BC37" s="58">
        <v>0.27</v>
      </c>
      <c r="BD37" s="45">
        <v>130</v>
      </c>
    </row>
    <row r="38" spans="1:56" x14ac:dyDescent="0.3">
      <c r="A38" s="44" t="s">
        <v>238</v>
      </c>
      <c r="B38" s="57">
        <v>-0.1056</v>
      </c>
      <c r="C38" s="45">
        <v>45</v>
      </c>
      <c r="D38" s="45">
        <v>0</v>
      </c>
      <c r="E38" s="45">
        <v>5</v>
      </c>
      <c r="F38" s="45">
        <v>0</v>
      </c>
      <c r="G38" s="45">
        <v>6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0.41</v>
      </c>
      <c r="AZ38" s="45">
        <v>59</v>
      </c>
      <c r="BA38" s="45">
        <v>20</v>
      </c>
      <c r="BB38" s="58">
        <v>0.34</v>
      </c>
      <c r="BC38" s="58">
        <v>0.31</v>
      </c>
      <c r="BD38" s="45">
        <v>14</v>
      </c>
    </row>
    <row r="39" spans="1:56" x14ac:dyDescent="0.3">
      <c r="A39" s="44" t="s">
        <v>245</v>
      </c>
      <c r="B39" s="57">
        <v>6.5100000000000005E-2</v>
      </c>
      <c r="C39" s="45">
        <v>96</v>
      </c>
      <c r="D39" s="45">
        <v>6</v>
      </c>
      <c r="E39" s="45">
        <v>9</v>
      </c>
      <c r="F39" s="45">
        <v>4</v>
      </c>
      <c r="G39" s="45">
        <v>4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0.12</v>
      </c>
      <c r="AZ39" s="45">
        <v>32</v>
      </c>
      <c r="BA39" s="45">
        <v>3</v>
      </c>
      <c r="BB39" s="58">
        <v>0.09</v>
      </c>
      <c r="BC39" s="58">
        <v>0.41</v>
      </c>
      <c r="BD39" s="45">
        <v>11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-0.04</v>
      </c>
      <c r="AZ40" s="45">
        <v>54</v>
      </c>
      <c r="BA40" s="45">
        <v>9</v>
      </c>
      <c r="BB40" s="58">
        <v>0.17</v>
      </c>
      <c r="BC40" s="58">
        <v>0.2</v>
      </c>
      <c r="BD40" s="45">
        <v>21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1.9599999999999999E-2</v>
      </c>
      <c r="C42" s="45">
        <v>51</v>
      </c>
      <c r="D42" s="45">
        <v>2</v>
      </c>
      <c r="E42" s="45">
        <v>6</v>
      </c>
      <c r="F42" s="45">
        <v>1</v>
      </c>
      <c r="G42" s="45">
        <v>3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-8.8200000000000001E-2</v>
      </c>
      <c r="C43" s="45">
        <v>51</v>
      </c>
      <c r="D43" s="45">
        <v>0</v>
      </c>
      <c r="E43" s="45">
        <v>0</v>
      </c>
      <c r="F43" s="45">
        <v>1</v>
      </c>
      <c r="G43" s="45">
        <v>5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0.16</v>
      </c>
      <c r="AS43" s="45">
        <v>19</v>
      </c>
      <c r="AT43" s="45">
        <v>8</v>
      </c>
      <c r="AU43" s="58">
        <v>0.42</v>
      </c>
      <c r="AV43" s="45">
        <v>0</v>
      </c>
      <c r="AW43" s="45">
        <v>5</v>
      </c>
      <c r="AX43" s="44" t="s">
        <v>240</v>
      </c>
      <c r="AY43" s="58">
        <v>-0.04</v>
      </c>
      <c r="AZ43" s="45">
        <v>46</v>
      </c>
      <c r="BA43" s="45">
        <v>6</v>
      </c>
      <c r="BB43" s="58">
        <v>0.13</v>
      </c>
      <c r="BC43" s="58">
        <v>0.24</v>
      </c>
      <c r="BD43" s="45">
        <v>18</v>
      </c>
    </row>
    <row r="44" spans="1:56" x14ac:dyDescent="0.3">
      <c r="A44" s="44" t="s">
        <v>239</v>
      </c>
      <c r="B44" s="57">
        <v>8.3000000000000001E-3</v>
      </c>
      <c r="C44" s="45">
        <v>30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-1</v>
      </c>
      <c r="AS44" s="45">
        <v>1</v>
      </c>
      <c r="AT44" s="45">
        <v>0</v>
      </c>
      <c r="AU44" s="58">
        <v>0</v>
      </c>
      <c r="AV44" s="45">
        <v>0</v>
      </c>
      <c r="AW44" s="45">
        <v>1</v>
      </c>
      <c r="AX44" s="44" t="s">
        <v>239</v>
      </c>
      <c r="AY44" s="58">
        <v>0.02</v>
      </c>
      <c r="AZ44" s="45">
        <v>48</v>
      </c>
      <c r="BA44" s="45">
        <v>7</v>
      </c>
      <c r="BB44" s="58">
        <v>0.15</v>
      </c>
      <c r="BC44" s="58">
        <v>0.27</v>
      </c>
      <c r="BD44" s="45">
        <v>19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3.5999999999999999E-3</v>
      </c>
      <c r="C47" s="45">
        <v>70</v>
      </c>
      <c r="D47" s="45">
        <v>0</v>
      </c>
      <c r="E47" s="45">
        <v>7</v>
      </c>
      <c r="F47" s="45">
        <v>5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0.04</v>
      </c>
      <c r="AZ47" s="45">
        <v>72</v>
      </c>
      <c r="BA47" s="45">
        <v>19</v>
      </c>
      <c r="BB47" s="58">
        <v>0.26</v>
      </c>
      <c r="BC47" s="58">
        <v>0.18</v>
      </c>
      <c r="BD47" s="45">
        <v>29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7.0000000000000007E-2</v>
      </c>
      <c r="AZ48" s="49">
        <v>14</v>
      </c>
      <c r="BA48" s="49">
        <v>1</v>
      </c>
      <c r="BB48" s="59">
        <v>7.0000000000000007E-2</v>
      </c>
      <c r="BC48" s="59">
        <v>0.36</v>
      </c>
      <c r="BD48" s="49">
        <v>5</v>
      </c>
    </row>
    <row r="49" spans="1:56" x14ac:dyDescent="0.3">
      <c r="A49" s="48" t="s">
        <v>249</v>
      </c>
      <c r="B49" s="57">
        <v>4.1700000000000001E-2</v>
      </c>
      <c r="C49" s="49">
        <v>12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-0.13739999999999999</v>
      </c>
      <c r="C52" s="45">
        <v>242</v>
      </c>
      <c r="D52" s="45">
        <v>16</v>
      </c>
      <c r="E52" s="45">
        <v>29</v>
      </c>
      <c r="F52" s="45">
        <v>9</v>
      </c>
      <c r="G52" s="45">
        <v>61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0.21</v>
      </c>
      <c r="AS52" s="45">
        <v>398</v>
      </c>
      <c r="AT52" s="45">
        <v>151</v>
      </c>
      <c r="AU52" s="58">
        <v>0.38</v>
      </c>
      <c r="AV52" s="45">
        <v>29</v>
      </c>
      <c r="AW52" s="45">
        <v>39</v>
      </c>
      <c r="AX52" s="44" t="s">
        <v>248</v>
      </c>
      <c r="AY52" s="58">
        <v>0.34</v>
      </c>
      <c r="AZ52" s="45">
        <v>487</v>
      </c>
      <c r="BA52" s="45">
        <v>234</v>
      </c>
      <c r="BB52" s="58">
        <v>0.48</v>
      </c>
      <c r="BC52" s="45">
        <v>29</v>
      </c>
      <c r="BD52" s="45">
        <v>41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0.44</v>
      </c>
      <c r="AS53" s="45">
        <v>16</v>
      </c>
      <c r="AT53" s="45">
        <v>8</v>
      </c>
      <c r="AU53" s="58">
        <v>0.5</v>
      </c>
      <c r="AV53" s="45">
        <v>0</v>
      </c>
      <c r="AW53" s="45">
        <v>1</v>
      </c>
      <c r="AX53" s="44" t="s">
        <v>238</v>
      </c>
      <c r="AY53" s="58">
        <v>0.53</v>
      </c>
      <c r="AZ53" s="45">
        <v>60</v>
      </c>
      <c r="BA53" s="45">
        <v>38</v>
      </c>
      <c r="BB53" s="58">
        <v>0.63</v>
      </c>
      <c r="BC53" s="45">
        <v>3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0.33</v>
      </c>
      <c r="AS54" s="45">
        <v>12</v>
      </c>
      <c r="AT54" s="45">
        <v>6</v>
      </c>
      <c r="AU54" s="58">
        <v>0.5</v>
      </c>
      <c r="AV54" s="45">
        <v>2</v>
      </c>
      <c r="AW54" s="45">
        <v>0</v>
      </c>
      <c r="AX54" s="44" t="s">
        <v>245</v>
      </c>
      <c r="AY54" s="58">
        <v>0</v>
      </c>
      <c r="AZ54" s="45">
        <v>5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-0.29549999999999998</v>
      </c>
      <c r="C55" s="45">
        <v>55</v>
      </c>
      <c r="D55" s="45">
        <v>4</v>
      </c>
      <c r="E55" s="45">
        <v>7</v>
      </c>
      <c r="F55" s="45">
        <v>2</v>
      </c>
      <c r="G55" s="45">
        <v>23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0.32</v>
      </c>
      <c r="AS55" s="45">
        <v>65</v>
      </c>
      <c r="AT55" s="45">
        <v>33</v>
      </c>
      <c r="AU55" s="58">
        <v>0.51</v>
      </c>
      <c r="AV55" s="45">
        <v>6</v>
      </c>
      <c r="AW55" s="45">
        <v>6</v>
      </c>
      <c r="AX55" s="44" t="s">
        <v>235</v>
      </c>
      <c r="AY55" s="58">
        <v>0.24</v>
      </c>
      <c r="AZ55" s="45">
        <v>86</v>
      </c>
      <c r="BA55" s="45">
        <v>36</v>
      </c>
      <c r="BB55" s="58">
        <v>0.42</v>
      </c>
      <c r="BC55" s="45">
        <v>8</v>
      </c>
      <c r="BD55" s="45">
        <v>7</v>
      </c>
    </row>
    <row r="56" spans="1:56" x14ac:dyDescent="0.3">
      <c r="A56" s="40" t="s">
        <v>241</v>
      </c>
      <c r="B56" s="57">
        <v>-0.25</v>
      </c>
      <c r="C56" s="45">
        <v>7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-0.26250000000000001</v>
      </c>
      <c r="C58" s="45">
        <v>40</v>
      </c>
      <c r="D58" s="45">
        <v>4</v>
      </c>
      <c r="E58" s="45">
        <v>6</v>
      </c>
      <c r="F58" s="45">
        <v>2</v>
      </c>
      <c r="G58" s="45">
        <v>17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0.14000000000000001</v>
      </c>
      <c r="AS58" s="45">
        <v>105</v>
      </c>
      <c r="AT58" s="45">
        <v>37</v>
      </c>
      <c r="AU58" s="58">
        <v>0.35</v>
      </c>
      <c r="AV58" s="45">
        <v>8</v>
      </c>
      <c r="AW58" s="45">
        <v>14</v>
      </c>
      <c r="AX58" s="44" t="s">
        <v>240</v>
      </c>
      <c r="AY58" s="58">
        <v>0.36</v>
      </c>
      <c r="AZ58" s="45">
        <v>107</v>
      </c>
      <c r="BA58" s="45">
        <v>53</v>
      </c>
      <c r="BB58" s="58">
        <v>0.5</v>
      </c>
      <c r="BC58" s="45">
        <v>3</v>
      </c>
      <c r="BD58" s="45">
        <v>12</v>
      </c>
    </row>
    <row r="59" spans="1:56" x14ac:dyDescent="0.3">
      <c r="A59" s="40" t="s">
        <v>239</v>
      </c>
      <c r="B59" s="57">
        <v>0.02</v>
      </c>
      <c r="C59" s="45">
        <v>100</v>
      </c>
      <c r="D59" s="45">
        <v>4</v>
      </c>
      <c r="E59" s="45">
        <v>12</v>
      </c>
      <c r="F59" s="45">
        <v>4</v>
      </c>
      <c r="G59" s="45">
        <v>7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0.23</v>
      </c>
      <c r="AS59" s="45">
        <v>110</v>
      </c>
      <c r="AT59" s="45">
        <v>38</v>
      </c>
      <c r="AU59" s="58">
        <v>0.35</v>
      </c>
      <c r="AV59" s="45">
        <v>4</v>
      </c>
      <c r="AW59" s="45">
        <v>9</v>
      </c>
      <c r="AX59" s="44" t="s">
        <v>239</v>
      </c>
      <c r="AY59" s="58">
        <v>0.27</v>
      </c>
      <c r="AZ59" s="45">
        <v>97</v>
      </c>
      <c r="BA59" s="45">
        <v>40</v>
      </c>
      <c r="BB59" s="58">
        <v>0.41</v>
      </c>
      <c r="BC59" s="45">
        <v>7</v>
      </c>
      <c r="BD59" s="45">
        <v>7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0.23</v>
      </c>
      <c r="AS62" s="45">
        <v>13</v>
      </c>
      <c r="AT62" s="45">
        <v>4</v>
      </c>
      <c r="AU62" s="58">
        <v>0.31</v>
      </c>
      <c r="AV62" s="45">
        <v>0</v>
      </c>
      <c r="AW62" s="45">
        <v>1</v>
      </c>
      <c r="AX62" s="44" t="s">
        <v>247</v>
      </c>
      <c r="AY62" s="58">
        <v>0.3</v>
      </c>
      <c r="AZ62" s="45">
        <v>57</v>
      </c>
      <c r="BA62" s="45">
        <v>26</v>
      </c>
      <c r="BB62" s="58">
        <v>0.46</v>
      </c>
      <c r="BC62" s="45">
        <v>2</v>
      </c>
      <c r="BD62" s="45">
        <v>7</v>
      </c>
    </row>
    <row r="63" spans="1:56" x14ac:dyDescent="0.3">
      <c r="A63" s="60" t="s">
        <v>236</v>
      </c>
      <c r="B63" s="57">
        <v>-0.125</v>
      </c>
      <c r="C63" s="49">
        <v>38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0.08</v>
      </c>
      <c r="AS63" s="49">
        <v>52</v>
      </c>
      <c r="AT63" s="49">
        <v>15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38</v>
      </c>
      <c r="BA63" s="49">
        <v>21</v>
      </c>
      <c r="BB63" s="59">
        <v>0.55000000000000004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81" t="s">
        <v>231</v>
      </c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N66" s="177" t="s">
        <v>21</v>
      </c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</row>
    <row r="67" spans="1:35" ht="25.95" customHeight="1" x14ac:dyDescent="0.3">
      <c r="B67" s="1" t="s">
        <v>245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244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" t="s">
        <v>245</v>
      </c>
      <c r="B68" s="1" t="s">
        <v>31</v>
      </c>
      <c r="C68" s="24">
        <v>16</v>
      </c>
      <c r="D68" s="21">
        <f>IF(K68&gt;0,C68/K68,0)</f>
        <v>0.37209302325581395</v>
      </c>
      <c r="E68" s="24">
        <v>16</v>
      </c>
      <c r="F68" s="21">
        <f>IF(K68&gt;0,E68/K68,0)</f>
        <v>0.37209302325581395</v>
      </c>
      <c r="G68" s="24">
        <v>9</v>
      </c>
      <c r="H68" s="21">
        <f>IF(K68&gt;0,G68/K68,0)</f>
        <v>0.20930232558139536</v>
      </c>
      <c r="I68" s="24">
        <v>2</v>
      </c>
      <c r="J68" s="21">
        <f>IF(K68&gt;0,I68/K68,0)</f>
        <v>4.6511627906976744E-2</v>
      </c>
      <c r="K68" s="24">
        <v>43</v>
      </c>
      <c r="N68" s="18" t="s">
        <v>244</v>
      </c>
      <c r="O68" s="18" t="s">
        <v>31</v>
      </c>
      <c r="P68" s="20">
        <v>11</v>
      </c>
      <c r="Q68" s="21">
        <f>IF(X68&gt;0,P68/X68,0)</f>
        <v>0.39285714285714285</v>
      </c>
      <c r="R68" s="20">
        <v>9</v>
      </c>
      <c r="S68" s="21">
        <f>IF(X68&gt;0,R68/X68,0)</f>
        <v>0.32142857142857145</v>
      </c>
      <c r="T68" s="20">
        <v>6</v>
      </c>
      <c r="U68" s="21">
        <f>IF(X68&gt;0,T68/X68,0)</f>
        <v>0.21428571428571427</v>
      </c>
      <c r="V68" s="20">
        <v>2</v>
      </c>
      <c r="W68" s="21">
        <f>IF(X68&gt;0,V68/X68,0)</f>
        <v>7.1428571428571425E-2</v>
      </c>
      <c r="X68" s="20">
        <v>28</v>
      </c>
      <c r="AA68" s="1"/>
      <c r="AB68" s="17" t="s">
        <v>32</v>
      </c>
      <c r="AD68" s="1" t="s">
        <v>245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" t="s">
        <v>245</v>
      </c>
      <c r="B69" s="22"/>
      <c r="C69" s="25">
        <v>6</v>
      </c>
      <c r="D69" s="21">
        <f>IF(C68&gt;0,C69/C68,0)</f>
        <v>0.375</v>
      </c>
      <c r="E69" s="25">
        <v>9</v>
      </c>
      <c r="F69" s="21">
        <f>IF(E68&gt;0,E69/E68,0)</f>
        <v>0.5625</v>
      </c>
      <c r="G69" s="25">
        <v>4</v>
      </c>
      <c r="H69" s="21">
        <f>IF(G68&gt;0,G69/G68,0)</f>
        <v>0.44444444444444442</v>
      </c>
      <c r="I69" s="25">
        <v>2</v>
      </c>
      <c r="J69" s="21">
        <f>IF(I68&gt;0,I69/I68,0)</f>
        <v>1</v>
      </c>
      <c r="K69" s="25"/>
      <c r="N69" s="18" t="s">
        <v>244</v>
      </c>
      <c r="O69" s="22"/>
      <c r="P69" s="23">
        <v>3</v>
      </c>
      <c r="Q69" s="21">
        <f>IF(P68&gt;0,P69/P68,0)</f>
        <v>0.27272727272727271</v>
      </c>
      <c r="R69" s="23">
        <v>5</v>
      </c>
      <c r="S69" s="21">
        <f>IF(R68&gt;0,R69/R68,0)</f>
        <v>0.55555555555555558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46">
        <v>0.36</v>
      </c>
      <c r="AD69" s="1" t="s">
        <v>31</v>
      </c>
      <c r="AE69" s="146">
        <v>0.4</v>
      </c>
      <c r="AF69" s="25">
        <v>43</v>
      </c>
      <c r="AG69" s="25">
        <v>21</v>
      </c>
      <c r="AH69" s="146">
        <v>0.49</v>
      </c>
      <c r="AI69" s="146">
        <v>0.09</v>
      </c>
    </row>
    <row r="70" spans="1:35" ht="22.05" customHeight="1" x14ac:dyDescent="0.3">
      <c r="A70" s="1" t="s">
        <v>245</v>
      </c>
      <c r="B70" s="1" t="s">
        <v>36</v>
      </c>
      <c r="C70" s="24">
        <v>14</v>
      </c>
      <c r="D70" s="21">
        <f>IF(K70&gt;0,C70/K70,0)</f>
        <v>0.41176470588235292</v>
      </c>
      <c r="E70" s="24">
        <v>10</v>
      </c>
      <c r="F70" s="21">
        <f>IF(K70&gt;0,E70/K70,0)</f>
        <v>0.29411764705882354</v>
      </c>
      <c r="G70" s="24">
        <v>10</v>
      </c>
      <c r="H70" s="21">
        <f>IF(K70&gt;0,G70/K70,0)</f>
        <v>0.29411764705882354</v>
      </c>
      <c r="I70" s="24">
        <v>0</v>
      </c>
      <c r="J70" s="21">
        <f>IF(K70&gt;0,I70/K70,0)</f>
        <v>0</v>
      </c>
      <c r="K70" s="24">
        <v>34</v>
      </c>
      <c r="N70" s="18" t="s">
        <v>244</v>
      </c>
      <c r="O70" s="18" t="s">
        <v>36</v>
      </c>
      <c r="P70" s="20">
        <v>10</v>
      </c>
      <c r="Q70" s="21">
        <f>IF(X70&gt;0,P70/X70,0)</f>
        <v>0.37037037037037035</v>
      </c>
      <c r="R70" s="20">
        <v>9</v>
      </c>
      <c r="S70" s="21">
        <f>IF(X70&gt;0,R70/X70,0)</f>
        <v>0.33333333333333331</v>
      </c>
      <c r="T70" s="20">
        <v>8</v>
      </c>
      <c r="U70" s="21">
        <f>IF(X70&gt;0,T70/X70,0)</f>
        <v>0.29629629629629628</v>
      </c>
      <c r="V70" s="20">
        <v>0</v>
      </c>
      <c r="W70" s="21">
        <f>IF(X70&gt;0,V70/X70,0)</f>
        <v>0</v>
      </c>
      <c r="X70" s="20">
        <v>27</v>
      </c>
      <c r="AA70" s="17" t="s">
        <v>37</v>
      </c>
      <c r="AB70" s="146">
        <v>0.33</v>
      </c>
      <c r="AD70" s="1" t="s">
        <v>36</v>
      </c>
      <c r="AE70" s="146">
        <v>0.18</v>
      </c>
      <c r="AF70" s="25">
        <v>34</v>
      </c>
      <c r="AG70" s="25">
        <v>15</v>
      </c>
      <c r="AH70" s="146">
        <v>0.44</v>
      </c>
      <c r="AI70" s="146">
        <v>0.26</v>
      </c>
    </row>
    <row r="71" spans="1:35" ht="22.05" customHeight="1" x14ac:dyDescent="0.3">
      <c r="A71" s="1" t="s">
        <v>245</v>
      </c>
      <c r="B71" s="22"/>
      <c r="C71" s="25">
        <v>6</v>
      </c>
      <c r="D71" s="21">
        <f>IF(C70&gt;0,C71/C70,0)</f>
        <v>0.42857142857142855</v>
      </c>
      <c r="E71" s="25">
        <v>4</v>
      </c>
      <c r="F71" s="21">
        <f>IF(E70&gt;0,E71/E70,0)</f>
        <v>0.4</v>
      </c>
      <c r="G71" s="25">
        <v>5</v>
      </c>
      <c r="H71" s="21">
        <f>IF(G70&gt;0,G71/G70,0)</f>
        <v>0.5</v>
      </c>
      <c r="I71" s="25">
        <v>0</v>
      </c>
      <c r="J71" s="21">
        <f>IF(I70&gt;0,I71/I70,0)</f>
        <v>0</v>
      </c>
      <c r="K71" s="25"/>
      <c r="N71" s="18" t="s">
        <v>244</v>
      </c>
      <c r="O71" s="22"/>
      <c r="P71" s="23">
        <v>6</v>
      </c>
      <c r="Q71" s="21">
        <f>IF(P70&gt;0,P71/P70,0)</f>
        <v>0.6</v>
      </c>
      <c r="R71" s="23">
        <v>6</v>
      </c>
      <c r="S71" s="21">
        <f>IF(R70&gt;0,R71/R70,0)</f>
        <v>0.66666666666666663</v>
      </c>
      <c r="T71" s="23">
        <v>4</v>
      </c>
      <c r="U71" s="21">
        <f>IF(T70&gt;0,T71/T70,0)</f>
        <v>0.5</v>
      </c>
      <c r="V71" s="23">
        <v>0</v>
      </c>
      <c r="W71" s="21">
        <f>IF(V70&gt;0,V71/V70,0)</f>
        <v>0</v>
      </c>
      <c r="X71" s="23"/>
      <c r="AA71" s="17" t="s">
        <v>38</v>
      </c>
      <c r="AB71" s="146">
        <v>0.38</v>
      </c>
      <c r="AD71" s="1" t="s">
        <v>39</v>
      </c>
      <c r="AE71" s="146">
        <v>0.41</v>
      </c>
      <c r="AF71" s="25">
        <v>29</v>
      </c>
      <c r="AG71" s="25">
        <v>17</v>
      </c>
      <c r="AH71" s="146">
        <v>0.59</v>
      </c>
      <c r="AI71" s="146">
        <v>0.17</v>
      </c>
    </row>
    <row r="72" spans="1:35" ht="22.05" customHeight="1" x14ac:dyDescent="0.3">
      <c r="A72" s="1" t="s">
        <v>245</v>
      </c>
      <c r="B72" s="1" t="s">
        <v>39</v>
      </c>
      <c r="C72" s="24">
        <v>10</v>
      </c>
      <c r="D72" s="21">
        <f>IF(K72&gt;0,C72/K72,0)</f>
        <v>0.34482758620689657</v>
      </c>
      <c r="E72" s="24">
        <v>13</v>
      </c>
      <c r="F72" s="21">
        <f>IF(K72&gt;0,E72/K72,0)</f>
        <v>0.44827586206896552</v>
      </c>
      <c r="G72" s="24">
        <v>6</v>
      </c>
      <c r="H72" s="21">
        <f>IF(K72&gt;0,G72/K72,0)</f>
        <v>0.20689655172413793</v>
      </c>
      <c r="I72" s="24">
        <v>0</v>
      </c>
      <c r="J72" s="21">
        <f>IF(K72&gt;0,I72/K72,0)</f>
        <v>0</v>
      </c>
      <c r="K72" s="24">
        <v>29</v>
      </c>
      <c r="N72" s="18" t="s">
        <v>244</v>
      </c>
      <c r="O72" s="18" t="s">
        <v>39</v>
      </c>
      <c r="P72" s="20">
        <v>7</v>
      </c>
      <c r="Q72" s="21">
        <f>IF(X72&gt;0,P72/X72,0)</f>
        <v>0.29166666666666669</v>
      </c>
      <c r="R72" s="20">
        <v>13</v>
      </c>
      <c r="S72" s="21">
        <f>IF(X72&gt;0,R72/X72,0)</f>
        <v>0.54166666666666663</v>
      </c>
      <c r="T72" s="20">
        <v>3</v>
      </c>
      <c r="U72" s="21">
        <f>IF(X72&gt;0,T72/X72,0)</f>
        <v>0.125</v>
      </c>
      <c r="V72" s="20">
        <v>1</v>
      </c>
      <c r="W72" s="21">
        <f>IF(X72&gt;0,V72/X72,0)</f>
        <v>4.1666666666666664E-2</v>
      </c>
      <c r="X72" s="20">
        <v>24</v>
      </c>
      <c r="AA72" s="17" t="s">
        <v>40</v>
      </c>
      <c r="AB72" s="146">
        <v>0.56000000000000005</v>
      </c>
      <c r="AD72" s="1" t="s">
        <v>41</v>
      </c>
      <c r="AE72" s="146">
        <v>0.34</v>
      </c>
      <c r="AF72" s="25">
        <v>29</v>
      </c>
      <c r="AG72" s="25">
        <v>15</v>
      </c>
      <c r="AH72" s="146">
        <v>0.52</v>
      </c>
      <c r="AI72" s="146">
        <v>0.17</v>
      </c>
    </row>
    <row r="73" spans="1:35" ht="22.05" customHeight="1" x14ac:dyDescent="0.3">
      <c r="A73" s="1" t="s">
        <v>245</v>
      </c>
      <c r="B73" s="22"/>
      <c r="C73" s="25">
        <v>7</v>
      </c>
      <c r="D73" s="21">
        <f>IF(C72&gt;0,C73/C72,0)</f>
        <v>0.7</v>
      </c>
      <c r="E73" s="25">
        <v>7</v>
      </c>
      <c r="F73" s="21">
        <f>IF(E72&gt;0,E73/E72,0)</f>
        <v>0.53846153846153844</v>
      </c>
      <c r="G73" s="25">
        <v>3</v>
      </c>
      <c r="H73" s="21">
        <f>IF(G72&gt;0,G73/G72,0)</f>
        <v>0.5</v>
      </c>
      <c r="I73" s="25">
        <v>0</v>
      </c>
      <c r="J73" s="21">
        <f>IF(I72&gt;0,I73/I72,0)</f>
        <v>0</v>
      </c>
      <c r="K73" s="25"/>
      <c r="N73" s="18" t="s">
        <v>244</v>
      </c>
      <c r="O73" s="22"/>
      <c r="P73" s="23">
        <v>4</v>
      </c>
      <c r="Q73" s="21">
        <f>IF(P72&gt;0,P73/P72,0)</f>
        <v>0.5714285714285714</v>
      </c>
      <c r="R73" s="23">
        <v>6</v>
      </c>
      <c r="S73" s="21">
        <f>IF(R72&gt;0,R73/R72,0)</f>
        <v>0.46153846153846156</v>
      </c>
      <c r="T73" s="23">
        <v>1</v>
      </c>
      <c r="U73" s="21">
        <f>IF(T72&gt;0,T73/T72,0)</f>
        <v>0.33333333333333331</v>
      </c>
      <c r="V73" s="23">
        <v>0</v>
      </c>
      <c r="W73" s="21">
        <f>IF(V72&gt;0,V73/V72,0)</f>
        <v>0</v>
      </c>
      <c r="X73" s="23"/>
      <c r="AA73" s="17" t="s">
        <v>42</v>
      </c>
      <c r="AB73" s="146">
        <v>0.17</v>
      </c>
      <c r="AD73" s="1" t="s">
        <v>43</v>
      </c>
      <c r="AE73" s="146">
        <v>0.38</v>
      </c>
      <c r="AF73" s="25">
        <v>26</v>
      </c>
      <c r="AG73" s="25">
        <v>15</v>
      </c>
      <c r="AH73" s="146">
        <v>0.57999999999999996</v>
      </c>
      <c r="AI73" s="146">
        <v>0.19</v>
      </c>
    </row>
    <row r="74" spans="1:35" ht="22.05" customHeight="1" x14ac:dyDescent="0.3">
      <c r="A74" s="1" t="s">
        <v>245</v>
      </c>
      <c r="B74" s="1" t="s">
        <v>41</v>
      </c>
      <c r="C74" s="24">
        <v>12</v>
      </c>
      <c r="D74" s="21">
        <f>IF(K74&gt;0,C74/K74,0)</f>
        <v>0.41379310344827586</v>
      </c>
      <c r="E74" s="24">
        <v>10</v>
      </c>
      <c r="F74" s="21">
        <f>IF(K74&gt;0,E74/K74,0)</f>
        <v>0.34482758620689657</v>
      </c>
      <c r="G74" s="24">
        <v>7</v>
      </c>
      <c r="H74" s="21">
        <f>IF(K74&gt;0,G74/K74,0)</f>
        <v>0.2413793103448276</v>
      </c>
      <c r="I74" s="24">
        <v>0</v>
      </c>
      <c r="J74" s="21">
        <f>IF(K74&gt;0,I74/K74,0)</f>
        <v>0</v>
      </c>
      <c r="K74" s="24">
        <v>29</v>
      </c>
      <c r="N74" s="18" t="s">
        <v>244</v>
      </c>
      <c r="O74" s="18" t="s">
        <v>41</v>
      </c>
      <c r="P74" s="20">
        <v>9</v>
      </c>
      <c r="Q74" s="21">
        <f>IF(X74&gt;0,P74/X74,0)</f>
        <v>0.5</v>
      </c>
      <c r="R74" s="20">
        <v>7</v>
      </c>
      <c r="S74" s="21">
        <f>IF(X74&gt;0,R74/X74,0)</f>
        <v>0.3888888888888889</v>
      </c>
      <c r="T74" s="20">
        <v>2</v>
      </c>
      <c r="U74" s="21">
        <f>IF(X74&gt;0,T74/X74,0)</f>
        <v>0.1111111111111111</v>
      </c>
      <c r="V74" s="20">
        <v>0</v>
      </c>
      <c r="W74" s="21">
        <f>IF(X74&gt;0,V74/X74,0)</f>
        <v>0</v>
      </c>
      <c r="X74" s="20">
        <v>18</v>
      </c>
      <c r="AA74" s="17" t="s">
        <v>44</v>
      </c>
      <c r="AB74" s="146">
        <v>0.17</v>
      </c>
      <c r="AD74" s="1" t="s">
        <v>45</v>
      </c>
      <c r="AE74" s="146">
        <v>0.45</v>
      </c>
      <c r="AF74" s="25">
        <v>22</v>
      </c>
      <c r="AG74" s="25">
        <v>11</v>
      </c>
      <c r="AH74" s="146">
        <v>0.5</v>
      </c>
      <c r="AI74" s="146">
        <v>0.05</v>
      </c>
    </row>
    <row r="75" spans="1:35" ht="22.05" customHeight="1" x14ac:dyDescent="0.3">
      <c r="A75" s="1" t="s">
        <v>245</v>
      </c>
      <c r="B75" s="22"/>
      <c r="C75" s="25">
        <v>8</v>
      </c>
      <c r="D75" s="21">
        <f>IF(C74&gt;0,C75/C74,0)</f>
        <v>0.66666666666666663</v>
      </c>
      <c r="E75" s="25">
        <v>4</v>
      </c>
      <c r="F75" s="21">
        <f>IF(E74&gt;0,E75/E74,0)</f>
        <v>0.4</v>
      </c>
      <c r="G75" s="25">
        <v>3</v>
      </c>
      <c r="H75" s="21">
        <f>IF(G74&gt;0,G75/G74,0)</f>
        <v>0.42857142857142855</v>
      </c>
      <c r="I75" s="25">
        <v>0</v>
      </c>
      <c r="J75" s="21">
        <f>IF(I74&gt;0,I75/I74,0)</f>
        <v>0</v>
      </c>
      <c r="K75" s="25"/>
      <c r="N75" s="18" t="s">
        <v>244</v>
      </c>
      <c r="O75" s="22"/>
      <c r="P75" s="23">
        <v>4</v>
      </c>
      <c r="Q75" s="21">
        <f>IF(P74&gt;0,P75/P74,0)</f>
        <v>0.44444444444444442</v>
      </c>
      <c r="R75" s="23">
        <v>5</v>
      </c>
      <c r="S75" s="21">
        <f>IF(R74&gt;0,R75/R74,0)</f>
        <v>0.7142857142857143</v>
      </c>
      <c r="T75" s="23">
        <v>1</v>
      </c>
      <c r="U75" s="21">
        <f>IF(T74&gt;0,T75/T74,0)</f>
        <v>0.5</v>
      </c>
      <c r="V75" s="23">
        <v>0</v>
      </c>
      <c r="W75" s="21">
        <f>IF(V74&gt;0,V75/V74,0)</f>
        <v>0</v>
      </c>
      <c r="X75" s="23"/>
      <c r="AD75" s="1" t="s">
        <v>46</v>
      </c>
      <c r="AE75" s="146">
        <v>0.36</v>
      </c>
      <c r="AF75" s="25">
        <v>183</v>
      </c>
      <c r="AG75" s="25">
        <v>94</v>
      </c>
      <c r="AH75" s="146">
        <v>0.51</v>
      </c>
      <c r="AI75" s="146">
        <v>0.16</v>
      </c>
    </row>
    <row r="76" spans="1:35" ht="22.05" customHeight="1" x14ac:dyDescent="0.3">
      <c r="A76" s="1" t="s">
        <v>245</v>
      </c>
      <c r="B76" s="1" t="s">
        <v>43</v>
      </c>
      <c r="C76" s="24">
        <v>10</v>
      </c>
      <c r="D76" s="21">
        <f>IF(K76&gt;0,C76/K76,0)</f>
        <v>0.38461538461538464</v>
      </c>
      <c r="E76" s="24">
        <v>10</v>
      </c>
      <c r="F76" s="21">
        <f>IF(K76&gt;0,E76/K76,0)</f>
        <v>0.38461538461538464</v>
      </c>
      <c r="G76" s="24">
        <v>5</v>
      </c>
      <c r="H76" s="21">
        <f>IF(K76&gt;0,G76/K76,0)</f>
        <v>0.19230769230769232</v>
      </c>
      <c r="I76" s="24">
        <v>0</v>
      </c>
      <c r="J76" s="21">
        <f>IF(K76&gt;0,I76/K76,0)</f>
        <v>0</v>
      </c>
      <c r="K76" s="24">
        <v>26</v>
      </c>
      <c r="N76" s="18" t="s">
        <v>244</v>
      </c>
      <c r="O76" s="18" t="s">
        <v>43</v>
      </c>
      <c r="P76" s="20">
        <v>4</v>
      </c>
      <c r="Q76" s="21">
        <f>IF(X76&gt;0,P76/X76,0)</f>
        <v>0.30769230769230771</v>
      </c>
      <c r="R76" s="20">
        <v>5</v>
      </c>
      <c r="S76" s="21">
        <f>IF(X76&gt;0,R76/X76,0)</f>
        <v>0.38461538461538464</v>
      </c>
      <c r="T76" s="20">
        <v>1</v>
      </c>
      <c r="U76" s="21">
        <f>IF(X76&gt;0,T76/X76,0)</f>
        <v>7.6923076923076927E-2</v>
      </c>
      <c r="V76" s="20">
        <v>2</v>
      </c>
      <c r="W76" s="21">
        <f>IF(X76&gt;0,V76/X76,0)</f>
        <v>0.15384615384615385</v>
      </c>
      <c r="X76" s="20">
        <v>13</v>
      </c>
      <c r="AD76" s="1" t="s">
        <v>47</v>
      </c>
      <c r="AE76" s="146">
        <v>0.17</v>
      </c>
      <c r="AF76" s="25">
        <v>167</v>
      </c>
      <c r="AG76" s="25">
        <v>61</v>
      </c>
      <c r="AH76" s="146">
        <v>0.37</v>
      </c>
      <c r="AI76" s="146">
        <v>0.2</v>
      </c>
    </row>
    <row r="77" spans="1:35" ht="22.05" customHeight="1" x14ac:dyDescent="0.3">
      <c r="A77" s="1" t="s">
        <v>245</v>
      </c>
      <c r="B77" s="22"/>
      <c r="C77" s="25">
        <v>5</v>
      </c>
      <c r="D77" s="21">
        <f>IF(C76&gt;0,C77/C76,0)</f>
        <v>0.5</v>
      </c>
      <c r="E77" s="25">
        <v>8</v>
      </c>
      <c r="F77" s="21">
        <f>IF(E76&gt;0,E77/E76,0)</f>
        <v>0.8</v>
      </c>
      <c r="G77" s="25">
        <v>2</v>
      </c>
      <c r="H77" s="21">
        <f>IF(G76&gt;0,G77/G76,0)</f>
        <v>0.4</v>
      </c>
      <c r="I77" s="25">
        <v>0</v>
      </c>
      <c r="J77" s="21">
        <f>IF(I76&gt;0,I77/I76,0)</f>
        <v>0</v>
      </c>
      <c r="K77" s="25"/>
      <c r="N77" s="18" t="s">
        <v>244</v>
      </c>
      <c r="O77" s="22"/>
      <c r="P77" s="23">
        <v>1</v>
      </c>
      <c r="Q77" s="21">
        <f>IF(P76&gt;0,P77/P76,0)</f>
        <v>0.25</v>
      </c>
      <c r="R77" s="23">
        <v>2</v>
      </c>
      <c r="S77" s="21">
        <f>IF(R76&gt;0,R77/R76,0)</f>
        <v>0.4</v>
      </c>
      <c r="T77" s="23">
        <v>0</v>
      </c>
      <c r="U77" s="21">
        <f>IF(T76&gt;0,T77/T76,0)</f>
        <v>0</v>
      </c>
      <c r="V77" s="23">
        <v>1</v>
      </c>
      <c r="W77" s="21">
        <f>IF(V76&gt;0,V77/V76,0)</f>
        <v>0.5</v>
      </c>
      <c r="X77" s="23"/>
      <c r="AE77" s="148"/>
      <c r="AH77" s="148"/>
      <c r="AI77" s="148"/>
    </row>
    <row r="78" spans="1:35" ht="24" customHeight="1" x14ac:dyDescent="0.3">
      <c r="A78" s="1" t="s">
        <v>245</v>
      </c>
      <c r="B78" s="1" t="s">
        <v>45</v>
      </c>
      <c r="C78" s="24">
        <v>7</v>
      </c>
      <c r="D78" s="21">
        <f>IF(K78&gt;0,C78/K78,0)</f>
        <v>0.31818181818181818</v>
      </c>
      <c r="E78" s="24">
        <v>10</v>
      </c>
      <c r="F78" s="21">
        <f>IF(K78&gt;0,E78/K78,0)</f>
        <v>0.45454545454545453</v>
      </c>
      <c r="G78" s="24">
        <v>4</v>
      </c>
      <c r="H78" s="21">
        <f>IF(K78&gt;0,G78/K78,0)</f>
        <v>0.18181818181818182</v>
      </c>
      <c r="I78" s="24">
        <v>1</v>
      </c>
      <c r="J78" s="21">
        <f>IF(K78&gt;0,I78/K78,0)</f>
        <v>4.5454545454545456E-2</v>
      </c>
      <c r="K78" s="24">
        <v>22</v>
      </c>
      <c r="N78" s="18" t="s">
        <v>244</v>
      </c>
      <c r="O78" s="18" t="s">
        <v>45</v>
      </c>
      <c r="P78" s="20">
        <v>4</v>
      </c>
      <c r="Q78" s="21">
        <f>IF(X78&gt;0,P78/X78,0)</f>
        <v>0.33333333333333331</v>
      </c>
      <c r="R78" s="20">
        <v>4</v>
      </c>
      <c r="S78" s="21">
        <f>IF(X78&gt;0,R78/X78,0)</f>
        <v>0.33333333333333331</v>
      </c>
      <c r="T78" s="20">
        <v>3</v>
      </c>
      <c r="U78" s="21">
        <f>IF(X78&gt;0,T78/X78,0)</f>
        <v>0.25</v>
      </c>
      <c r="V78" s="20">
        <v>1</v>
      </c>
      <c r="W78" s="21">
        <f>IF(X78&gt;0,V78/X78,0)</f>
        <v>8.3333333333333329E-2</v>
      </c>
      <c r="X78" s="20">
        <v>12</v>
      </c>
      <c r="AA78" s="18"/>
      <c r="AB78" s="17" t="s">
        <v>32</v>
      </c>
      <c r="AD78" s="18" t="s">
        <v>244</v>
      </c>
      <c r="AE78" s="147" t="s">
        <v>32</v>
      </c>
      <c r="AF78" s="17" t="s">
        <v>30</v>
      </c>
      <c r="AG78" s="17" t="s">
        <v>3</v>
      </c>
      <c r="AH78" s="147" t="s">
        <v>33</v>
      </c>
      <c r="AI78" s="147" t="s">
        <v>34</v>
      </c>
    </row>
    <row r="79" spans="1:35" ht="22.05" customHeight="1" x14ac:dyDescent="0.3">
      <c r="A79" s="1" t="s">
        <v>245</v>
      </c>
      <c r="B79" s="22"/>
      <c r="C79" s="25">
        <v>2</v>
      </c>
      <c r="D79" s="21">
        <f>IF(C78&gt;0,C79/C78,0)</f>
        <v>0.2857142857142857</v>
      </c>
      <c r="E79" s="25">
        <v>7</v>
      </c>
      <c r="F79" s="21">
        <f>IF(E78&gt;0,E79/E78,0)</f>
        <v>0.7</v>
      </c>
      <c r="G79" s="25">
        <v>2</v>
      </c>
      <c r="H79" s="21">
        <f>IF(G78&gt;0,G79/G78,0)</f>
        <v>0.5</v>
      </c>
      <c r="I79" s="25">
        <v>0</v>
      </c>
      <c r="J79" s="21">
        <f>IF(I78&gt;0,I79/I78,0)</f>
        <v>0</v>
      </c>
      <c r="K79" s="25"/>
      <c r="N79" s="18" t="s">
        <v>244</v>
      </c>
      <c r="O79" s="22"/>
      <c r="P79" s="23">
        <v>3</v>
      </c>
      <c r="Q79" s="21">
        <f>IF(P78&gt;0,P79/P78,0)</f>
        <v>0.75</v>
      </c>
      <c r="R79" s="23">
        <v>3</v>
      </c>
      <c r="S79" s="21">
        <f>IF(R78&gt;0,R79/R78,0)</f>
        <v>0.75</v>
      </c>
      <c r="T79" s="23">
        <v>3</v>
      </c>
      <c r="U79" s="21">
        <f>IF(T78&gt;0,T79/T78,0)</f>
        <v>1</v>
      </c>
      <c r="V79" s="23">
        <v>1</v>
      </c>
      <c r="W79" s="21">
        <f>IF(V78&gt;0,V79/V78,0)</f>
        <v>1</v>
      </c>
      <c r="X79" s="23"/>
      <c r="AA79" s="17" t="s">
        <v>35</v>
      </c>
      <c r="AB79" s="146">
        <v>0.28999999999999998</v>
      </c>
      <c r="AD79" s="18" t="s">
        <v>31</v>
      </c>
      <c r="AE79" s="146">
        <v>0</v>
      </c>
      <c r="AF79" s="25">
        <v>28</v>
      </c>
      <c r="AG79" s="25">
        <v>8</v>
      </c>
      <c r="AH79" s="146">
        <v>0.28999999999999998</v>
      </c>
      <c r="AI79" s="146">
        <v>0.28999999999999998</v>
      </c>
    </row>
    <row r="80" spans="1:35" ht="22.05" customHeight="1" x14ac:dyDescent="0.3">
      <c r="A80" s="169" t="s">
        <v>48</v>
      </c>
      <c r="B80" s="170"/>
      <c r="C80" s="170"/>
      <c r="D80" s="170"/>
      <c r="E80" s="170"/>
      <c r="F80" s="171"/>
      <c r="G80" s="172" t="s">
        <v>49</v>
      </c>
      <c r="H80" s="173"/>
      <c r="I80" s="173"/>
      <c r="J80" s="173"/>
      <c r="K80" s="173"/>
      <c r="L80" s="173"/>
      <c r="N80" s="169" t="s">
        <v>48</v>
      </c>
      <c r="O80" s="170"/>
      <c r="P80" s="170"/>
      <c r="Q80" s="170"/>
      <c r="R80" s="170"/>
      <c r="S80" s="171"/>
      <c r="T80" s="172" t="s">
        <v>49</v>
      </c>
      <c r="U80" s="173"/>
      <c r="V80" s="173"/>
      <c r="W80" s="173"/>
      <c r="X80" s="173"/>
      <c r="Y80" s="173"/>
      <c r="AA80" s="17" t="s">
        <v>37</v>
      </c>
      <c r="AB80" s="146">
        <v>0.31</v>
      </c>
      <c r="AD80" s="18" t="s">
        <v>36</v>
      </c>
      <c r="AE80" s="146">
        <v>0.56000000000000005</v>
      </c>
      <c r="AF80" s="25">
        <v>27</v>
      </c>
      <c r="AG80" s="25">
        <v>16</v>
      </c>
      <c r="AH80" s="146">
        <v>0.59</v>
      </c>
      <c r="AI80" s="146">
        <v>0.04</v>
      </c>
    </row>
    <row r="81" spans="1:48" ht="22.05" customHeight="1" x14ac:dyDescent="0.3">
      <c r="A81" s="32">
        <v>69</v>
      </c>
      <c r="B81" s="61"/>
      <c r="C81" s="35">
        <v>69</v>
      </c>
      <c r="D81" s="61"/>
      <c r="E81" s="35">
        <v>25</v>
      </c>
      <c r="F81" s="61"/>
      <c r="G81" s="32">
        <v>86</v>
      </c>
      <c r="H81" s="61"/>
      <c r="I81" s="32">
        <v>23</v>
      </c>
      <c r="J81" s="61"/>
      <c r="K81" s="32">
        <v>32</v>
      </c>
      <c r="L81" s="61"/>
      <c r="N81" s="32">
        <v>45</v>
      </c>
      <c r="O81" s="61"/>
      <c r="P81" s="35">
        <v>47</v>
      </c>
      <c r="Q81" s="61"/>
      <c r="R81" s="35">
        <v>17</v>
      </c>
      <c r="S81" s="61"/>
      <c r="T81" s="32">
        <v>52</v>
      </c>
      <c r="U81" s="61"/>
      <c r="V81" s="32">
        <v>14</v>
      </c>
      <c r="W81" s="61"/>
      <c r="X81" s="32">
        <v>15</v>
      </c>
      <c r="Y81" s="61"/>
      <c r="AA81" s="17" t="s">
        <v>38</v>
      </c>
      <c r="AB81" s="146">
        <v>0.36</v>
      </c>
      <c r="AD81" s="18" t="s">
        <v>39</v>
      </c>
      <c r="AE81" s="146">
        <v>0.28999999999999998</v>
      </c>
      <c r="AF81" s="25">
        <v>24</v>
      </c>
      <c r="AG81" s="25">
        <v>11</v>
      </c>
      <c r="AH81" s="146">
        <v>0.46</v>
      </c>
      <c r="AI81" s="146">
        <v>0.17</v>
      </c>
    </row>
    <row r="82" spans="1:48" ht="22.05" customHeight="1" x14ac:dyDescent="0.3">
      <c r="A82" s="33">
        <v>34</v>
      </c>
      <c r="B82" s="62">
        <v>0.49</v>
      </c>
      <c r="C82" s="36">
        <v>39</v>
      </c>
      <c r="D82" s="62">
        <v>0.56999999999999995</v>
      </c>
      <c r="E82" s="36">
        <v>12</v>
      </c>
      <c r="F82" s="62">
        <v>0.48</v>
      </c>
      <c r="G82" s="33">
        <v>31</v>
      </c>
      <c r="H82" s="62">
        <v>0.36</v>
      </c>
      <c r="I82" s="33">
        <v>8</v>
      </c>
      <c r="J82" s="62">
        <v>0.35</v>
      </c>
      <c r="K82" s="33">
        <v>9</v>
      </c>
      <c r="L82" s="62">
        <v>0.28000000000000003</v>
      </c>
      <c r="N82" s="33">
        <v>21</v>
      </c>
      <c r="O82" s="62">
        <v>0.47</v>
      </c>
      <c r="P82" s="36">
        <v>27</v>
      </c>
      <c r="Q82" s="62">
        <v>0.56999999999999995</v>
      </c>
      <c r="R82" s="36">
        <v>5</v>
      </c>
      <c r="S82" s="62">
        <v>0.28999999999999998</v>
      </c>
      <c r="T82" s="33">
        <v>20</v>
      </c>
      <c r="U82" s="62">
        <v>0.38</v>
      </c>
      <c r="V82" s="33">
        <v>9</v>
      </c>
      <c r="W82" s="62">
        <v>0.64</v>
      </c>
      <c r="X82" s="33">
        <v>5</v>
      </c>
      <c r="Y82" s="62">
        <v>0.33</v>
      </c>
      <c r="AA82" s="17" t="s">
        <v>40</v>
      </c>
      <c r="AB82" s="146">
        <v>0.15</v>
      </c>
      <c r="AD82" s="18" t="s">
        <v>41</v>
      </c>
      <c r="AE82" s="146">
        <v>0.33</v>
      </c>
      <c r="AF82" s="25">
        <v>18</v>
      </c>
      <c r="AG82" s="25">
        <v>10</v>
      </c>
      <c r="AH82" s="146">
        <v>0.56000000000000005</v>
      </c>
      <c r="AI82" s="146">
        <v>0.22</v>
      </c>
    </row>
    <row r="83" spans="1:48" ht="22.05" customHeight="1" x14ac:dyDescent="0.3">
      <c r="A83" s="63"/>
      <c r="B83" s="64"/>
      <c r="C83" s="35">
        <v>3</v>
      </c>
      <c r="D83" s="61"/>
      <c r="E83" s="34">
        <v>16</v>
      </c>
      <c r="F83" s="61"/>
      <c r="G83" s="32"/>
      <c r="H83" s="61"/>
      <c r="I83" s="34">
        <v>7</v>
      </c>
      <c r="J83" s="65"/>
      <c r="K83" s="32">
        <v>16</v>
      </c>
      <c r="L83" s="61"/>
      <c r="N83" s="63"/>
      <c r="O83" s="64"/>
      <c r="P83" s="35">
        <v>6</v>
      </c>
      <c r="Q83" s="61"/>
      <c r="R83" s="34">
        <v>6</v>
      </c>
      <c r="S83" s="61"/>
      <c r="T83" s="32"/>
      <c r="U83" s="61"/>
      <c r="V83" s="34">
        <v>6</v>
      </c>
      <c r="W83" s="65"/>
      <c r="X83" s="32">
        <v>15</v>
      </c>
      <c r="Y83" s="61"/>
      <c r="AA83" s="17" t="s">
        <v>42</v>
      </c>
      <c r="AB83" s="146">
        <v>0.31</v>
      </c>
      <c r="AD83" s="18" t="s">
        <v>43</v>
      </c>
      <c r="AE83" s="146">
        <v>0.23</v>
      </c>
      <c r="AF83" s="25">
        <v>13</v>
      </c>
      <c r="AG83" s="25">
        <v>5</v>
      </c>
      <c r="AH83" s="146">
        <v>0.38</v>
      </c>
      <c r="AI83" s="146">
        <v>0.15</v>
      </c>
    </row>
    <row r="84" spans="1:48" ht="22.05" customHeight="1" x14ac:dyDescent="0.3">
      <c r="A84" s="66"/>
      <c r="B84" s="67"/>
      <c r="C84" s="36">
        <v>2</v>
      </c>
      <c r="D84" s="62">
        <v>0.67</v>
      </c>
      <c r="E84" s="31">
        <v>7</v>
      </c>
      <c r="F84" s="68">
        <v>0.44</v>
      </c>
      <c r="G84" s="33"/>
      <c r="H84" s="62"/>
      <c r="I84" s="31">
        <v>3</v>
      </c>
      <c r="J84" s="69">
        <v>0.43</v>
      </c>
      <c r="K84" s="33">
        <v>7</v>
      </c>
      <c r="L84" s="62">
        <v>0.44</v>
      </c>
      <c r="N84" s="66"/>
      <c r="O84" s="67"/>
      <c r="P84" s="36">
        <v>2</v>
      </c>
      <c r="Q84" s="62">
        <v>0.33</v>
      </c>
      <c r="R84" s="31">
        <v>4</v>
      </c>
      <c r="S84" s="68">
        <v>0.67</v>
      </c>
      <c r="T84" s="33"/>
      <c r="U84" s="62"/>
      <c r="V84" s="31">
        <v>2</v>
      </c>
      <c r="W84" s="69">
        <v>0.33</v>
      </c>
      <c r="X84" s="33">
        <v>9</v>
      </c>
      <c r="Y84" s="62">
        <v>0.6</v>
      </c>
      <c r="AA84" s="17" t="s">
        <v>44</v>
      </c>
      <c r="AB84" s="146">
        <v>0.3</v>
      </c>
      <c r="AD84" s="18" t="s">
        <v>45</v>
      </c>
      <c r="AE84" s="146">
        <v>0.83</v>
      </c>
      <c r="AF84" s="25">
        <v>12</v>
      </c>
      <c r="AG84" s="25">
        <v>10</v>
      </c>
      <c r="AH84" s="146">
        <v>0.83</v>
      </c>
      <c r="AI84" s="146">
        <v>0</v>
      </c>
    </row>
    <row r="85" spans="1:48" ht="22.05" customHeight="1" x14ac:dyDescent="0.3">
      <c r="A85" s="37"/>
      <c r="B85" s="38"/>
      <c r="AD85" s="18" t="s">
        <v>46</v>
      </c>
      <c r="AE85" s="146">
        <v>0.34</v>
      </c>
      <c r="AF85" s="25">
        <v>122</v>
      </c>
      <c r="AG85" s="25">
        <v>60</v>
      </c>
      <c r="AH85" s="146">
        <v>0.49</v>
      </c>
      <c r="AI85" s="146">
        <v>0.16</v>
      </c>
    </row>
    <row r="86" spans="1:48" ht="22.05" customHeight="1" x14ac:dyDescent="0.3">
      <c r="D86" s="39"/>
      <c r="AD86" s="18" t="s">
        <v>47</v>
      </c>
      <c r="AE86" s="146">
        <v>0.3</v>
      </c>
      <c r="AF86" s="25">
        <v>103</v>
      </c>
      <c r="AG86" s="25">
        <v>45</v>
      </c>
      <c r="AH86" s="146">
        <v>0.44</v>
      </c>
      <c r="AI86" s="146">
        <v>0.14000000000000001</v>
      </c>
    </row>
    <row r="89" spans="1:48" x14ac:dyDescent="0.3">
      <c r="A89" s="145"/>
      <c r="B89" s="144" t="s">
        <v>189</v>
      </c>
      <c r="C89" s="144" t="s">
        <v>30</v>
      </c>
      <c r="D89" s="144" t="s">
        <v>190</v>
      </c>
      <c r="E89" s="144" t="s">
        <v>3</v>
      </c>
      <c r="F89" s="41" t="s">
        <v>107</v>
      </c>
      <c r="G89" s="145" t="s">
        <v>108</v>
      </c>
      <c r="H89" s="144" t="s">
        <v>109</v>
      </c>
      <c r="I89" s="145"/>
      <c r="J89" s="144" t="s">
        <v>189</v>
      </c>
      <c r="K89" s="144" t="s">
        <v>30</v>
      </c>
      <c r="L89" s="144" t="s">
        <v>190</v>
      </c>
      <c r="M89" s="144" t="s">
        <v>3</v>
      </c>
      <c r="N89" s="41" t="s">
        <v>107</v>
      </c>
      <c r="O89" s="145" t="s">
        <v>108</v>
      </c>
      <c r="P89" s="144" t="s">
        <v>109</v>
      </c>
      <c r="Q89" s="145"/>
      <c r="R89" s="144" t="s">
        <v>189</v>
      </c>
      <c r="S89" s="144" t="s">
        <v>30</v>
      </c>
      <c r="T89" s="144" t="s">
        <v>190</v>
      </c>
      <c r="U89" s="144" t="s">
        <v>3</v>
      </c>
      <c r="V89" s="144" t="s">
        <v>107</v>
      </c>
      <c r="W89" s="144" t="s">
        <v>108</v>
      </c>
      <c r="X89" s="41" t="s">
        <v>109</v>
      </c>
      <c r="Y89" s="145"/>
      <c r="Z89" s="144" t="s">
        <v>189</v>
      </c>
      <c r="AA89" s="144" t="s">
        <v>30</v>
      </c>
      <c r="AB89" s="144" t="s">
        <v>190</v>
      </c>
      <c r="AC89" s="144" t="s">
        <v>3</v>
      </c>
      <c r="AD89" s="41" t="s">
        <v>107</v>
      </c>
      <c r="AE89" s="145" t="s">
        <v>108</v>
      </c>
      <c r="AF89" s="144" t="s">
        <v>109</v>
      </c>
      <c r="AG89" s="145"/>
      <c r="AH89" s="144" t="s">
        <v>189</v>
      </c>
      <c r="AI89" s="144" t="s">
        <v>30</v>
      </c>
      <c r="AJ89" s="144" t="s">
        <v>190</v>
      </c>
      <c r="AK89" s="144" t="s">
        <v>3</v>
      </c>
      <c r="AL89" s="144" t="s">
        <v>107</v>
      </c>
      <c r="AM89" s="144" t="s">
        <v>108</v>
      </c>
      <c r="AN89" s="41" t="s">
        <v>109</v>
      </c>
      <c r="AO89" s="145"/>
      <c r="AP89" s="144" t="s">
        <v>189</v>
      </c>
      <c r="AQ89" s="144" t="s">
        <v>30</v>
      </c>
      <c r="AR89" s="144" t="s">
        <v>190</v>
      </c>
      <c r="AS89" s="144" t="s">
        <v>3</v>
      </c>
      <c r="AT89" s="144" t="s">
        <v>107</v>
      </c>
      <c r="AU89" s="144" t="s">
        <v>108</v>
      </c>
      <c r="AV89" s="41" t="s">
        <v>109</v>
      </c>
    </row>
    <row r="90" spans="1:48" x14ac:dyDescent="0.3">
      <c r="A90" s="126" t="s">
        <v>250</v>
      </c>
      <c r="B90" s="26" t="s">
        <v>192</v>
      </c>
      <c r="C90" s="129">
        <v>44</v>
      </c>
      <c r="D90" s="130">
        <v>0.24229999999999999</v>
      </c>
      <c r="E90" s="129">
        <v>17</v>
      </c>
      <c r="F90" s="128">
        <v>17</v>
      </c>
      <c r="G90" s="128">
        <v>0</v>
      </c>
      <c r="H90" s="129">
        <v>2</v>
      </c>
      <c r="I90" s="126" t="s">
        <v>251</v>
      </c>
      <c r="J90" s="26" t="s">
        <v>192</v>
      </c>
      <c r="K90" s="129">
        <v>28</v>
      </c>
      <c r="L90" s="130">
        <v>0.16070000000000001</v>
      </c>
      <c r="M90" s="129">
        <v>4</v>
      </c>
      <c r="N90" s="128">
        <v>6</v>
      </c>
      <c r="O90" s="128">
        <v>3</v>
      </c>
      <c r="P90" s="129">
        <v>1</v>
      </c>
      <c r="Q90" s="126" t="s">
        <v>241</v>
      </c>
      <c r="R90" s="26" t="s">
        <v>192</v>
      </c>
      <c r="S90" s="129">
        <v>0</v>
      </c>
      <c r="T90" s="26" t="s">
        <v>100</v>
      </c>
      <c r="U90" s="129">
        <v>0</v>
      </c>
      <c r="V90" s="129">
        <v>0</v>
      </c>
      <c r="W90" s="129">
        <v>0</v>
      </c>
      <c r="X90" s="128">
        <v>0</v>
      </c>
      <c r="Y90" s="126" t="s">
        <v>239</v>
      </c>
      <c r="Z90" s="26" t="s">
        <v>192</v>
      </c>
      <c r="AA90" s="129">
        <v>13</v>
      </c>
      <c r="AB90" s="130">
        <v>0.5</v>
      </c>
      <c r="AC90" s="129">
        <v>4</v>
      </c>
      <c r="AD90" s="128">
        <v>5</v>
      </c>
      <c r="AE90" s="128">
        <v>0</v>
      </c>
      <c r="AF90" s="129">
        <v>0</v>
      </c>
      <c r="AG90" s="126" t="s">
        <v>240</v>
      </c>
      <c r="AH90" s="26" t="s">
        <v>192</v>
      </c>
      <c r="AI90" s="129">
        <v>8</v>
      </c>
      <c r="AJ90" s="130">
        <v>0.4375</v>
      </c>
      <c r="AK90" s="129">
        <v>2</v>
      </c>
      <c r="AL90" s="129">
        <v>3</v>
      </c>
      <c r="AM90" s="129">
        <v>0</v>
      </c>
      <c r="AN90" s="128">
        <v>0</v>
      </c>
      <c r="AO90" s="126" t="s">
        <v>242</v>
      </c>
      <c r="AP90" s="26" t="s">
        <v>192</v>
      </c>
      <c r="AQ90" s="129">
        <v>1</v>
      </c>
      <c r="AR90" s="129">
        <v>1</v>
      </c>
      <c r="AS90" s="129">
        <v>1</v>
      </c>
      <c r="AT90" s="129">
        <v>0</v>
      </c>
      <c r="AU90" s="129">
        <v>0</v>
      </c>
      <c r="AV90" s="128">
        <v>0</v>
      </c>
    </row>
    <row r="91" spans="1:48" x14ac:dyDescent="0.3">
      <c r="A91" s="126" t="s">
        <v>250</v>
      </c>
      <c r="B91" s="26" t="s">
        <v>194</v>
      </c>
      <c r="C91" s="129">
        <v>42</v>
      </c>
      <c r="D91" s="130">
        <v>0.51190000000000002</v>
      </c>
      <c r="E91" s="129">
        <v>18</v>
      </c>
      <c r="F91" s="128">
        <v>11</v>
      </c>
      <c r="G91" s="143">
        <v>2</v>
      </c>
      <c r="H91" s="129">
        <v>1</v>
      </c>
      <c r="I91" s="126" t="s">
        <v>251</v>
      </c>
      <c r="J91" s="26" t="s">
        <v>194</v>
      </c>
      <c r="K91" s="129">
        <v>25</v>
      </c>
      <c r="L91" s="130">
        <v>0.08</v>
      </c>
      <c r="M91" s="129">
        <v>3</v>
      </c>
      <c r="N91" s="128">
        <v>6</v>
      </c>
      <c r="O91" s="143">
        <v>2</v>
      </c>
      <c r="P91" s="129">
        <v>3</v>
      </c>
      <c r="Q91" s="126" t="s">
        <v>241</v>
      </c>
      <c r="R91" s="26" t="s">
        <v>194</v>
      </c>
      <c r="S91" s="129">
        <v>2</v>
      </c>
      <c r="T91" s="130">
        <v>0.25</v>
      </c>
      <c r="U91" s="129">
        <v>0</v>
      </c>
      <c r="V91" s="129">
        <v>1</v>
      </c>
      <c r="W91" s="129">
        <v>0</v>
      </c>
      <c r="X91" s="128">
        <v>0</v>
      </c>
      <c r="Y91" s="126" t="s">
        <v>239</v>
      </c>
      <c r="Z91" s="26" t="s">
        <v>194</v>
      </c>
      <c r="AA91" s="129">
        <v>40</v>
      </c>
      <c r="AB91" s="130">
        <v>0.51249999999999996</v>
      </c>
      <c r="AC91" s="129">
        <v>14</v>
      </c>
      <c r="AD91" s="128">
        <v>15</v>
      </c>
      <c r="AE91" s="143">
        <v>2</v>
      </c>
      <c r="AF91" s="129">
        <v>0</v>
      </c>
      <c r="AG91" s="126" t="s">
        <v>240</v>
      </c>
      <c r="AH91" s="26" t="s">
        <v>194</v>
      </c>
      <c r="AI91" s="129">
        <v>44</v>
      </c>
      <c r="AJ91" s="130">
        <v>0.46589999999999998</v>
      </c>
      <c r="AK91" s="129">
        <v>14</v>
      </c>
      <c r="AL91" s="129">
        <v>16</v>
      </c>
      <c r="AM91" s="129">
        <v>1</v>
      </c>
      <c r="AN91" s="128">
        <v>1</v>
      </c>
      <c r="AO91" s="126" t="s">
        <v>242</v>
      </c>
      <c r="AP91" s="26" t="s">
        <v>194</v>
      </c>
      <c r="AQ91" s="129">
        <v>3</v>
      </c>
      <c r="AR91" s="130">
        <v>0.16669999999999999</v>
      </c>
      <c r="AS91" s="129">
        <v>0</v>
      </c>
      <c r="AT91" s="129">
        <v>1</v>
      </c>
      <c r="AU91" s="129">
        <v>0</v>
      </c>
      <c r="AV91" s="128">
        <v>0</v>
      </c>
    </row>
    <row r="92" spans="1:48" x14ac:dyDescent="0.3">
      <c r="A92" s="126" t="s">
        <v>250</v>
      </c>
      <c r="B92" s="26" t="s">
        <v>195</v>
      </c>
      <c r="C92" s="129">
        <v>6</v>
      </c>
      <c r="D92" s="130">
        <v>0.33329999999999999</v>
      </c>
      <c r="E92" s="129">
        <v>0</v>
      </c>
      <c r="F92" s="128">
        <v>4</v>
      </c>
      <c r="G92" s="143">
        <v>0</v>
      </c>
      <c r="H92" s="129">
        <v>0</v>
      </c>
      <c r="I92" s="126" t="s">
        <v>251</v>
      </c>
      <c r="J92" s="26" t="s">
        <v>195</v>
      </c>
      <c r="K92" s="129">
        <v>0</v>
      </c>
      <c r="L92" s="26" t="s">
        <v>100</v>
      </c>
      <c r="M92" s="129">
        <v>0</v>
      </c>
      <c r="N92" s="128">
        <v>0</v>
      </c>
      <c r="O92" s="143">
        <v>0</v>
      </c>
      <c r="P92" s="129">
        <v>0</v>
      </c>
      <c r="Q92" s="126" t="s">
        <v>241</v>
      </c>
      <c r="R92" s="26" t="s">
        <v>195</v>
      </c>
      <c r="S92" s="129">
        <v>0</v>
      </c>
      <c r="T92" s="26" t="s">
        <v>100</v>
      </c>
      <c r="U92" s="129">
        <v>0</v>
      </c>
      <c r="V92" s="129">
        <v>0</v>
      </c>
      <c r="W92" s="129">
        <v>0</v>
      </c>
      <c r="X92" s="128">
        <v>0</v>
      </c>
      <c r="Y92" s="126" t="s">
        <v>239</v>
      </c>
      <c r="Z92" s="26" t="s">
        <v>195</v>
      </c>
      <c r="AA92" s="129">
        <v>40</v>
      </c>
      <c r="AB92" s="130">
        <v>0.53749999999999998</v>
      </c>
      <c r="AC92" s="129">
        <v>16</v>
      </c>
      <c r="AD92" s="128">
        <v>14</v>
      </c>
      <c r="AE92" s="143">
        <v>1</v>
      </c>
      <c r="AF92" s="129">
        <v>1</v>
      </c>
      <c r="AG92" s="126" t="s">
        <v>240</v>
      </c>
      <c r="AH92" s="26" t="s">
        <v>195</v>
      </c>
      <c r="AI92" s="129">
        <v>39</v>
      </c>
      <c r="AJ92" s="130">
        <v>0.44869999999999999</v>
      </c>
      <c r="AK92" s="129">
        <v>8</v>
      </c>
      <c r="AL92" s="129">
        <v>20</v>
      </c>
      <c r="AM92" s="129">
        <v>1</v>
      </c>
      <c r="AN92" s="128">
        <v>0</v>
      </c>
      <c r="AO92" s="126" t="s">
        <v>242</v>
      </c>
      <c r="AP92" s="26" t="s">
        <v>195</v>
      </c>
      <c r="AQ92" s="129">
        <v>0</v>
      </c>
      <c r="AR92" s="26" t="s">
        <v>100</v>
      </c>
      <c r="AS92" s="129">
        <v>0</v>
      </c>
      <c r="AT92" s="129">
        <v>0</v>
      </c>
      <c r="AU92" s="129">
        <v>0</v>
      </c>
      <c r="AV92" s="128">
        <v>0</v>
      </c>
    </row>
    <row r="93" spans="1:48" x14ac:dyDescent="0.3">
      <c r="A93" s="126" t="s">
        <v>250</v>
      </c>
      <c r="B93" s="26" t="s">
        <v>196</v>
      </c>
      <c r="C93" s="129">
        <v>27</v>
      </c>
      <c r="D93" s="130">
        <v>-9.2600000000000002E-2</v>
      </c>
      <c r="E93" s="129">
        <v>2</v>
      </c>
      <c r="F93" s="128">
        <v>2</v>
      </c>
      <c r="G93" s="143">
        <v>1</v>
      </c>
      <c r="H93" s="129">
        <v>5</v>
      </c>
      <c r="I93" s="126" t="s">
        <v>251</v>
      </c>
      <c r="J93" s="26" t="s">
        <v>196</v>
      </c>
      <c r="K93" s="129">
        <v>3</v>
      </c>
      <c r="L93" s="129">
        <v>0</v>
      </c>
      <c r="M93" s="129">
        <v>0</v>
      </c>
      <c r="N93" s="128">
        <v>0</v>
      </c>
      <c r="O93" s="143">
        <v>0</v>
      </c>
      <c r="P93" s="129">
        <v>0</v>
      </c>
      <c r="Q93" s="126" t="s">
        <v>241</v>
      </c>
      <c r="R93" s="26" t="s">
        <v>196</v>
      </c>
      <c r="S93" s="129">
        <v>1</v>
      </c>
      <c r="T93" s="130">
        <v>0.5</v>
      </c>
      <c r="U93" s="129">
        <v>0</v>
      </c>
      <c r="V93" s="129">
        <v>1</v>
      </c>
      <c r="W93" s="129">
        <v>0</v>
      </c>
      <c r="X93" s="128">
        <v>0</v>
      </c>
      <c r="Y93" s="126" t="s">
        <v>239</v>
      </c>
      <c r="Z93" s="26" t="s">
        <v>196</v>
      </c>
      <c r="AA93" s="129">
        <v>7</v>
      </c>
      <c r="AB93" s="130">
        <v>-7.1400000000000005E-2</v>
      </c>
      <c r="AC93" s="129">
        <v>0</v>
      </c>
      <c r="AD93" s="128">
        <v>1</v>
      </c>
      <c r="AE93" s="143">
        <v>0</v>
      </c>
      <c r="AF93" s="129">
        <v>1</v>
      </c>
      <c r="AG93" s="126" t="s">
        <v>240</v>
      </c>
      <c r="AH93" s="26" t="s">
        <v>196</v>
      </c>
      <c r="AI93" s="129">
        <v>5</v>
      </c>
      <c r="AJ93" s="130">
        <v>0.2</v>
      </c>
      <c r="AK93" s="129">
        <v>0</v>
      </c>
      <c r="AL93" s="129">
        <v>2</v>
      </c>
      <c r="AM93" s="129">
        <v>0</v>
      </c>
      <c r="AN93" s="128">
        <v>0</v>
      </c>
      <c r="AO93" s="126" t="s">
        <v>242</v>
      </c>
      <c r="AP93" s="26" t="s">
        <v>196</v>
      </c>
      <c r="AQ93" s="129">
        <v>0</v>
      </c>
      <c r="AR93" s="26" t="s">
        <v>100</v>
      </c>
      <c r="AS93" s="129">
        <v>0</v>
      </c>
      <c r="AT93" s="129">
        <v>0</v>
      </c>
      <c r="AU93" s="129">
        <v>0</v>
      </c>
      <c r="AV93" s="128">
        <v>0</v>
      </c>
    </row>
    <row r="94" spans="1:48" x14ac:dyDescent="0.3">
      <c r="A94" s="126" t="s">
        <v>250</v>
      </c>
      <c r="B94" s="26" t="s">
        <v>197</v>
      </c>
      <c r="C94" s="129">
        <v>19</v>
      </c>
      <c r="D94" s="130">
        <v>0.13159999999999999</v>
      </c>
      <c r="E94" s="129">
        <v>2</v>
      </c>
      <c r="F94" s="128">
        <v>4</v>
      </c>
      <c r="G94" s="143">
        <v>1</v>
      </c>
      <c r="H94" s="129">
        <v>1</v>
      </c>
      <c r="I94" s="126" t="s">
        <v>251</v>
      </c>
      <c r="J94" s="26" t="s">
        <v>197</v>
      </c>
      <c r="K94" s="129">
        <v>9</v>
      </c>
      <c r="L94" s="130">
        <v>0.27779999999999999</v>
      </c>
      <c r="M94" s="129">
        <v>1</v>
      </c>
      <c r="N94" s="128">
        <v>3</v>
      </c>
      <c r="O94" s="143">
        <v>0</v>
      </c>
      <c r="P94" s="129">
        <v>0</v>
      </c>
      <c r="Q94" s="126" t="s">
        <v>241</v>
      </c>
      <c r="R94" s="26" t="s">
        <v>197</v>
      </c>
      <c r="S94" s="129">
        <v>2</v>
      </c>
      <c r="T94" s="129">
        <v>1</v>
      </c>
      <c r="U94" s="129">
        <v>2</v>
      </c>
      <c r="V94" s="129">
        <v>0</v>
      </c>
      <c r="W94" s="129">
        <v>0</v>
      </c>
      <c r="X94" s="128">
        <v>0</v>
      </c>
      <c r="Y94" s="126" t="s">
        <v>239</v>
      </c>
      <c r="Z94" s="26" t="s">
        <v>197</v>
      </c>
      <c r="AA94" s="129">
        <v>31</v>
      </c>
      <c r="AB94" s="130">
        <v>0.3387</v>
      </c>
      <c r="AC94" s="129">
        <v>8</v>
      </c>
      <c r="AD94" s="128">
        <v>9</v>
      </c>
      <c r="AE94" s="143">
        <v>0</v>
      </c>
      <c r="AF94" s="129">
        <v>2</v>
      </c>
      <c r="AG94" s="126" t="s">
        <v>240</v>
      </c>
      <c r="AH94" s="26" t="s">
        <v>197</v>
      </c>
      <c r="AI94" s="129">
        <v>28</v>
      </c>
      <c r="AJ94" s="130">
        <v>0.28570000000000001</v>
      </c>
      <c r="AK94" s="129">
        <v>7</v>
      </c>
      <c r="AL94" s="129">
        <v>8</v>
      </c>
      <c r="AM94" s="129">
        <v>2</v>
      </c>
      <c r="AN94" s="128">
        <v>2</v>
      </c>
      <c r="AO94" s="126" t="s">
        <v>242</v>
      </c>
      <c r="AP94" s="26" t="s">
        <v>197</v>
      </c>
      <c r="AQ94" s="129">
        <v>0</v>
      </c>
      <c r="AR94" s="26" t="s">
        <v>100</v>
      </c>
      <c r="AS94" s="129">
        <v>0</v>
      </c>
      <c r="AT94" s="129">
        <v>0</v>
      </c>
      <c r="AU94" s="129">
        <v>0</v>
      </c>
      <c r="AV94" s="128">
        <v>0</v>
      </c>
    </row>
    <row r="95" spans="1:48" x14ac:dyDescent="0.3">
      <c r="A95" s="125" t="s">
        <v>250</v>
      </c>
      <c r="B95" s="124" t="s">
        <v>198</v>
      </c>
      <c r="C95" s="123">
        <v>0</v>
      </c>
      <c r="D95" s="26" t="s">
        <v>100</v>
      </c>
      <c r="E95" s="129">
        <v>0</v>
      </c>
      <c r="F95" s="128">
        <v>0</v>
      </c>
      <c r="G95" s="143">
        <v>0</v>
      </c>
      <c r="H95" s="129">
        <v>0</v>
      </c>
      <c r="I95" s="125" t="s">
        <v>251</v>
      </c>
      <c r="J95" s="124" t="s">
        <v>198</v>
      </c>
      <c r="K95" s="123">
        <v>1</v>
      </c>
      <c r="L95" s="130">
        <v>-0.5</v>
      </c>
      <c r="M95" s="129">
        <v>0</v>
      </c>
      <c r="N95" s="128">
        <v>0</v>
      </c>
      <c r="O95" s="143">
        <v>1</v>
      </c>
      <c r="P95" s="129">
        <v>0</v>
      </c>
      <c r="Q95" s="126" t="s">
        <v>241</v>
      </c>
      <c r="R95" s="26" t="s">
        <v>198</v>
      </c>
      <c r="S95" s="129">
        <v>0</v>
      </c>
      <c r="T95" s="26" t="s">
        <v>100</v>
      </c>
      <c r="U95" s="129">
        <v>0</v>
      </c>
      <c r="V95" s="129">
        <v>0</v>
      </c>
      <c r="W95" s="129">
        <v>0</v>
      </c>
      <c r="X95" s="128">
        <v>0</v>
      </c>
      <c r="Y95" s="125" t="s">
        <v>239</v>
      </c>
      <c r="Z95" s="124" t="s">
        <v>198</v>
      </c>
      <c r="AA95" s="123">
        <v>15</v>
      </c>
      <c r="AB95" s="130">
        <v>-0.1333</v>
      </c>
      <c r="AC95" s="129">
        <v>1</v>
      </c>
      <c r="AD95" s="128">
        <v>3</v>
      </c>
      <c r="AE95" s="143">
        <v>1</v>
      </c>
      <c r="AF95" s="129">
        <v>4</v>
      </c>
      <c r="AG95" s="126" t="s">
        <v>240</v>
      </c>
      <c r="AH95" s="26" t="s">
        <v>198</v>
      </c>
      <c r="AI95" s="129">
        <v>27</v>
      </c>
      <c r="AJ95" s="130">
        <v>0.16669999999999999</v>
      </c>
      <c r="AK95" s="129">
        <v>7</v>
      </c>
      <c r="AL95" s="129">
        <v>4</v>
      </c>
      <c r="AM95" s="129">
        <v>3</v>
      </c>
      <c r="AN95" s="128">
        <v>3</v>
      </c>
      <c r="AO95" s="126" t="s">
        <v>242</v>
      </c>
      <c r="AP95" s="26" t="s">
        <v>198</v>
      </c>
      <c r="AQ95" s="129">
        <v>0</v>
      </c>
      <c r="AR95" s="26" t="s">
        <v>100</v>
      </c>
      <c r="AS95" s="129">
        <v>0</v>
      </c>
      <c r="AT95" s="129">
        <v>0</v>
      </c>
      <c r="AU95" s="129">
        <v>0</v>
      </c>
      <c r="AV95" s="128">
        <v>0</v>
      </c>
    </row>
    <row r="96" spans="1:48" x14ac:dyDescent="0.3">
      <c r="A96" s="87" t="s">
        <v>250</v>
      </c>
      <c r="B96" s="88" t="s">
        <v>199</v>
      </c>
      <c r="C96" s="89">
        <v>93</v>
      </c>
      <c r="D96" s="90">
        <v>0.51080000000000003</v>
      </c>
      <c r="E96" s="89">
        <v>35</v>
      </c>
      <c r="F96" s="89">
        <v>33</v>
      </c>
      <c r="G96" s="91">
        <v>2</v>
      </c>
      <c r="H96" s="89">
        <v>3</v>
      </c>
      <c r="I96" s="87" t="s">
        <v>251</v>
      </c>
      <c r="J96" s="88" t="s">
        <v>200</v>
      </c>
      <c r="K96" s="89">
        <v>53</v>
      </c>
      <c r="L96" s="90">
        <v>0.1226</v>
      </c>
      <c r="M96" s="89">
        <v>7</v>
      </c>
      <c r="N96" s="89">
        <v>12</v>
      </c>
      <c r="O96" s="91">
        <v>5</v>
      </c>
      <c r="P96" s="89">
        <v>4</v>
      </c>
      <c r="Q96" s="87" t="s">
        <v>241</v>
      </c>
      <c r="R96" s="88" t="s">
        <v>200</v>
      </c>
      <c r="S96" s="89">
        <v>2</v>
      </c>
      <c r="T96" s="90">
        <v>0.25</v>
      </c>
      <c r="U96" s="89">
        <v>0</v>
      </c>
      <c r="V96" s="89">
        <v>1</v>
      </c>
      <c r="W96" s="89">
        <v>0</v>
      </c>
      <c r="X96" s="92">
        <v>0</v>
      </c>
      <c r="Y96" s="87" t="s">
        <v>239</v>
      </c>
      <c r="Z96" s="88" t="s">
        <v>200</v>
      </c>
      <c r="AA96" s="89">
        <v>100</v>
      </c>
      <c r="AB96" s="90">
        <v>0.53</v>
      </c>
      <c r="AC96" s="89">
        <v>37</v>
      </c>
      <c r="AD96" s="89">
        <v>37</v>
      </c>
      <c r="AE96" s="91">
        <v>3</v>
      </c>
      <c r="AF96" s="89">
        <v>1</v>
      </c>
      <c r="AG96" s="87" t="s">
        <v>240</v>
      </c>
      <c r="AH96" s="88" t="s">
        <v>200</v>
      </c>
      <c r="AI96" s="89">
        <v>92</v>
      </c>
      <c r="AJ96" s="90">
        <v>0.46200000000000002</v>
      </c>
      <c r="AK96" s="89">
        <v>25</v>
      </c>
      <c r="AL96" s="89">
        <v>39</v>
      </c>
      <c r="AM96" s="89">
        <v>2</v>
      </c>
      <c r="AN96" s="92">
        <v>1</v>
      </c>
      <c r="AO96" s="87" t="s">
        <v>242</v>
      </c>
      <c r="AP96" s="88" t="s">
        <v>200</v>
      </c>
      <c r="AQ96" s="89">
        <v>4</v>
      </c>
      <c r="AR96" s="90">
        <v>0.375</v>
      </c>
      <c r="AS96" s="89">
        <v>1</v>
      </c>
      <c r="AT96" s="89">
        <v>1</v>
      </c>
      <c r="AU96" s="89">
        <v>0</v>
      </c>
      <c r="AV96" s="92">
        <v>0</v>
      </c>
    </row>
    <row r="97" spans="1:48" x14ac:dyDescent="0.3">
      <c r="A97" s="93" t="s">
        <v>250</v>
      </c>
      <c r="B97" s="134" t="s">
        <v>201</v>
      </c>
      <c r="C97" s="132">
        <v>46</v>
      </c>
      <c r="D97" s="97">
        <v>0</v>
      </c>
      <c r="E97" s="97">
        <v>4</v>
      </c>
      <c r="F97" s="97">
        <v>6</v>
      </c>
      <c r="G97" s="98">
        <v>2</v>
      </c>
      <c r="H97" s="97">
        <v>6</v>
      </c>
      <c r="I97" s="93" t="s">
        <v>251</v>
      </c>
      <c r="J97" s="134" t="s">
        <v>202</v>
      </c>
      <c r="K97" s="132">
        <v>13</v>
      </c>
      <c r="L97" s="96">
        <v>0.15379999999999999</v>
      </c>
      <c r="M97" s="97">
        <v>1</v>
      </c>
      <c r="N97" s="97">
        <v>3</v>
      </c>
      <c r="O97" s="98">
        <v>1</v>
      </c>
      <c r="P97" s="97">
        <v>0</v>
      </c>
      <c r="Q97" s="93" t="s">
        <v>241</v>
      </c>
      <c r="R97" s="142" t="s">
        <v>202</v>
      </c>
      <c r="S97" s="141">
        <v>3</v>
      </c>
      <c r="T97" s="96">
        <v>0.83330000000000004</v>
      </c>
      <c r="U97" s="101">
        <v>2</v>
      </c>
      <c r="V97" s="101">
        <v>1</v>
      </c>
      <c r="W97" s="101">
        <v>0</v>
      </c>
      <c r="X97" s="102">
        <v>0</v>
      </c>
      <c r="Y97" s="93" t="s">
        <v>239</v>
      </c>
      <c r="Z97" s="134" t="s">
        <v>202</v>
      </c>
      <c r="AA97" s="132">
        <v>53</v>
      </c>
      <c r="AB97" s="96">
        <v>0.15090000000000001</v>
      </c>
      <c r="AC97" s="97">
        <v>9</v>
      </c>
      <c r="AD97" s="97">
        <v>13</v>
      </c>
      <c r="AE97" s="98">
        <v>1</v>
      </c>
      <c r="AF97" s="97">
        <v>7</v>
      </c>
      <c r="AG97" s="93" t="s">
        <v>240</v>
      </c>
      <c r="AH97" s="142" t="s">
        <v>202</v>
      </c>
      <c r="AI97" s="141">
        <v>60</v>
      </c>
      <c r="AJ97" s="96">
        <v>0.22500000000000001</v>
      </c>
      <c r="AK97" s="101">
        <v>14</v>
      </c>
      <c r="AL97" s="101">
        <v>14</v>
      </c>
      <c r="AM97" s="101">
        <v>5</v>
      </c>
      <c r="AN97" s="102">
        <v>5</v>
      </c>
      <c r="AO97" s="93" t="s">
        <v>242</v>
      </c>
      <c r="AP97" s="142" t="s">
        <v>202</v>
      </c>
      <c r="AQ97" s="141">
        <v>0</v>
      </c>
      <c r="AR97" s="103" t="s">
        <v>100</v>
      </c>
      <c r="AS97" s="101">
        <v>0</v>
      </c>
      <c r="AT97" s="101">
        <v>0</v>
      </c>
      <c r="AU97" s="101">
        <v>0</v>
      </c>
      <c r="AV97" s="102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04"/>
      <c r="AJ98" s="26"/>
      <c r="AK98" s="26"/>
      <c r="AL98" s="26"/>
      <c r="AM98" s="43"/>
      <c r="AN98" s="50"/>
      <c r="AO98" s="26"/>
      <c r="AP98" s="26"/>
      <c r="AQ98" s="104"/>
      <c r="AR98" s="26"/>
      <c r="AS98" s="26"/>
      <c r="AT98" s="26"/>
      <c r="AU98" s="43"/>
      <c r="AV98" s="50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26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26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26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26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126" t="s">
        <v>250</v>
      </c>
      <c r="B100" s="140" t="s">
        <v>204</v>
      </c>
      <c r="C100" s="139">
        <v>31</v>
      </c>
      <c r="D100" s="137">
        <v>0.5645</v>
      </c>
      <c r="E100" s="139">
        <v>11</v>
      </c>
      <c r="F100" s="139">
        <v>14</v>
      </c>
      <c r="G100" s="139">
        <v>1</v>
      </c>
      <c r="H100" s="138">
        <v>0</v>
      </c>
      <c r="I100" s="126" t="s">
        <v>251</v>
      </c>
      <c r="J100" s="133" t="s">
        <v>204</v>
      </c>
      <c r="K100" s="132">
        <v>12</v>
      </c>
      <c r="L100" s="137">
        <v>0.25</v>
      </c>
      <c r="M100" s="132">
        <v>3</v>
      </c>
      <c r="N100" s="132">
        <v>3</v>
      </c>
      <c r="O100" s="132">
        <v>3</v>
      </c>
      <c r="P100" s="132">
        <v>0</v>
      </c>
      <c r="Q100" s="126" t="s">
        <v>241</v>
      </c>
      <c r="R100" s="133" t="s">
        <v>204</v>
      </c>
      <c r="S100" s="132">
        <v>2</v>
      </c>
      <c r="T100" s="137">
        <v>0.25</v>
      </c>
      <c r="U100" s="132">
        <v>0</v>
      </c>
      <c r="V100" s="132">
        <v>1</v>
      </c>
      <c r="W100" s="132">
        <v>0</v>
      </c>
      <c r="X100" s="131">
        <v>0</v>
      </c>
      <c r="Y100" s="126" t="s">
        <v>239</v>
      </c>
      <c r="Z100" s="133" t="s">
        <v>204</v>
      </c>
      <c r="AA100" s="132">
        <v>43</v>
      </c>
      <c r="AB100" s="137">
        <v>0.52329999999999999</v>
      </c>
      <c r="AC100" s="132">
        <v>15</v>
      </c>
      <c r="AD100" s="132">
        <v>16</v>
      </c>
      <c r="AE100" s="132">
        <v>1</v>
      </c>
      <c r="AF100" s="132">
        <v>0</v>
      </c>
      <c r="AG100" s="126" t="s">
        <v>240</v>
      </c>
      <c r="AH100" s="133" t="s">
        <v>204</v>
      </c>
      <c r="AI100" s="132">
        <v>35</v>
      </c>
      <c r="AJ100" s="137">
        <v>0.47139999999999999</v>
      </c>
      <c r="AK100" s="132">
        <v>9</v>
      </c>
      <c r="AL100" s="132">
        <v>18</v>
      </c>
      <c r="AM100" s="132">
        <v>1</v>
      </c>
      <c r="AN100" s="131">
        <v>1</v>
      </c>
      <c r="AO100" s="126" t="s">
        <v>242</v>
      </c>
      <c r="AP100" s="133" t="s">
        <v>204</v>
      </c>
      <c r="AQ100" s="132">
        <v>3</v>
      </c>
      <c r="AR100" s="137">
        <v>0.5</v>
      </c>
      <c r="AS100" s="132">
        <v>1</v>
      </c>
      <c r="AT100" s="132">
        <v>1</v>
      </c>
      <c r="AU100" s="132">
        <v>0</v>
      </c>
      <c r="AV100" s="131">
        <v>0</v>
      </c>
    </row>
    <row r="101" spans="1:48" x14ac:dyDescent="0.3">
      <c r="A101" s="126" t="s">
        <v>250</v>
      </c>
      <c r="B101" s="126" t="s">
        <v>205</v>
      </c>
      <c r="C101" s="129">
        <v>16</v>
      </c>
      <c r="D101" s="130">
        <v>0.3125</v>
      </c>
      <c r="E101" s="129">
        <v>5</v>
      </c>
      <c r="F101" s="129">
        <v>0</v>
      </c>
      <c r="G101" s="129">
        <v>0</v>
      </c>
      <c r="H101" s="128">
        <v>0</v>
      </c>
      <c r="I101" s="126" t="s">
        <v>251</v>
      </c>
      <c r="J101" s="126" t="s">
        <v>205</v>
      </c>
      <c r="K101" s="129">
        <v>3</v>
      </c>
      <c r="L101" s="130">
        <v>0.33329999999999999</v>
      </c>
      <c r="M101" s="129">
        <v>1</v>
      </c>
      <c r="N101" s="129">
        <v>1</v>
      </c>
      <c r="O101" s="129">
        <v>1</v>
      </c>
      <c r="P101" s="129">
        <v>0</v>
      </c>
      <c r="Q101" s="126" t="s">
        <v>241</v>
      </c>
      <c r="R101" s="126" t="s">
        <v>205</v>
      </c>
      <c r="S101" s="129">
        <v>0</v>
      </c>
      <c r="T101" s="26" t="s">
        <v>100</v>
      </c>
      <c r="U101" s="129">
        <v>0</v>
      </c>
      <c r="V101" s="129">
        <v>0</v>
      </c>
      <c r="W101" s="129">
        <v>0</v>
      </c>
      <c r="X101" s="128">
        <v>0</v>
      </c>
      <c r="Y101" s="126" t="s">
        <v>239</v>
      </c>
      <c r="Z101" s="126" t="s">
        <v>205</v>
      </c>
      <c r="AA101" s="129">
        <v>5</v>
      </c>
      <c r="AB101" s="130">
        <v>0.2</v>
      </c>
      <c r="AC101" s="129">
        <v>1</v>
      </c>
      <c r="AD101" s="129">
        <v>0</v>
      </c>
      <c r="AE101" s="129">
        <v>0</v>
      </c>
      <c r="AF101" s="129">
        <v>0</v>
      </c>
      <c r="AG101" s="126" t="s">
        <v>240</v>
      </c>
      <c r="AH101" s="126" t="s">
        <v>205</v>
      </c>
      <c r="AI101" s="129">
        <v>3</v>
      </c>
      <c r="AJ101" s="130">
        <v>0.33329999999999999</v>
      </c>
      <c r="AK101" s="129">
        <v>1</v>
      </c>
      <c r="AL101" s="129">
        <v>0</v>
      </c>
      <c r="AM101" s="129">
        <v>0</v>
      </c>
      <c r="AN101" s="128">
        <v>0</v>
      </c>
      <c r="AO101" s="126" t="s">
        <v>242</v>
      </c>
      <c r="AP101" s="126" t="s">
        <v>205</v>
      </c>
      <c r="AQ101" s="129">
        <v>1</v>
      </c>
      <c r="AR101" s="129">
        <v>1</v>
      </c>
      <c r="AS101" s="129">
        <v>1</v>
      </c>
      <c r="AT101" s="129">
        <v>0</v>
      </c>
      <c r="AU101" s="129">
        <v>0</v>
      </c>
      <c r="AV101" s="128">
        <v>0</v>
      </c>
    </row>
    <row r="102" spans="1:48" x14ac:dyDescent="0.3">
      <c r="A102" s="126" t="s">
        <v>250</v>
      </c>
      <c r="B102" s="126" t="s">
        <v>206</v>
      </c>
      <c r="C102" s="129">
        <v>15</v>
      </c>
      <c r="D102" s="130">
        <v>0.4</v>
      </c>
      <c r="E102" s="129">
        <v>6</v>
      </c>
      <c r="F102" s="129">
        <v>6</v>
      </c>
      <c r="G102" s="129">
        <v>1</v>
      </c>
      <c r="H102" s="128">
        <v>0</v>
      </c>
      <c r="I102" s="126" t="s">
        <v>251</v>
      </c>
      <c r="J102" s="126" t="s">
        <v>206</v>
      </c>
      <c r="K102" s="129">
        <v>9</v>
      </c>
      <c r="L102" s="130">
        <v>0.22220000000000001</v>
      </c>
      <c r="M102" s="129">
        <v>2</v>
      </c>
      <c r="N102" s="129">
        <v>3</v>
      </c>
      <c r="O102" s="129">
        <v>2</v>
      </c>
      <c r="P102" s="129">
        <v>0</v>
      </c>
      <c r="Q102" s="126" t="s">
        <v>241</v>
      </c>
      <c r="R102" s="126" t="s">
        <v>206</v>
      </c>
      <c r="S102" s="129">
        <v>2</v>
      </c>
      <c r="T102" s="129">
        <v>0</v>
      </c>
      <c r="U102" s="129">
        <v>0</v>
      </c>
      <c r="V102" s="129">
        <v>1</v>
      </c>
      <c r="W102" s="129">
        <v>0</v>
      </c>
      <c r="X102" s="128">
        <v>0</v>
      </c>
      <c r="Y102" s="126" t="s">
        <v>239</v>
      </c>
      <c r="Z102" s="126" t="s">
        <v>206</v>
      </c>
      <c r="AA102" s="129">
        <v>15</v>
      </c>
      <c r="AB102" s="130">
        <v>0.33329999999999999</v>
      </c>
      <c r="AC102" s="129">
        <v>5</v>
      </c>
      <c r="AD102" s="129">
        <v>5</v>
      </c>
      <c r="AE102" s="129">
        <v>1</v>
      </c>
      <c r="AF102" s="129">
        <v>0</v>
      </c>
      <c r="AG102" s="126" t="s">
        <v>240</v>
      </c>
      <c r="AH102" s="126" t="s">
        <v>206</v>
      </c>
      <c r="AI102" s="129">
        <v>17</v>
      </c>
      <c r="AJ102" s="130">
        <v>0.29409999999999997</v>
      </c>
      <c r="AK102" s="129">
        <v>6</v>
      </c>
      <c r="AL102" s="129">
        <v>5</v>
      </c>
      <c r="AM102" s="129">
        <v>0</v>
      </c>
      <c r="AN102" s="128">
        <v>1</v>
      </c>
      <c r="AO102" s="126" t="s">
        <v>242</v>
      </c>
      <c r="AP102" s="126" t="s">
        <v>206</v>
      </c>
      <c r="AQ102" s="129">
        <v>2</v>
      </c>
      <c r="AR102" s="129">
        <v>0</v>
      </c>
      <c r="AS102" s="129">
        <v>0</v>
      </c>
      <c r="AT102" s="129">
        <v>1</v>
      </c>
      <c r="AU102" s="129">
        <v>0</v>
      </c>
      <c r="AV102" s="128">
        <v>0</v>
      </c>
    </row>
    <row r="103" spans="1:48" x14ac:dyDescent="0.3">
      <c r="A103" s="126" t="s">
        <v>250</v>
      </c>
      <c r="B103" s="126" t="s">
        <v>207</v>
      </c>
      <c r="C103" s="129">
        <v>0</v>
      </c>
      <c r="D103" s="26" t="s">
        <v>100</v>
      </c>
      <c r="E103" s="129">
        <v>0</v>
      </c>
      <c r="F103" s="129">
        <v>0</v>
      </c>
      <c r="G103" s="129">
        <v>0</v>
      </c>
      <c r="H103" s="128">
        <v>0</v>
      </c>
      <c r="I103" s="126" t="s">
        <v>251</v>
      </c>
      <c r="J103" s="126" t="s">
        <v>207</v>
      </c>
      <c r="K103" s="129">
        <v>0</v>
      </c>
      <c r="L103" s="26" t="s">
        <v>100</v>
      </c>
      <c r="M103" s="129">
        <v>0</v>
      </c>
      <c r="N103" s="129">
        <v>0</v>
      </c>
      <c r="O103" s="129">
        <v>0</v>
      </c>
      <c r="P103" s="129">
        <v>0</v>
      </c>
      <c r="Q103" s="126" t="s">
        <v>241</v>
      </c>
      <c r="R103" s="126" t="s">
        <v>207</v>
      </c>
      <c r="S103" s="129">
        <v>0</v>
      </c>
      <c r="T103" s="26" t="s">
        <v>100</v>
      </c>
      <c r="U103" s="129">
        <v>0</v>
      </c>
      <c r="V103" s="129">
        <v>0</v>
      </c>
      <c r="W103" s="129">
        <v>0</v>
      </c>
      <c r="X103" s="128">
        <v>0</v>
      </c>
      <c r="Y103" s="126" t="s">
        <v>239</v>
      </c>
      <c r="Z103" s="126" t="s">
        <v>207</v>
      </c>
      <c r="AA103" s="129">
        <v>20</v>
      </c>
      <c r="AB103" s="130">
        <v>0.4</v>
      </c>
      <c r="AC103" s="129">
        <v>8</v>
      </c>
      <c r="AD103" s="129">
        <v>7</v>
      </c>
      <c r="AE103" s="129">
        <v>0</v>
      </c>
      <c r="AF103" s="129">
        <v>0</v>
      </c>
      <c r="AG103" s="126" t="s">
        <v>240</v>
      </c>
      <c r="AH103" s="126" t="s">
        <v>207</v>
      </c>
      <c r="AI103" s="129">
        <v>15</v>
      </c>
      <c r="AJ103" s="130">
        <v>0.1333</v>
      </c>
      <c r="AK103" s="129">
        <v>2</v>
      </c>
      <c r="AL103" s="129">
        <v>11</v>
      </c>
      <c r="AM103" s="129">
        <v>1</v>
      </c>
      <c r="AN103" s="128">
        <v>0</v>
      </c>
      <c r="AO103" s="126" t="s">
        <v>242</v>
      </c>
      <c r="AP103" s="126" t="s">
        <v>207</v>
      </c>
      <c r="AQ103" s="129">
        <v>0</v>
      </c>
      <c r="AR103" s="26" t="s">
        <v>100</v>
      </c>
      <c r="AS103" s="129">
        <v>0</v>
      </c>
      <c r="AT103" s="129">
        <v>0</v>
      </c>
      <c r="AU103" s="129">
        <v>0</v>
      </c>
      <c r="AV103" s="128">
        <v>0</v>
      </c>
    </row>
    <row r="104" spans="1:48" x14ac:dyDescent="0.3">
      <c r="A104" s="126" t="s">
        <v>250</v>
      </c>
      <c r="B104" s="133" t="s">
        <v>208</v>
      </c>
      <c r="C104" s="132">
        <v>19</v>
      </c>
      <c r="D104" s="135">
        <v>0.5</v>
      </c>
      <c r="E104" s="132">
        <v>7</v>
      </c>
      <c r="F104" s="132">
        <v>7</v>
      </c>
      <c r="G104" s="132">
        <v>0</v>
      </c>
      <c r="H104" s="131">
        <v>1</v>
      </c>
      <c r="I104" s="126" t="s">
        <v>251</v>
      </c>
      <c r="J104" s="133" t="s">
        <v>208</v>
      </c>
      <c r="K104" s="132">
        <v>8</v>
      </c>
      <c r="L104" s="135">
        <v>-0.375</v>
      </c>
      <c r="M104" s="132">
        <v>0</v>
      </c>
      <c r="N104" s="132">
        <v>2</v>
      </c>
      <c r="O104" s="132">
        <v>0</v>
      </c>
      <c r="P104" s="132">
        <v>3</v>
      </c>
      <c r="Q104" s="126" t="s">
        <v>241</v>
      </c>
      <c r="R104" s="133" t="s">
        <v>208</v>
      </c>
      <c r="S104" s="132">
        <v>0</v>
      </c>
      <c r="T104" s="134" t="s">
        <v>100</v>
      </c>
      <c r="U104" s="132">
        <v>0</v>
      </c>
      <c r="V104" s="132">
        <v>0</v>
      </c>
      <c r="W104" s="132">
        <v>0</v>
      </c>
      <c r="X104" s="131">
        <v>0</v>
      </c>
      <c r="Y104" s="126" t="s">
        <v>239</v>
      </c>
      <c r="Z104" s="133" t="s">
        <v>208</v>
      </c>
      <c r="AA104" s="132">
        <v>13</v>
      </c>
      <c r="AB104" s="135">
        <v>0.57689999999999997</v>
      </c>
      <c r="AC104" s="132">
        <v>5</v>
      </c>
      <c r="AD104" s="132">
        <v>6</v>
      </c>
      <c r="AE104" s="132">
        <v>0</v>
      </c>
      <c r="AF104" s="132">
        <v>0</v>
      </c>
      <c r="AG104" s="126" t="s">
        <v>240</v>
      </c>
      <c r="AH104" s="133" t="s">
        <v>208</v>
      </c>
      <c r="AI104" s="132">
        <v>19</v>
      </c>
      <c r="AJ104" s="135">
        <v>0.3947</v>
      </c>
      <c r="AK104" s="132">
        <v>5</v>
      </c>
      <c r="AL104" s="132">
        <v>5</v>
      </c>
      <c r="AM104" s="132">
        <v>0</v>
      </c>
      <c r="AN104" s="131">
        <v>0</v>
      </c>
      <c r="AO104" s="126" t="s">
        <v>242</v>
      </c>
      <c r="AP104" s="133" t="s">
        <v>208</v>
      </c>
      <c r="AQ104" s="132">
        <v>1</v>
      </c>
      <c r="AR104" s="132">
        <v>0</v>
      </c>
      <c r="AS104" s="132">
        <v>0</v>
      </c>
      <c r="AT104" s="132">
        <v>0</v>
      </c>
      <c r="AU104" s="132">
        <v>0</v>
      </c>
      <c r="AV104" s="131">
        <v>0</v>
      </c>
    </row>
    <row r="105" spans="1:48" x14ac:dyDescent="0.3">
      <c r="A105" s="126" t="s">
        <v>250</v>
      </c>
      <c r="B105" s="126" t="s">
        <v>209</v>
      </c>
      <c r="C105" s="129">
        <v>6</v>
      </c>
      <c r="D105" s="130">
        <v>0.75</v>
      </c>
      <c r="E105" s="129">
        <v>3</v>
      </c>
      <c r="F105" s="129">
        <v>3</v>
      </c>
      <c r="G105" s="129">
        <v>0</v>
      </c>
      <c r="H105" s="128">
        <v>0</v>
      </c>
      <c r="I105" s="126" t="s">
        <v>251</v>
      </c>
      <c r="J105" s="126" t="s">
        <v>209</v>
      </c>
      <c r="K105" s="129">
        <v>1</v>
      </c>
      <c r="L105" s="130">
        <v>0.5</v>
      </c>
      <c r="M105" s="129">
        <v>0</v>
      </c>
      <c r="N105" s="129">
        <v>1</v>
      </c>
      <c r="O105" s="129">
        <v>0</v>
      </c>
      <c r="P105" s="129">
        <v>0</v>
      </c>
      <c r="Q105" s="126" t="s">
        <v>241</v>
      </c>
      <c r="R105" s="126" t="s">
        <v>209</v>
      </c>
      <c r="S105" s="129">
        <v>0</v>
      </c>
      <c r="T105" s="26" t="s">
        <v>100</v>
      </c>
      <c r="U105" s="129">
        <v>0</v>
      </c>
      <c r="V105" s="129">
        <v>0</v>
      </c>
      <c r="W105" s="129">
        <v>0</v>
      </c>
      <c r="X105" s="128">
        <v>0</v>
      </c>
      <c r="Y105" s="126" t="s">
        <v>239</v>
      </c>
      <c r="Z105" s="126" t="s">
        <v>209</v>
      </c>
      <c r="AA105" s="129">
        <v>0</v>
      </c>
      <c r="AB105" s="26" t="s">
        <v>100</v>
      </c>
      <c r="AC105" s="129">
        <v>0</v>
      </c>
      <c r="AD105" s="129">
        <v>0</v>
      </c>
      <c r="AE105" s="129">
        <v>0</v>
      </c>
      <c r="AF105" s="129">
        <v>0</v>
      </c>
      <c r="AG105" s="126" t="s">
        <v>240</v>
      </c>
      <c r="AH105" s="126" t="s">
        <v>209</v>
      </c>
      <c r="AI105" s="129">
        <v>3</v>
      </c>
      <c r="AJ105" s="130">
        <v>0.33329999999999999</v>
      </c>
      <c r="AK105" s="129">
        <v>1</v>
      </c>
      <c r="AL105" s="129">
        <v>0</v>
      </c>
      <c r="AM105" s="129">
        <v>0</v>
      </c>
      <c r="AN105" s="128">
        <v>0</v>
      </c>
      <c r="AO105" s="126" t="s">
        <v>242</v>
      </c>
      <c r="AP105" s="126" t="s">
        <v>209</v>
      </c>
      <c r="AQ105" s="129">
        <v>0</v>
      </c>
      <c r="AR105" s="26" t="s">
        <v>100</v>
      </c>
      <c r="AS105" s="129">
        <v>0</v>
      </c>
      <c r="AT105" s="129">
        <v>0</v>
      </c>
      <c r="AU105" s="129">
        <v>0</v>
      </c>
      <c r="AV105" s="128">
        <v>0</v>
      </c>
    </row>
    <row r="106" spans="1:48" x14ac:dyDescent="0.3">
      <c r="A106" s="126" t="s">
        <v>250</v>
      </c>
      <c r="B106" s="126" t="s">
        <v>210</v>
      </c>
      <c r="C106" s="129">
        <v>10</v>
      </c>
      <c r="D106" s="130">
        <v>0.35</v>
      </c>
      <c r="E106" s="129">
        <v>4</v>
      </c>
      <c r="F106" s="129">
        <v>1</v>
      </c>
      <c r="G106" s="129">
        <v>0</v>
      </c>
      <c r="H106" s="128">
        <v>1</v>
      </c>
      <c r="I106" s="126" t="s">
        <v>251</v>
      </c>
      <c r="J106" s="126" t="s">
        <v>210</v>
      </c>
      <c r="K106" s="129">
        <v>7</v>
      </c>
      <c r="L106" s="130">
        <v>-0.35709999999999997</v>
      </c>
      <c r="M106" s="129">
        <v>0</v>
      </c>
      <c r="N106" s="129">
        <v>1</v>
      </c>
      <c r="O106" s="129">
        <v>0</v>
      </c>
      <c r="P106" s="129">
        <v>3</v>
      </c>
      <c r="Q106" s="126" t="s">
        <v>241</v>
      </c>
      <c r="R106" s="126" t="s">
        <v>210</v>
      </c>
      <c r="S106" s="129">
        <v>0</v>
      </c>
      <c r="T106" s="26" t="s">
        <v>100</v>
      </c>
      <c r="U106" s="129">
        <v>0</v>
      </c>
      <c r="V106" s="129">
        <v>0</v>
      </c>
      <c r="W106" s="129">
        <v>0</v>
      </c>
      <c r="X106" s="128">
        <v>0</v>
      </c>
      <c r="Y106" s="126" t="s">
        <v>239</v>
      </c>
      <c r="Z106" s="126" t="s">
        <v>210</v>
      </c>
      <c r="AA106" s="129">
        <v>8</v>
      </c>
      <c r="AB106" s="130">
        <v>0.5625</v>
      </c>
      <c r="AC106" s="129">
        <v>3</v>
      </c>
      <c r="AD106" s="129">
        <v>3</v>
      </c>
      <c r="AE106" s="129">
        <v>0</v>
      </c>
      <c r="AF106" s="129">
        <v>0</v>
      </c>
      <c r="AG106" s="126" t="s">
        <v>240</v>
      </c>
      <c r="AH106" s="126" t="s">
        <v>210</v>
      </c>
      <c r="AI106" s="129">
        <v>9</v>
      </c>
      <c r="AJ106" s="130">
        <v>0.5</v>
      </c>
      <c r="AK106" s="129">
        <v>3</v>
      </c>
      <c r="AL106" s="129">
        <v>3</v>
      </c>
      <c r="AM106" s="129">
        <v>0</v>
      </c>
      <c r="AN106" s="128">
        <v>0</v>
      </c>
      <c r="AO106" s="126" t="s">
        <v>242</v>
      </c>
      <c r="AP106" s="126" t="s">
        <v>210</v>
      </c>
      <c r="AQ106" s="129">
        <v>1</v>
      </c>
      <c r="AR106" s="129">
        <v>0</v>
      </c>
      <c r="AS106" s="129">
        <v>0</v>
      </c>
      <c r="AT106" s="129">
        <v>0</v>
      </c>
      <c r="AU106" s="129">
        <v>0</v>
      </c>
      <c r="AV106" s="128">
        <v>0</v>
      </c>
    </row>
    <row r="107" spans="1:48" x14ac:dyDescent="0.3">
      <c r="A107" s="126" t="s">
        <v>250</v>
      </c>
      <c r="B107" s="126" t="s">
        <v>211</v>
      </c>
      <c r="C107" s="129">
        <v>2</v>
      </c>
      <c r="D107" s="130">
        <v>0.5</v>
      </c>
      <c r="E107" s="129">
        <v>0</v>
      </c>
      <c r="F107" s="129">
        <v>2</v>
      </c>
      <c r="G107" s="129">
        <v>0</v>
      </c>
      <c r="H107" s="128">
        <v>0</v>
      </c>
      <c r="I107" s="126" t="s">
        <v>251</v>
      </c>
      <c r="J107" s="126" t="s">
        <v>211</v>
      </c>
      <c r="K107" s="129">
        <v>0</v>
      </c>
      <c r="L107" s="26" t="s">
        <v>100</v>
      </c>
      <c r="M107" s="129">
        <v>0</v>
      </c>
      <c r="N107" s="129">
        <v>0</v>
      </c>
      <c r="O107" s="129">
        <v>0</v>
      </c>
      <c r="P107" s="129">
        <v>0</v>
      </c>
      <c r="Q107" s="126" t="s">
        <v>241</v>
      </c>
      <c r="R107" s="126" t="s">
        <v>211</v>
      </c>
      <c r="S107" s="129">
        <v>0</v>
      </c>
      <c r="T107" s="26" t="s">
        <v>100</v>
      </c>
      <c r="U107" s="129">
        <v>0</v>
      </c>
      <c r="V107" s="129">
        <v>0</v>
      </c>
      <c r="W107" s="129">
        <v>0</v>
      </c>
      <c r="X107" s="128">
        <v>0</v>
      </c>
      <c r="Y107" s="126" t="s">
        <v>239</v>
      </c>
      <c r="Z107" s="126" t="s">
        <v>211</v>
      </c>
      <c r="AA107" s="129">
        <v>4</v>
      </c>
      <c r="AB107" s="130">
        <v>0.625</v>
      </c>
      <c r="AC107" s="129">
        <v>1</v>
      </c>
      <c r="AD107" s="129">
        <v>3</v>
      </c>
      <c r="AE107" s="129">
        <v>0</v>
      </c>
      <c r="AF107" s="129">
        <v>0</v>
      </c>
      <c r="AG107" s="126" t="s">
        <v>240</v>
      </c>
      <c r="AH107" s="126" t="s">
        <v>211</v>
      </c>
      <c r="AI107" s="129">
        <v>7</v>
      </c>
      <c r="AJ107" s="130">
        <v>0.28570000000000001</v>
      </c>
      <c r="AK107" s="129">
        <v>1</v>
      </c>
      <c r="AL107" s="129">
        <v>2</v>
      </c>
      <c r="AM107" s="129">
        <v>0</v>
      </c>
      <c r="AN107" s="128">
        <v>0</v>
      </c>
      <c r="AO107" s="126" t="s">
        <v>242</v>
      </c>
      <c r="AP107" s="126" t="s">
        <v>211</v>
      </c>
      <c r="AQ107" s="129">
        <v>0</v>
      </c>
      <c r="AR107" s="26" t="s">
        <v>100</v>
      </c>
      <c r="AS107" s="129">
        <v>0</v>
      </c>
      <c r="AT107" s="129">
        <v>0</v>
      </c>
      <c r="AU107" s="129">
        <v>0</v>
      </c>
      <c r="AV107" s="128">
        <v>0</v>
      </c>
    </row>
    <row r="108" spans="1:48" x14ac:dyDescent="0.3">
      <c r="A108" s="126" t="s">
        <v>250</v>
      </c>
      <c r="B108" s="133" t="s">
        <v>212</v>
      </c>
      <c r="C108" s="132">
        <v>43</v>
      </c>
      <c r="D108" s="135">
        <v>0.47670000000000001</v>
      </c>
      <c r="E108" s="132">
        <v>17</v>
      </c>
      <c r="F108" s="132">
        <v>12</v>
      </c>
      <c r="G108" s="132">
        <v>1</v>
      </c>
      <c r="H108" s="131">
        <v>2</v>
      </c>
      <c r="I108" s="126" t="s">
        <v>251</v>
      </c>
      <c r="J108" s="133" t="s">
        <v>212</v>
      </c>
      <c r="K108" s="132">
        <v>33</v>
      </c>
      <c r="L108" s="135">
        <v>0.16669999999999999</v>
      </c>
      <c r="M108" s="132">
        <v>4</v>
      </c>
      <c r="N108" s="132">
        <v>7</v>
      </c>
      <c r="O108" s="132">
        <v>2</v>
      </c>
      <c r="P108" s="132">
        <v>1</v>
      </c>
      <c r="Q108" s="126" t="s">
        <v>241</v>
      </c>
      <c r="R108" s="133" t="s">
        <v>212</v>
      </c>
      <c r="S108" s="132">
        <v>0</v>
      </c>
      <c r="T108" s="134" t="s">
        <v>100</v>
      </c>
      <c r="U108" s="132">
        <v>0</v>
      </c>
      <c r="V108" s="132">
        <v>0</v>
      </c>
      <c r="W108" s="132">
        <v>0</v>
      </c>
      <c r="X108" s="131">
        <v>0</v>
      </c>
      <c r="Y108" s="126" t="s">
        <v>239</v>
      </c>
      <c r="Z108" s="133" t="s">
        <v>212</v>
      </c>
      <c r="AA108" s="132">
        <v>44</v>
      </c>
      <c r="AB108" s="135">
        <v>0.51139999999999997</v>
      </c>
      <c r="AC108" s="132">
        <v>17</v>
      </c>
      <c r="AD108" s="132">
        <v>15</v>
      </c>
      <c r="AE108" s="132">
        <v>2</v>
      </c>
      <c r="AF108" s="132">
        <v>1</v>
      </c>
      <c r="AG108" s="126" t="s">
        <v>240</v>
      </c>
      <c r="AH108" s="133" t="s">
        <v>212</v>
      </c>
      <c r="AI108" s="132">
        <v>38</v>
      </c>
      <c r="AJ108" s="135">
        <v>0.48680000000000001</v>
      </c>
      <c r="AK108" s="132">
        <v>11</v>
      </c>
      <c r="AL108" s="132">
        <v>16</v>
      </c>
      <c r="AM108" s="132">
        <v>1</v>
      </c>
      <c r="AN108" s="131">
        <v>0</v>
      </c>
      <c r="AO108" s="126" t="s">
        <v>242</v>
      </c>
      <c r="AP108" s="133" t="s">
        <v>212</v>
      </c>
      <c r="AQ108" s="132">
        <v>0</v>
      </c>
      <c r="AR108" s="134" t="s">
        <v>100</v>
      </c>
      <c r="AS108" s="132">
        <v>0</v>
      </c>
      <c r="AT108" s="132">
        <v>0</v>
      </c>
      <c r="AU108" s="132">
        <v>0</v>
      </c>
      <c r="AV108" s="131">
        <v>0</v>
      </c>
    </row>
    <row r="109" spans="1:48" x14ac:dyDescent="0.3">
      <c r="A109" s="126" t="s">
        <v>250</v>
      </c>
      <c r="B109" s="126" t="s">
        <v>213</v>
      </c>
      <c r="C109" s="129">
        <v>22</v>
      </c>
      <c r="D109" s="130">
        <v>0.31819999999999998</v>
      </c>
      <c r="E109" s="129">
        <v>9</v>
      </c>
      <c r="F109" s="129">
        <v>6</v>
      </c>
      <c r="G109" s="129">
        <v>0</v>
      </c>
      <c r="H109" s="128">
        <v>2</v>
      </c>
      <c r="I109" s="126" t="s">
        <v>251</v>
      </c>
      <c r="J109" s="126" t="s">
        <v>213</v>
      </c>
      <c r="K109" s="129">
        <v>24</v>
      </c>
      <c r="L109" s="130">
        <v>8.3299999999999999E-2</v>
      </c>
      <c r="M109" s="129">
        <v>3</v>
      </c>
      <c r="N109" s="129">
        <v>5</v>
      </c>
      <c r="O109" s="129">
        <v>2</v>
      </c>
      <c r="P109" s="129">
        <v>1</v>
      </c>
      <c r="Q109" s="126" t="s">
        <v>241</v>
      </c>
      <c r="R109" s="126" t="s">
        <v>213</v>
      </c>
      <c r="S109" s="129">
        <v>0</v>
      </c>
      <c r="T109" s="26" t="s">
        <v>100</v>
      </c>
      <c r="U109" s="129">
        <v>0</v>
      </c>
      <c r="V109" s="129">
        <v>0</v>
      </c>
      <c r="W109" s="129">
        <v>0</v>
      </c>
      <c r="X109" s="128">
        <v>0</v>
      </c>
      <c r="Y109" s="126" t="s">
        <v>239</v>
      </c>
      <c r="Z109" s="126" t="s">
        <v>213</v>
      </c>
      <c r="AA109" s="129">
        <v>8</v>
      </c>
      <c r="AB109" s="130">
        <v>0.375</v>
      </c>
      <c r="AC109" s="129">
        <v>3</v>
      </c>
      <c r="AD109" s="129">
        <v>2</v>
      </c>
      <c r="AE109" s="129">
        <v>0</v>
      </c>
      <c r="AF109" s="129">
        <v>0</v>
      </c>
      <c r="AG109" s="126" t="s">
        <v>240</v>
      </c>
      <c r="AH109" s="126" t="s">
        <v>213</v>
      </c>
      <c r="AI109" s="129">
        <v>2</v>
      </c>
      <c r="AJ109" s="129">
        <v>0</v>
      </c>
      <c r="AK109" s="129">
        <v>0</v>
      </c>
      <c r="AL109" s="129">
        <v>1</v>
      </c>
      <c r="AM109" s="129">
        <v>0</v>
      </c>
      <c r="AN109" s="128">
        <v>0</v>
      </c>
      <c r="AO109" s="126" t="s">
        <v>242</v>
      </c>
      <c r="AP109" s="126" t="s">
        <v>213</v>
      </c>
      <c r="AQ109" s="129">
        <v>0</v>
      </c>
      <c r="AR109" s="26" t="s">
        <v>100</v>
      </c>
      <c r="AS109" s="129">
        <v>0</v>
      </c>
      <c r="AT109" s="129">
        <v>0</v>
      </c>
      <c r="AU109" s="129">
        <v>0</v>
      </c>
      <c r="AV109" s="128">
        <v>0</v>
      </c>
    </row>
    <row r="110" spans="1:48" x14ac:dyDescent="0.3">
      <c r="A110" s="126" t="s">
        <v>250</v>
      </c>
      <c r="B110" s="126" t="s">
        <v>214</v>
      </c>
      <c r="C110" s="129">
        <v>17</v>
      </c>
      <c r="D110" s="130">
        <v>0.55879999999999996</v>
      </c>
      <c r="E110" s="129">
        <v>8</v>
      </c>
      <c r="F110" s="129">
        <v>4</v>
      </c>
      <c r="G110" s="129">
        <v>1</v>
      </c>
      <c r="H110" s="128">
        <v>0</v>
      </c>
      <c r="I110" s="126" t="s">
        <v>251</v>
      </c>
      <c r="J110" s="126" t="s">
        <v>214</v>
      </c>
      <c r="K110" s="129">
        <v>9</v>
      </c>
      <c r="L110" s="130">
        <v>0.22220000000000001</v>
      </c>
      <c r="M110" s="129">
        <v>1</v>
      </c>
      <c r="N110" s="129">
        <v>2</v>
      </c>
      <c r="O110" s="129">
        <v>0</v>
      </c>
      <c r="P110" s="129">
        <v>0</v>
      </c>
      <c r="Q110" s="126" t="s">
        <v>241</v>
      </c>
      <c r="R110" s="126" t="s">
        <v>214</v>
      </c>
      <c r="S110" s="129">
        <v>0</v>
      </c>
      <c r="T110" s="26" t="s">
        <v>100</v>
      </c>
      <c r="U110" s="129">
        <v>0</v>
      </c>
      <c r="V110" s="129">
        <v>0</v>
      </c>
      <c r="W110" s="129">
        <v>0</v>
      </c>
      <c r="X110" s="128">
        <v>0</v>
      </c>
      <c r="Y110" s="126" t="s">
        <v>239</v>
      </c>
      <c r="Z110" s="126" t="s">
        <v>214</v>
      </c>
      <c r="AA110" s="129">
        <v>17</v>
      </c>
      <c r="AB110" s="130">
        <v>0.52939999999999998</v>
      </c>
      <c r="AC110" s="129">
        <v>6</v>
      </c>
      <c r="AD110" s="129">
        <v>7</v>
      </c>
      <c r="AE110" s="129">
        <v>1</v>
      </c>
      <c r="AF110" s="129">
        <v>0</v>
      </c>
      <c r="AG110" s="126" t="s">
        <v>240</v>
      </c>
      <c r="AH110" s="126" t="s">
        <v>214</v>
      </c>
      <c r="AI110" s="129">
        <v>18</v>
      </c>
      <c r="AJ110" s="130">
        <v>0.47220000000000001</v>
      </c>
      <c r="AK110" s="129">
        <v>5</v>
      </c>
      <c r="AL110" s="129">
        <v>8</v>
      </c>
      <c r="AM110" s="129">
        <v>1</v>
      </c>
      <c r="AN110" s="128">
        <v>0</v>
      </c>
      <c r="AO110" s="126" t="s">
        <v>242</v>
      </c>
      <c r="AP110" s="126" t="s">
        <v>214</v>
      </c>
      <c r="AQ110" s="129">
        <v>0</v>
      </c>
      <c r="AR110" s="26" t="s">
        <v>100</v>
      </c>
      <c r="AS110" s="129">
        <v>0</v>
      </c>
      <c r="AT110" s="129">
        <v>0</v>
      </c>
      <c r="AU110" s="129">
        <v>0</v>
      </c>
      <c r="AV110" s="128">
        <v>0</v>
      </c>
    </row>
    <row r="111" spans="1:48" x14ac:dyDescent="0.3">
      <c r="A111" s="126" t="s">
        <v>250</v>
      </c>
      <c r="B111" s="125" t="s">
        <v>215</v>
      </c>
      <c r="C111" s="123">
        <v>4</v>
      </c>
      <c r="D111" s="123">
        <v>0</v>
      </c>
      <c r="E111" s="123">
        <v>0</v>
      </c>
      <c r="F111" s="123">
        <v>2</v>
      </c>
      <c r="G111" s="123">
        <v>0</v>
      </c>
      <c r="H111" s="122">
        <v>0</v>
      </c>
      <c r="I111" s="126" t="s">
        <v>251</v>
      </c>
      <c r="J111" s="125" t="s">
        <v>215</v>
      </c>
      <c r="K111" s="123">
        <v>0</v>
      </c>
      <c r="L111" s="124" t="s">
        <v>100</v>
      </c>
      <c r="M111" s="123">
        <v>0</v>
      </c>
      <c r="N111" s="123">
        <v>0</v>
      </c>
      <c r="O111" s="123">
        <v>0</v>
      </c>
      <c r="P111" s="123">
        <v>0</v>
      </c>
      <c r="Q111" s="126" t="s">
        <v>241</v>
      </c>
      <c r="R111" s="125" t="s">
        <v>215</v>
      </c>
      <c r="S111" s="123">
        <v>0</v>
      </c>
      <c r="T111" s="124" t="s">
        <v>100</v>
      </c>
      <c r="U111" s="123">
        <v>0</v>
      </c>
      <c r="V111" s="123">
        <v>0</v>
      </c>
      <c r="W111" s="123">
        <v>0</v>
      </c>
      <c r="X111" s="122">
        <v>0</v>
      </c>
      <c r="Y111" s="126" t="s">
        <v>239</v>
      </c>
      <c r="Z111" s="125" t="s">
        <v>215</v>
      </c>
      <c r="AA111" s="123">
        <v>16</v>
      </c>
      <c r="AB111" s="127">
        <v>0.375</v>
      </c>
      <c r="AC111" s="123">
        <v>7</v>
      </c>
      <c r="AD111" s="123">
        <v>4</v>
      </c>
      <c r="AE111" s="123">
        <v>1</v>
      </c>
      <c r="AF111" s="123">
        <v>1</v>
      </c>
      <c r="AG111" s="126" t="s">
        <v>240</v>
      </c>
      <c r="AH111" s="125" t="s">
        <v>215</v>
      </c>
      <c r="AI111" s="123">
        <v>17</v>
      </c>
      <c r="AJ111" s="127">
        <v>0.29409999999999997</v>
      </c>
      <c r="AK111" s="123">
        <v>5</v>
      </c>
      <c r="AL111" s="123">
        <v>7</v>
      </c>
      <c r="AM111" s="123">
        <v>0</v>
      </c>
      <c r="AN111" s="122">
        <v>0</v>
      </c>
      <c r="AO111" s="126" t="s">
        <v>242</v>
      </c>
      <c r="AP111" s="125" t="s">
        <v>215</v>
      </c>
      <c r="AQ111" s="123">
        <v>0</v>
      </c>
      <c r="AR111" s="124" t="s">
        <v>100</v>
      </c>
      <c r="AS111" s="123">
        <v>0</v>
      </c>
      <c r="AT111" s="123">
        <v>0</v>
      </c>
      <c r="AU111" s="123">
        <v>0</v>
      </c>
      <c r="AV111" s="122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55" x14ac:dyDescent="0.3">
      <c r="A113" s="43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43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43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43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43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43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55" x14ac:dyDescent="0.3">
      <c r="A114" s="126" t="s">
        <v>250</v>
      </c>
      <c r="B114" s="133" t="s">
        <v>217</v>
      </c>
      <c r="C114" s="132">
        <v>27</v>
      </c>
      <c r="D114" s="137">
        <v>7.4099999999999999E-2</v>
      </c>
      <c r="E114" s="132">
        <v>2</v>
      </c>
      <c r="F114" s="132">
        <v>4</v>
      </c>
      <c r="G114" s="132">
        <v>2</v>
      </c>
      <c r="H114" s="132">
        <v>1</v>
      </c>
      <c r="I114" s="126" t="s">
        <v>251</v>
      </c>
      <c r="J114" s="133" t="s">
        <v>217</v>
      </c>
      <c r="K114" s="132">
        <v>7</v>
      </c>
      <c r="L114" s="137">
        <v>0.1429</v>
      </c>
      <c r="M114" s="132">
        <v>0</v>
      </c>
      <c r="N114" s="132">
        <v>3</v>
      </c>
      <c r="O114" s="132">
        <v>1</v>
      </c>
      <c r="P114" s="132">
        <v>0</v>
      </c>
      <c r="Q114" s="126" t="s">
        <v>241</v>
      </c>
      <c r="R114" s="133" t="s">
        <v>217</v>
      </c>
      <c r="S114" s="132">
        <v>1</v>
      </c>
      <c r="T114" s="137">
        <v>0.5</v>
      </c>
      <c r="U114" s="132">
        <v>0</v>
      </c>
      <c r="V114" s="132">
        <v>1</v>
      </c>
      <c r="W114" s="132">
        <v>0</v>
      </c>
      <c r="X114" s="131">
        <v>0</v>
      </c>
      <c r="Y114" s="126" t="s">
        <v>239</v>
      </c>
      <c r="Z114" s="133" t="s">
        <v>217</v>
      </c>
      <c r="AA114" s="132">
        <v>24</v>
      </c>
      <c r="AB114" s="137">
        <v>4.1700000000000001E-2</v>
      </c>
      <c r="AC114" s="132">
        <v>5</v>
      </c>
      <c r="AD114" s="132">
        <v>3</v>
      </c>
      <c r="AE114" s="132">
        <v>1</v>
      </c>
      <c r="AF114" s="132">
        <v>5</v>
      </c>
      <c r="AG114" s="126" t="s">
        <v>240</v>
      </c>
      <c r="AH114" s="133" t="s">
        <v>217</v>
      </c>
      <c r="AI114" s="132">
        <v>24</v>
      </c>
      <c r="AJ114" s="137">
        <v>0.1042</v>
      </c>
      <c r="AK114" s="132">
        <v>5</v>
      </c>
      <c r="AL114" s="132">
        <v>4</v>
      </c>
      <c r="AM114" s="132">
        <v>1</v>
      </c>
      <c r="AN114" s="131">
        <v>4</v>
      </c>
      <c r="AO114" s="126" t="s">
        <v>242</v>
      </c>
      <c r="AP114" s="133" t="s">
        <v>217</v>
      </c>
      <c r="AQ114" s="132">
        <v>0</v>
      </c>
      <c r="AR114" s="136" t="s">
        <v>100</v>
      </c>
      <c r="AS114" s="132">
        <v>0</v>
      </c>
      <c r="AT114" s="132">
        <v>0</v>
      </c>
      <c r="AU114" s="132">
        <v>0</v>
      </c>
      <c r="AV114" s="131">
        <v>0</v>
      </c>
    </row>
    <row r="115" spans="1:55" x14ac:dyDescent="0.3">
      <c r="A115" s="126" t="s">
        <v>250</v>
      </c>
      <c r="B115" s="126" t="s">
        <v>218</v>
      </c>
      <c r="C115" s="129">
        <v>13</v>
      </c>
      <c r="D115" s="130">
        <v>7.6899999999999996E-2</v>
      </c>
      <c r="E115" s="129">
        <v>2</v>
      </c>
      <c r="F115" s="129">
        <v>1</v>
      </c>
      <c r="G115" s="129">
        <v>1</v>
      </c>
      <c r="H115" s="129">
        <v>1</v>
      </c>
      <c r="I115" s="126" t="s">
        <v>251</v>
      </c>
      <c r="J115" s="126" t="s">
        <v>218</v>
      </c>
      <c r="K115" s="129">
        <v>0</v>
      </c>
      <c r="L115" s="26" t="s">
        <v>100</v>
      </c>
      <c r="M115" s="129">
        <v>0</v>
      </c>
      <c r="N115" s="129">
        <v>0</v>
      </c>
      <c r="O115" s="129">
        <v>0</v>
      </c>
      <c r="P115" s="129">
        <v>0</v>
      </c>
      <c r="Q115" s="126" t="s">
        <v>241</v>
      </c>
      <c r="R115" s="126" t="s">
        <v>218</v>
      </c>
      <c r="S115" s="129">
        <v>1</v>
      </c>
      <c r="T115" s="129">
        <v>0</v>
      </c>
      <c r="U115" s="129">
        <v>0</v>
      </c>
      <c r="V115" s="129">
        <v>0</v>
      </c>
      <c r="W115" s="129">
        <v>0</v>
      </c>
      <c r="X115" s="128">
        <v>0</v>
      </c>
      <c r="Y115" s="126" t="s">
        <v>239</v>
      </c>
      <c r="Z115" s="126" t="s">
        <v>218</v>
      </c>
      <c r="AA115" s="129">
        <v>3</v>
      </c>
      <c r="AB115" s="130">
        <v>-0.33329999999999999</v>
      </c>
      <c r="AC115" s="129">
        <v>0</v>
      </c>
      <c r="AD115" s="129">
        <v>0</v>
      </c>
      <c r="AE115" s="129">
        <v>0</v>
      </c>
      <c r="AF115" s="129">
        <v>1</v>
      </c>
      <c r="AG115" s="126" t="s">
        <v>240</v>
      </c>
      <c r="AH115" s="126" t="s">
        <v>218</v>
      </c>
      <c r="AI115" s="129">
        <v>2</v>
      </c>
      <c r="AJ115" s="129">
        <v>0</v>
      </c>
      <c r="AK115" s="129">
        <v>0</v>
      </c>
      <c r="AL115" s="129">
        <v>0</v>
      </c>
      <c r="AM115" s="129">
        <v>0</v>
      </c>
      <c r="AN115" s="128">
        <v>0</v>
      </c>
      <c r="AO115" s="126" t="s">
        <v>242</v>
      </c>
      <c r="AP115" s="126" t="s">
        <v>218</v>
      </c>
      <c r="AQ115" s="129">
        <v>0</v>
      </c>
      <c r="AR115" s="26" t="s">
        <v>100</v>
      </c>
      <c r="AS115" s="129">
        <v>0</v>
      </c>
      <c r="AT115" s="129">
        <v>0</v>
      </c>
      <c r="AU115" s="129">
        <v>0</v>
      </c>
      <c r="AV115" s="128">
        <v>0</v>
      </c>
    </row>
    <row r="116" spans="1:55" x14ac:dyDescent="0.3">
      <c r="A116" s="126" t="s">
        <v>250</v>
      </c>
      <c r="B116" s="126" t="s">
        <v>219</v>
      </c>
      <c r="C116" s="129">
        <v>14</v>
      </c>
      <c r="D116" s="129">
        <v>0</v>
      </c>
      <c r="E116" s="129">
        <v>0</v>
      </c>
      <c r="F116" s="129">
        <v>3</v>
      </c>
      <c r="G116" s="129">
        <v>1</v>
      </c>
      <c r="H116" s="129">
        <v>0</v>
      </c>
      <c r="I116" s="126" t="s">
        <v>251</v>
      </c>
      <c r="J116" s="126" t="s">
        <v>219</v>
      </c>
      <c r="K116" s="129">
        <v>6</v>
      </c>
      <c r="L116" s="129">
        <v>0</v>
      </c>
      <c r="M116" s="129">
        <v>0</v>
      </c>
      <c r="N116" s="129">
        <v>3</v>
      </c>
      <c r="O116" s="129">
        <v>0</v>
      </c>
      <c r="P116" s="129">
        <v>0</v>
      </c>
      <c r="Q116" s="126" t="s">
        <v>241</v>
      </c>
      <c r="R116" s="126" t="s">
        <v>219</v>
      </c>
      <c r="S116" s="129">
        <v>0</v>
      </c>
      <c r="T116" s="26" t="s">
        <v>100</v>
      </c>
      <c r="U116" s="129">
        <v>0</v>
      </c>
      <c r="V116" s="129">
        <v>0</v>
      </c>
      <c r="W116" s="129">
        <v>0</v>
      </c>
      <c r="X116" s="128">
        <v>0</v>
      </c>
      <c r="Y116" s="126" t="s">
        <v>239</v>
      </c>
      <c r="Z116" s="126" t="s">
        <v>219</v>
      </c>
      <c r="AA116" s="129">
        <v>12</v>
      </c>
      <c r="AB116" s="130">
        <v>0.25</v>
      </c>
      <c r="AC116" s="129">
        <v>4</v>
      </c>
      <c r="AD116" s="129">
        <v>2</v>
      </c>
      <c r="AE116" s="129">
        <v>0</v>
      </c>
      <c r="AF116" s="129">
        <v>1</v>
      </c>
      <c r="AG116" s="126" t="s">
        <v>240</v>
      </c>
      <c r="AH116" s="126" t="s">
        <v>219</v>
      </c>
      <c r="AI116" s="129">
        <v>10</v>
      </c>
      <c r="AJ116" s="130">
        <v>0.1</v>
      </c>
      <c r="AK116" s="129">
        <v>2</v>
      </c>
      <c r="AL116" s="129">
        <v>2</v>
      </c>
      <c r="AM116" s="129">
        <v>0</v>
      </c>
      <c r="AN116" s="128">
        <v>1</v>
      </c>
      <c r="AO116" s="126" t="s">
        <v>242</v>
      </c>
      <c r="AP116" s="126" t="s">
        <v>219</v>
      </c>
      <c r="AQ116" s="129">
        <v>0</v>
      </c>
      <c r="AR116" s="26" t="s">
        <v>100</v>
      </c>
      <c r="AS116" s="129">
        <v>0</v>
      </c>
      <c r="AT116" s="129">
        <v>0</v>
      </c>
      <c r="AU116" s="129">
        <v>0</v>
      </c>
      <c r="AV116" s="128">
        <v>0</v>
      </c>
    </row>
    <row r="117" spans="1:55" x14ac:dyDescent="0.3">
      <c r="A117" s="126" t="s">
        <v>250</v>
      </c>
      <c r="B117" s="126" t="s">
        <v>220</v>
      </c>
      <c r="C117" s="129">
        <v>0</v>
      </c>
      <c r="D117" s="26" t="s">
        <v>100</v>
      </c>
      <c r="E117" s="129">
        <v>0</v>
      </c>
      <c r="F117" s="129">
        <v>0</v>
      </c>
      <c r="G117" s="129">
        <v>0</v>
      </c>
      <c r="H117" s="129">
        <v>0</v>
      </c>
      <c r="I117" s="126" t="s">
        <v>251</v>
      </c>
      <c r="J117" s="126" t="s">
        <v>220</v>
      </c>
      <c r="K117" s="129">
        <v>1</v>
      </c>
      <c r="L117" s="129">
        <v>0</v>
      </c>
      <c r="M117" s="129">
        <v>0</v>
      </c>
      <c r="N117" s="129">
        <v>0</v>
      </c>
      <c r="O117" s="129">
        <v>1</v>
      </c>
      <c r="P117" s="129">
        <v>0</v>
      </c>
      <c r="Q117" s="126" t="s">
        <v>241</v>
      </c>
      <c r="R117" s="126" t="s">
        <v>220</v>
      </c>
      <c r="S117" s="129">
        <v>0</v>
      </c>
      <c r="T117" s="26" t="s">
        <v>100</v>
      </c>
      <c r="U117" s="129">
        <v>0</v>
      </c>
      <c r="V117" s="129">
        <v>0</v>
      </c>
      <c r="W117" s="129">
        <v>0</v>
      </c>
      <c r="X117" s="128">
        <v>0</v>
      </c>
      <c r="Y117" s="126" t="s">
        <v>239</v>
      </c>
      <c r="Z117" s="126" t="s">
        <v>220</v>
      </c>
      <c r="AA117" s="129">
        <v>9</v>
      </c>
      <c r="AB117" s="130">
        <v>-0.22220000000000001</v>
      </c>
      <c r="AC117" s="129">
        <v>1</v>
      </c>
      <c r="AD117" s="129">
        <v>1</v>
      </c>
      <c r="AE117" s="129">
        <v>1</v>
      </c>
      <c r="AF117" s="129">
        <v>3</v>
      </c>
      <c r="AG117" s="126" t="s">
        <v>240</v>
      </c>
      <c r="AH117" s="126" t="s">
        <v>220</v>
      </c>
      <c r="AI117" s="129">
        <v>12</v>
      </c>
      <c r="AJ117" s="129">
        <v>0</v>
      </c>
      <c r="AK117" s="129">
        <v>3</v>
      </c>
      <c r="AL117" s="129">
        <v>1</v>
      </c>
      <c r="AM117" s="129">
        <v>1</v>
      </c>
      <c r="AN117" s="128">
        <v>3</v>
      </c>
      <c r="AO117" s="126" t="s">
        <v>242</v>
      </c>
      <c r="AP117" s="126" t="s">
        <v>220</v>
      </c>
      <c r="AQ117" s="129">
        <v>0</v>
      </c>
      <c r="AR117" s="26" t="s">
        <v>100</v>
      </c>
      <c r="AS117" s="129">
        <v>0</v>
      </c>
      <c r="AT117" s="129">
        <v>0</v>
      </c>
      <c r="AU117" s="129">
        <v>0</v>
      </c>
      <c r="AV117" s="128">
        <v>0</v>
      </c>
    </row>
    <row r="118" spans="1:55" x14ac:dyDescent="0.3">
      <c r="A118" s="126" t="s">
        <v>250</v>
      </c>
      <c r="B118" s="133" t="s">
        <v>221</v>
      </c>
      <c r="C118" s="132">
        <v>12</v>
      </c>
      <c r="D118" s="135">
        <v>-0.125</v>
      </c>
      <c r="E118" s="132">
        <v>1</v>
      </c>
      <c r="F118" s="132">
        <v>1</v>
      </c>
      <c r="G118" s="132">
        <v>0</v>
      </c>
      <c r="H118" s="132">
        <v>3</v>
      </c>
      <c r="I118" s="126" t="s">
        <v>251</v>
      </c>
      <c r="J118" s="133" t="s">
        <v>221</v>
      </c>
      <c r="K118" s="132">
        <v>3</v>
      </c>
      <c r="L118" s="132">
        <v>0</v>
      </c>
      <c r="M118" s="132">
        <v>0</v>
      </c>
      <c r="N118" s="132">
        <v>0</v>
      </c>
      <c r="O118" s="132">
        <v>0</v>
      </c>
      <c r="P118" s="132">
        <v>0</v>
      </c>
      <c r="Q118" s="126" t="s">
        <v>241</v>
      </c>
      <c r="R118" s="133" t="s">
        <v>221</v>
      </c>
      <c r="S118" s="132">
        <v>1</v>
      </c>
      <c r="T118" s="135">
        <v>1.5</v>
      </c>
      <c r="U118" s="132">
        <v>1</v>
      </c>
      <c r="V118" s="132">
        <v>0</v>
      </c>
      <c r="W118" s="132">
        <v>0</v>
      </c>
      <c r="X118" s="131">
        <v>0</v>
      </c>
      <c r="Y118" s="126" t="s">
        <v>239</v>
      </c>
      <c r="Z118" s="133" t="s">
        <v>221</v>
      </c>
      <c r="AA118" s="132">
        <v>19</v>
      </c>
      <c r="AB118" s="135">
        <v>0.21049999999999999</v>
      </c>
      <c r="AC118" s="132">
        <v>4</v>
      </c>
      <c r="AD118" s="132">
        <v>7</v>
      </c>
      <c r="AE118" s="132">
        <v>0</v>
      </c>
      <c r="AF118" s="132">
        <v>2</v>
      </c>
      <c r="AG118" s="126" t="s">
        <v>240</v>
      </c>
      <c r="AH118" s="133" t="s">
        <v>221</v>
      </c>
      <c r="AI118" s="132">
        <v>19</v>
      </c>
      <c r="AJ118" s="135">
        <v>0.36840000000000001</v>
      </c>
      <c r="AK118" s="132">
        <v>6</v>
      </c>
      <c r="AL118" s="132">
        <v>6</v>
      </c>
      <c r="AM118" s="132">
        <v>2</v>
      </c>
      <c r="AN118" s="131">
        <v>1</v>
      </c>
      <c r="AO118" s="126" t="s">
        <v>242</v>
      </c>
      <c r="AP118" s="133" t="s">
        <v>221</v>
      </c>
      <c r="AQ118" s="132">
        <v>0</v>
      </c>
      <c r="AR118" s="134" t="s">
        <v>100</v>
      </c>
      <c r="AS118" s="132">
        <v>0</v>
      </c>
      <c r="AT118" s="132">
        <v>0</v>
      </c>
      <c r="AU118" s="132">
        <v>0</v>
      </c>
      <c r="AV118" s="131">
        <v>0</v>
      </c>
    </row>
    <row r="119" spans="1:55" x14ac:dyDescent="0.3">
      <c r="A119" s="126" t="s">
        <v>250</v>
      </c>
      <c r="B119" s="126" t="s">
        <v>222</v>
      </c>
      <c r="C119" s="129">
        <v>9</v>
      </c>
      <c r="D119" s="130">
        <v>-0.16669999999999999</v>
      </c>
      <c r="E119" s="129">
        <v>0</v>
      </c>
      <c r="F119" s="129">
        <v>1</v>
      </c>
      <c r="G119" s="129">
        <v>0</v>
      </c>
      <c r="H119" s="129">
        <v>2</v>
      </c>
      <c r="I119" s="126" t="s">
        <v>251</v>
      </c>
      <c r="J119" s="126" t="s">
        <v>222</v>
      </c>
      <c r="K119" s="129">
        <v>1</v>
      </c>
      <c r="L119" s="129">
        <v>0</v>
      </c>
      <c r="M119" s="129">
        <v>0</v>
      </c>
      <c r="N119" s="129">
        <v>0</v>
      </c>
      <c r="O119" s="129">
        <v>0</v>
      </c>
      <c r="P119" s="129">
        <v>0</v>
      </c>
      <c r="Q119" s="126" t="s">
        <v>241</v>
      </c>
      <c r="R119" s="126" t="s">
        <v>222</v>
      </c>
      <c r="S119" s="129">
        <v>0</v>
      </c>
      <c r="T119" s="26" t="s">
        <v>100</v>
      </c>
      <c r="U119" s="129">
        <v>0</v>
      </c>
      <c r="V119" s="129">
        <v>0</v>
      </c>
      <c r="W119" s="129">
        <v>0</v>
      </c>
      <c r="X119" s="128">
        <v>0</v>
      </c>
      <c r="Y119" s="126" t="s">
        <v>239</v>
      </c>
      <c r="Z119" s="126" t="s">
        <v>222</v>
      </c>
      <c r="AA119" s="129">
        <v>0</v>
      </c>
      <c r="AB119" s="26" t="s">
        <v>100</v>
      </c>
      <c r="AC119" s="129">
        <v>0</v>
      </c>
      <c r="AD119" s="129">
        <v>0</v>
      </c>
      <c r="AE119" s="129">
        <v>0</v>
      </c>
      <c r="AF119" s="129">
        <v>0</v>
      </c>
      <c r="AG119" s="126" t="s">
        <v>240</v>
      </c>
      <c r="AH119" s="126" t="s">
        <v>222</v>
      </c>
      <c r="AI119" s="129">
        <v>1</v>
      </c>
      <c r="AJ119" s="130">
        <v>0.5</v>
      </c>
      <c r="AK119" s="129">
        <v>0</v>
      </c>
      <c r="AL119" s="129">
        <v>1</v>
      </c>
      <c r="AM119" s="129">
        <v>0</v>
      </c>
      <c r="AN119" s="128">
        <v>0</v>
      </c>
      <c r="AO119" s="126" t="s">
        <v>242</v>
      </c>
      <c r="AP119" s="126" t="s">
        <v>222</v>
      </c>
      <c r="AQ119" s="129">
        <v>0</v>
      </c>
      <c r="AR119" s="26" t="s">
        <v>100</v>
      </c>
      <c r="AS119" s="129">
        <v>0</v>
      </c>
      <c r="AT119" s="129">
        <v>0</v>
      </c>
      <c r="AU119" s="129">
        <v>0</v>
      </c>
      <c r="AV119" s="128">
        <v>0</v>
      </c>
    </row>
    <row r="120" spans="1:55" x14ac:dyDescent="0.3">
      <c r="A120" s="126" t="s">
        <v>250</v>
      </c>
      <c r="B120" s="126" t="s">
        <v>223</v>
      </c>
      <c r="C120" s="129">
        <v>3</v>
      </c>
      <c r="D120" s="129">
        <v>0</v>
      </c>
      <c r="E120" s="129">
        <v>1</v>
      </c>
      <c r="F120" s="129">
        <v>0</v>
      </c>
      <c r="G120" s="129">
        <v>0</v>
      </c>
      <c r="H120" s="129">
        <v>1</v>
      </c>
      <c r="I120" s="126" t="s">
        <v>251</v>
      </c>
      <c r="J120" s="126" t="s">
        <v>223</v>
      </c>
      <c r="K120" s="129">
        <v>2</v>
      </c>
      <c r="L120" s="129">
        <v>0</v>
      </c>
      <c r="M120" s="129">
        <v>0</v>
      </c>
      <c r="N120" s="129">
        <v>0</v>
      </c>
      <c r="O120" s="129">
        <v>0</v>
      </c>
      <c r="P120" s="129">
        <v>0</v>
      </c>
      <c r="Q120" s="126" t="s">
        <v>241</v>
      </c>
      <c r="R120" s="126" t="s">
        <v>223</v>
      </c>
      <c r="S120" s="129">
        <v>1</v>
      </c>
      <c r="T120" s="129">
        <v>1</v>
      </c>
      <c r="U120" s="129">
        <v>1</v>
      </c>
      <c r="V120" s="129">
        <v>0</v>
      </c>
      <c r="W120" s="129">
        <v>0</v>
      </c>
      <c r="X120" s="128">
        <v>0</v>
      </c>
      <c r="Y120" s="126" t="s">
        <v>239</v>
      </c>
      <c r="Z120" s="126" t="s">
        <v>223</v>
      </c>
      <c r="AA120" s="129">
        <v>15</v>
      </c>
      <c r="AB120" s="130">
        <v>0.36670000000000003</v>
      </c>
      <c r="AC120" s="129">
        <v>4</v>
      </c>
      <c r="AD120" s="129">
        <v>5</v>
      </c>
      <c r="AE120" s="129">
        <v>0</v>
      </c>
      <c r="AF120" s="129">
        <v>1</v>
      </c>
      <c r="AG120" s="126" t="s">
        <v>240</v>
      </c>
      <c r="AH120" s="126" t="s">
        <v>223</v>
      </c>
      <c r="AI120" s="129">
        <v>11</v>
      </c>
      <c r="AJ120" s="130">
        <v>0.36359999999999998</v>
      </c>
      <c r="AK120" s="129">
        <v>4</v>
      </c>
      <c r="AL120" s="129">
        <v>3</v>
      </c>
      <c r="AM120" s="129">
        <v>1</v>
      </c>
      <c r="AN120" s="128">
        <v>1</v>
      </c>
      <c r="AO120" s="126" t="s">
        <v>242</v>
      </c>
      <c r="AP120" s="126" t="s">
        <v>223</v>
      </c>
      <c r="AQ120" s="129">
        <v>0</v>
      </c>
      <c r="AR120" s="26" t="s">
        <v>100</v>
      </c>
      <c r="AS120" s="129">
        <v>0</v>
      </c>
      <c r="AT120" s="129">
        <v>0</v>
      </c>
      <c r="AU120" s="129">
        <v>0</v>
      </c>
      <c r="AV120" s="128">
        <v>0</v>
      </c>
    </row>
    <row r="121" spans="1:55" x14ac:dyDescent="0.3">
      <c r="A121" s="126" t="s">
        <v>250</v>
      </c>
      <c r="B121" s="126" t="s">
        <v>224</v>
      </c>
      <c r="C121" s="129">
        <v>0</v>
      </c>
      <c r="D121" s="26" t="s">
        <v>100</v>
      </c>
      <c r="E121" s="129">
        <v>0</v>
      </c>
      <c r="F121" s="129">
        <v>0</v>
      </c>
      <c r="G121" s="129">
        <v>0</v>
      </c>
      <c r="H121" s="129">
        <v>0</v>
      </c>
      <c r="I121" s="126" t="s">
        <v>251</v>
      </c>
      <c r="J121" s="126" t="s">
        <v>224</v>
      </c>
      <c r="K121" s="129">
        <v>0</v>
      </c>
      <c r="L121" s="26" t="s">
        <v>100</v>
      </c>
      <c r="M121" s="129">
        <v>0</v>
      </c>
      <c r="N121" s="129">
        <v>0</v>
      </c>
      <c r="O121" s="129">
        <v>0</v>
      </c>
      <c r="P121" s="129">
        <v>0</v>
      </c>
      <c r="Q121" s="126" t="s">
        <v>241</v>
      </c>
      <c r="R121" s="126" t="s">
        <v>224</v>
      </c>
      <c r="S121" s="129">
        <v>0</v>
      </c>
      <c r="T121" s="26" t="s">
        <v>100</v>
      </c>
      <c r="U121" s="129">
        <v>0</v>
      </c>
      <c r="V121" s="129">
        <v>0</v>
      </c>
      <c r="W121" s="129">
        <v>0</v>
      </c>
      <c r="X121" s="128">
        <v>0</v>
      </c>
      <c r="Y121" s="126" t="s">
        <v>239</v>
      </c>
      <c r="Z121" s="126" t="s">
        <v>224</v>
      </c>
      <c r="AA121" s="129">
        <v>4</v>
      </c>
      <c r="AB121" s="129">
        <v>0</v>
      </c>
      <c r="AC121" s="129">
        <v>0</v>
      </c>
      <c r="AD121" s="129">
        <v>2</v>
      </c>
      <c r="AE121" s="129">
        <v>0</v>
      </c>
      <c r="AF121" s="129">
        <v>1</v>
      </c>
      <c r="AG121" s="126" t="s">
        <v>240</v>
      </c>
      <c r="AH121" s="126" t="s">
        <v>224</v>
      </c>
      <c r="AI121" s="129">
        <v>7</v>
      </c>
      <c r="AJ121" s="130">
        <v>0.35709999999999997</v>
      </c>
      <c r="AK121" s="129">
        <v>2</v>
      </c>
      <c r="AL121" s="129">
        <v>2</v>
      </c>
      <c r="AM121" s="129">
        <v>1</v>
      </c>
      <c r="AN121" s="128">
        <v>0</v>
      </c>
      <c r="AO121" s="126" t="s">
        <v>242</v>
      </c>
      <c r="AP121" s="126" t="s">
        <v>224</v>
      </c>
      <c r="AQ121" s="129">
        <v>0</v>
      </c>
      <c r="AR121" s="26" t="s">
        <v>100</v>
      </c>
      <c r="AS121" s="129">
        <v>0</v>
      </c>
      <c r="AT121" s="129">
        <v>0</v>
      </c>
      <c r="AU121" s="129">
        <v>0</v>
      </c>
      <c r="AV121" s="128">
        <v>0</v>
      </c>
    </row>
    <row r="122" spans="1:55" x14ac:dyDescent="0.3">
      <c r="A122" s="126" t="s">
        <v>250</v>
      </c>
      <c r="B122" s="133" t="s">
        <v>225</v>
      </c>
      <c r="C122" s="132">
        <v>7</v>
      </c>
      <c r="D122" s="135">
        <v>-7.1400000000000005E-2</v>
      </c>
      <c r="E122" s="132">
        <v>1</v>
      </c>
      <c r="F122" s="132">
        <v>1</v>
      </c>
      <c r="G122" s="132">
        <v>0</v>
      </c>
      <c r="H122" s="132">
        <v>2</v>
      </c>
      <c r="I122" s="126" t="s">
        <v>251</v>
      </c>
      <c r="J122" s="133" t="s">
        <v>225</v>
      </c>
      <c r="K122" s="132">
        <v>3</v>
      </c>
      <c r="L122" s="135">
        <v>0.33329999999999999</v>
      </c>
      <c r="M122" s="132">
        <v>1</v>
      </c>
      <c r="N122" s="132">
        <v>0</v>
      </c>
      <c r="O122" s="132">
        <v>0</v>
      </c>
      <c r="P122" s="132">
        <v>0</v>
      </c>
      <c r="Q122" s="126" t="s">
        <v>241</v>
      </c>
      <c r="R122" s="133" t="s">
        <v>225</v>
      </c>
      <c r="S122" s="132">
        <v>1</v>
      </c>
      <c r="T122" s="132">
        <v>1</v>
      </c>
      <c r="U122" s="132">
        <v>1</v>
      </c>
      <c r="V122" s="132">
        <v>0</v>
      </c>
      <c r="W122" s="132">
        <v>0</v>
      </c>
      <c r="X122" s="131">
        <v>0</v>
      </c>
      <c r="Y122" s="126" t="s">
        <v>239</v>
      </c>
      <c r="Z122" s="133" t="s">
        <v>225</v>
      </c>
      <c r="AA122" s="132">
        <v>10</v>
      </c>
      <c r="AB122" s="135">
        <v>0.15</v>
      </c>
      <c r="AC122" s="132">
        <v>0</v>
      </c>
      <c r="AD122" s="132">
        <v>3</v>
      </c>
      <c r="AE122" s="132">
        <v>0</v>
      </c>
      <c r="AF122" s="132">
        <v>0</v>
      </c>
      <c r="AG122" s="126" t="s">
        <v>240</v>
      </c>
      <c r="AH122" s="133" t="s">
        <v>225</v>
      </c>
      <c r="AI122" s="132">
        <v>17</v>
      </c>
      <c r="AJ122" s="135">
        <v>0.23530000000000001</v>
      </c>
      <c r="AK122" s="132">
        <v>3</v>
      </c>
      <c r="AL122" s="132">
        <v>4</v>
      </c>
      <c r="AM122" s="132">
        <v>2</v>
      </c>
      <c r="AN122" s="131">
        <v>0</v>
      </c>
      <c r="AO122" s="126" t="s">
        <v>242</v>
      </c>
      <c r="AP122" s="133" t="s">
        <v>225</v>
      </c>
      <c r="AQ122" s="132">
        <v>0</v>
      </c>
      <c r="AR122" s="134" t="s">
        <v>100</v>
      </c>
      <c r="AS122" s="132">
        <v>0</v>
      </c>
      <c r="AT122" s="132">
        <v>0</v>
      </c>
      <c r="AU122" s="132">
        <v>0</v>
      </c>
      <c r="AV122" s="131">
        <v>0</v>
      </c>
    </row>
    <row r="123" spans="1:55" x14ac:dyDescent="0.3">
      <c r="A123" s="126" t="s">
        <v>250</v>
      </c>
      <c r="B123" s="126" t="s">
        <v>226</v>
      </c>
      <c r="C123" s="129">
        <v>5</v>
      </c>
      <c r="D123" s="130">
        <v>-0.4</v>
      </c>
      <c r="E123" s="129">
        <v>0</v>
      </c>
      <c r="F123" s="129">
        <v>0</v>
      </c>
      <c r="G123" s="129">
        <v>0</v>
      </c>
      <c r="H123" s="129">
        <v>2</v>
      </c>
      <c r="I123" s="126" t="s">
        <v>251</v>
      </c>
      <c r="J123" s="126" t="s">
        <v>226</v>
      </c>
      <c r="K123" s="129">
        <v>2</v>
      </c>
      <c r="L123" s="129">
        <v>0</v>
      </c>
      <c r="M123" s="129">
        <v>0</v>
      </c>
      <c r="N123" s="129">
        <v>0</v>
      </c>
      <c r="O123" s="129">
        <v>0</v>
      </c>
      <c r="P123" s="129">
        <v>0</v>
      </c>
      <c r="Q123" s="126" t="s">
        <v>241</v>
      </c>
      <c r="R123" s="126" t="s">
        <v>226</v>
      </c>
      <c r="S123" s="129">
        <v>0</v>
      </c>
      <c r="T123" s="26" t="s">
        <v>100</v>
      </c>
      <c r="U123" s="129">
        <v>0</v>
      </c>
      <c r="V123" s="129">
        <v>0</v>
      </c>
      <c r="W123" s="129">
        <v>0</v>
      </c>
      <c r="X123" s="128">
        <v>0</v>
      </c>
      <c r="Y123" s="126" t="s">
        <v>239</v>
      </c>
      <c r="Z123" s="126" t="s">
        <v>226</v>
      </c>
      <c r="AA123" s="129">
        <v>4</v>
      </c>
      <c r="AB123" s="129">
        <v>0</v>
      </c>
      <c r="AC123" s="129">
        <v>0</v>
      </c>
      <c r="AD123" s="129">
        <v>1</v>
      </c>
      <c r="AE123" s="129">
        <v>0</v>
      </c>
      <c r="AF123" s="129">
        <v>0</v>
      </c>
      <c r="AG123" s="126" t="s">
        <v>240</v>
      </c>
      <c r="AH123" s="126" t="s">
        <v>226</v>
      </c>
      <c r="AI123" s="129">
        <v>2</v>
      </c>
      <c r="AJ123" s="129">
        <v>0</v>
      </c>
      <c r="AK123" s="129">
        <v>0</v>
      </c>
      <c r="AL123" s="129">
        <v>0</v>
      </c>
      <c r="AM123" s="129">
        <v>0</v>
      </c>
      <c r="AN123" s="128">
        <v>0</v>
      </c>
      <c r="AO123" s="126" t="s">
        <v>242</v>
      </c>
      <c r="AP123" s="126" t="s">
        <v>226</v>
      </c>
      <c r="AQ123" s="129">
        <v>0</v>
      </c>
      <c r="AR123" s="26" t="s">
        <v>100</v>
      </c>
      <c r="AS123" s="129">
        <v>0</v>
      </c>
      <c r="AT123" s="129">
        <v>0</v>
      </c>
      <c r="AU123" s="129">
        <v>0</v>
      </c>
      <c r="AV123" s="128">
        <v>0</v>
      </c>
    </row>
    <row r="124" spans="1:55" x14ac:dyDescent="0.3">
      <c r="A124" s="126" t="s">
        <v>250</v>
      </c>
      <c r="B124" s="126" t="s">
        <v>227</v>
      </c>
      <c r="C124" s="129">
        <v>2</v>
      </c>
      <c r="D124" s="130">
        <v>0.75</v>
      </c>
      <c r="E124" s="129">
        <v>1</v>
      </c>
      <c r="F124" s="129">
        <v>1</v>
      </c>
      <c r="G124" s="129">
        <v>0</v>
      </c>
      <c r="H124" s="129">
        <v>0</v>
      </c>
      <c r="I124" s="126" t="s">
        <v>251</v>
      </c>
      <c r="J124" s="126" t="s">
        <v>227</v>
      </c>
      <c r="K124" s="129">
        <v>1</v>
      </c>
      <c r="L124" s="129">
        <v>1</v>
      </c>
      <c r="M124" s="129">
        <v>1</v>
      </c>
      <c r="N124" s="129">
        <v>0</v>
      </c>
      <c r="O124" s="129">
        <v>0</v>
      </c>
      <c r="P124" s="129">
        <v>0</v>
      </c>
      <c r="Q124" s="126" t="s">
        <v>241</v>
      </c>
      <c r="R124" s="126" t="s">
        <v>227</v>
      </c>
      <c r="S124" s="129">
        <v>1</v>
      </c>
      <c r="T124" s="129">
        <v>1</v>
      </c>
      <c r="U124" s="129">
        <v>1</v>
      </c>
      <c r="V124" s="129">
        <v>0</v>
      </c>
      <c r="W124" s="129">
        <v>0</v>
      </c>
      <c r="X124" s="128">
        <v>0</v>
      </c>
      <c r="Y124" s="126" t="s">
        <v>239</v>
      </c>
      <c r="Z124" s="126" t="s">
        <v>227</v>
      </c>
      <c r="AA124" s="129">
        <v>4</v>
      </c>
      <c r="AB124" s="130">
        <v>0.25</v>
      </c>
      <c r="AC124" s="129">
        <v>0</v>
      </c>
      <c r="AD124" s="129">
        <v>2</v>
      </c>
      <c r="AE124" s="129">
        <v>0</v>
      </c>
      <c r="AF124" s="129">
        <v>0</v>
      </c>
      <c r="AG124" s="126" t="s">
        <v>240</v>
      </c>
      <c r="AH124" s="126" t="s">
        <v>227</v>
      </c>
      <c r="AI124" s="129">
        <v>7</v>
      </c>
      <c r="AJ124" s="130">
        <v>0.28570000000000001</v>
      </c>
      <c r="AK124" s="129">
        <v>1</v>
      </c>
      <c r="AL124" s="129">
        <v>3</v>
      </c>
      <c r="AM124" s="129">
        <v>1</v>
      </c>
      <c r="AN124" s="128">
        <v>0</v>
      </c>
      <c r="AO124" s="126" t="s">
        <v>242</v>
      </c>
      <c r="AP124" s="126" t="s">
        <v>227</v>
      </c>
      <c r="AQ124" s="129">
        <v>0</v>
      </c>
      <c r="AR124" s="26" t="s">
        <v>100</v>
      </c>
      <c r="AS124" s="129">
        <v>0</v>
      </c>
      <c r="AT124" s="129">
        <v>0</v>
      </c>
      <c r="AU124" s="129">
        <v>0</v>
      </c>
      <c r="AV124" s="128">
        <v>0</v>
      </c>
    </row>
    <row r="125" spans="1:55" x14ac:dyDescent="0.3">
      <c r="A125" s="126" t="s">
        <v>250</v>
      </c>
      <c r="B125" s="125" t="s">
        <v>228</v>
      </c>
      <c r="C125" s="123">
        <v>0</v>
      </c>
      <c r="D125" s="124" t="s">
        <v>100</v>
      </c>
      <c r="E125" s="123">
        <v>0</v>
      </c>
      <c r="F125" s="123">
        <v>0</v>
      </c>
      <c r="G125" s="123">
        <v>0</v>
      </c>
      <c r="H125" s="123">
        <v>0</v>
      </c>
      <c r="I125" s="126" t="s">
        <v>251</v>
      </c>
      <c r="J125" s="125" t="s">
        <v>228</v>
      </c>
      <c r="K125" s="123">
        <v>0</v>
      </c>
      <c r="L125" s="124" t="s">
        <v>100</v>
      </c>
      <c r="M125" s="123">
        <v>0</v>
      </c>
      <c r="N125" s="123">
        <v>0</v>
      </c>
      <c r="O125" s="123">
        <v>0</v>
      </c>
      <c r="P125" s="123">
        <v>0</v>
      </c>
      <c r="Q125" s="126" t="s">
        <v>241</v>
      </c>
      <c r="R125" s="125" t="s">
        <v>228</v>
      </c>
      <c r="S125" s="123">
        <v>0</v>
      </c>
      <c r="T125" s="124" t="s">
        <v>100</v>
      </c>
      <c r="U125" s="123">
        <v>0</v>
      </c>
      <c r="V125" s="123">
        <v>0</v>
      </c>
      <c r="W125" s="123">
        <v>0</v>
      </c>
      <c r="X125" s="122">
        <v>0</v>
      </c>
      <c r="Y125" s="126" t="s">
        <v>239</v>
      </c>
      <c r="Z125" s="125" t="s">
        <v>228</v>
      </c>
      <c r="AA125" s="123">
        <v>2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6" t="s">
        <v>240</v>
      </c>
      <c r="AH125" s="125" t="s">
        <v>228</v>
      </c>
      <c r="AI125" s="123">
        <v>8</v>
      </c>
      <c r="AJ125" s="127">
        <v>0.25</v>
      </c>
      <c r="AK125" s="123">
        <v>2</v>
      </c>
      <c r="AL125" s="123">
        <v>1</v>
      </c>
      <c r="AM125" s="123">
        <v>1</v>
      </c>
      <c r="AN125" s="122">
        <v>0</v>
      </c>
      <c r="AO125" s="126" t="s">
        <v>242</v>
      </c>
      <c r="AP125" s="125" t="s">
        <v>228</v>
      </c>
      <c r="AQ125" s="123">
        <v>0</v>
      </c>
      <c r="AR125" s="124" t="s">
        <v>100</v>
      </c>
      <c r="AS125" s="123">
        <v>0</v>
      </c>
      <c r="AT125" s="123">
        <v>0</v>
      </c>
      <c r="AU125" s="123">
        <v>0</v>
      </c>
      <c r="AV125" s="122">
        <v>0</v>
      </c>
    </row>
    <row r="127" spans="1:55" x14ac:dyDescent="0.3">
      <c r="A127" s="179" t="s">
        <v>270</v>
      </c>
      <c r="B127" s="179"/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</row>
    <row r="128" spans="1:55" x14ac:dyDescent="0.3">
      <c r="A128" s="151">
        <f>A147</f>
        <v>0</v>
      </c>
      <c r="B128" s="151" t="str">
        <f t="shared" ref="B128:F130" si="0">B147</f>
        <v>SQ #</v>
      </c>
      <c r="C128" s="151" t="str">
        <f t="shared" si="0"/>
        <v>SQ +</v>
      </c>
      <c r="D128" s="151" t="str">
        <f t="shared" si="0"/>
        <v>SQ /</v>
      </c>
      <c r="E128" s="151" t="str">
        <f t="shared" si="0"/>
        <v>SQ =</v>
      </c>
      <c r="F128" s="151" t="str">
        <f t="shared" si="0"/>
        <v>SQ TOT</v>
      </c>
      <c r="G128" s="151" t="s">
        <v>271</v>
      </c>
      <c r="H128" s="151" t="str">
        <f>G147</f>
        <v>REC #</v>
      </c>
      <c r="I128" s="151" t="str">
        <f t="shared" ref="I128:L130" si="1">H147</f>
        <v>REC +</v>
      </c>
      <c r="J128" s="151" t="str">
        <f t="shared" si="1"/>
        <v>REC /</v>
      </c>
      <c r="K128" s="151" t="str">
        <f t="shared" si="1"/>
        <v>REC =</v>
      </c>
      <c r="L128" s="151" t="str">
        <f t="shared" si="1"/>
        <v>REC TOT</v>
      </c>
      <c r="M128" s="151" t="s">
        <v>272</v>
      </c>
      <c r="N128" s="151" t="str">
        <f t="shared" ref="N128:O143" si="2">L147</f>
        <v>BLQ #</v>
      </c>
      <c r="O128" s="151" t="str">
        <f t="shared" si="2"/>
        <v>BLQ +</v>
      </c>
      <c r="P128" s="151" t="s">
        <v>273</v>
      </c>
      <c r="Q128" s="151" t="str">
        <f>N147</f>
        <v>BLQ =</v>
      </c>
      <c r="R128" s="151" t="str">
        <f t="shared" ref="R128:S143" si="3">O147</f>
        <v>BLQ /</v>
      </c>
      <c r="S128" s="151" t="str">
        <f t="shared" si="3"/>
        <v>BLQ TOT</v>
      </c>
      <c r="T128" s="151" t="s">
        <v>274</v>
      </c>
      <c r="U128" s="151" t="str">
        <f>Q147</f>
        <v>ATQ Q #</v>
      </c>
      <c r="V128" s="151" t="str">
        <f t="shared" ref="V128:X143" si="4">R147</f>
        <v>ATQ Q /</v>
      </c>
      <c r="W128" s="151" t="str">
        <f t="shared" si="4"/>
        <v>ATQ Q =</v>
      </c>
      <c r="X128" s="151" t="str">
        <f t="shared" si="4"/>
        <v>ATQ Q TOT</v>
      </c>
      <c r="Y128" s="151" t="s">
        <v>275</v>
      </c>
      <c r="Z128" s="151" t="str">
        <f>U147</f>
        <v>ATQ V #</v>
      </c>
      <c r="AA128" s="151" t="str">
        <f t="shared" ref="AA128:AC143" si="5">V147</f>
        <v>ATQ V /</v>
      </c>
      <c r="AB128" s="151" t="str">
        <f t="shared" si="5"/>
        <v>ATQ V =</v>
      </c>
      <c r="AC128" s="151" t="str">
        <f t="shared" si="5"/>
        <v>ATQ V TOT</v>
      </c>
      <c r="AD128" s="151" t="s">
        <v>276</v>
      </c>
      <c r="AE128" s="151" t="str">
        <f>Y147</f>
        <v>ATQ X #</v>
      </c>
      <c r="AF128" s="151" t="str">
        <f t="shared" ref="AF128:AH143" si="6">Z147</f>
        <v>ATQ X /</v>
      </c>
      <c r="AG128" s="151" t="str">
        <f t="shared" si="6"/>
        <v>ATQ X =</v>
      </c>
      <c r="AH128" s="151" t="str">
        <f t="shared" si="6"/>
        <v>ATQ X TOT</v>
      </c>
      <c r="AI128" s="151" t="s">
        <v>277</v>
      </c>
      <c r="AJ128" s="151" t="str">
        <f>AC147</f>
        <v>ATQ R# #</v>
      </c>
      <c r="AK128" s="151" t="str">
        <f t="shared" ref="AK128:AM143" si="7">AD147</f>
        <v>ATQ R# /</v>
      </c>
      <c r="AL128" s="151" t="str">
        <f t="shared" si="7"/>
        <v>ATQ R# =</v>
      </c>
      <c r="AM128" s="151" t="str">
        <f t="shared" si="7"/>
        <v>ATQ R# TOT</v>
      </c>
      <c r="AN128" s="151" t="s">
        <v>278</v>
      </c>
      <c r="AO128" s="151" t="str">
        <f>AG147</f>
        <v>ATQ R! #</v>
      </c>
      <c r="AP128" s="151" t="str">
        <f t="shared" ref="AP128:AR143" si="8">AH147</f>
        <v>ATQ R! /</v>
      </c>
      <c r="AQ128" s="151" t="str">
        <f t="shared" si="8"/>
        <v>ATQ R! =</v>
      </c>
      <c r="AR128" s="151" t="str">
        <f t="shared" si="8"/>
        <v>ATQ R! TOT</v>
      </c>
      <c r="AS128" s="151" t="s">
        <v>279</v>
      </c>
      <c r="AT128" s="151" t="str">
        <f>AK147</f>
        <v>ATQ R- #</v>
      </c>
      <c r="AU128" s="151" t="str">
        <f t="shared" ref="AU128:AW143" si="9">AL147</f>
        <v>ATQ R- /</v>
      </c>
      <c r="AV128" s="151" t="str">
        <f t="shared" si="9"/>
        <v>ATQ R- =</v>
      </c>
      <c r="AW128" s="151" t="str">
        <f t="shared" si="9"/>
        <v>ATQ R- TOT</v>
      </c>
      <c r="AX128" s="151" t="s">
        <v>280</v>
      </c>
      <c r="AY128" s="151" t="str">
        <f>AO147</f>
        <v>ATQ TR #</v>
      </c>
      <c r="AZ128" s="151" t="str">
        <f t="shared" ref="AZ128:BB143" si="10">AP147</f>
        <v>ATQ TR /</v>
      </c>
      <c r="BA128" s="151" t="str">
        <f t="shared" si="10"/>
        <v>ATQ TR =</v>
      </c>
      <c r="BB128" s="151" t="str">
        <f t="shared" si="10"/>
        <v>ATQ TR TOT</v>
      </c>
      <c r="BC128" s="151" t="s">
        <v>281</v>
      </c>
    </row>
    <row r="129" spans="1:55" x14ac:dyDescent="0.3">
      <c r="A129" s="151" t="str">
        <f>A148</f>
        <v>Club Atlético San L</v>
      </c>
      <c r="B129" s="152">
        <f>B148</f>
        <v>25</v>
      </c>
      <c r="C129" s="152">
        <f t="shared" si="0"/>
        <v>64</v>
      </c>
      <c r="D129" s="152">
        <f t="shared" si="0"/>
        <v>21</v>
      </c>
      <c r="E129" s="152">
        <f t="shared" si="0"/>
        <v>89</v>
      </c>
      <c r="F129" s="152">
        <f t="shared" si="0"/>
        <v>657</v>
      </c>
      <c r="G129" s="153">
        <f>IFERROR((1*B129+0.5*D129+0.25*C129-1*E129)/F129,"")</f>
        <v>-5.7077625570776253E-2</v>
      </c>
      <c r="H129" s="152">
        <f>G148</f>
        <v>138</v>
      </c>
      <c r="I129" s="152">
        <f t="shared" si="1"/>
        <v>167</v>
      </c>
      <c r="J129" s="152">
        <f t="shared" si="1"/>
        <v>22</v>
      </c>
      <c r="K129" s="152">
        <f t="shared" si="1"/>
        <v>29</v>
      </c>
      <c r="L129" s="152">
        <f t="shared" si="1"/>
        <v>544</v>
      </c>
      <c r="M129" s="153">
        <f>IFERROR(((1*H129+0.5*I129-0.5*J129-1*K129)/L129),"")</f>
        <v>0.33363970588235292</v>
      </c>
      <c r="N129" s="152">
        <f t="shared" si="2"/>
        <v>78</v>
      </c>
      <c r="O129" s="152">
        <f t="shared" si="2"/>
        <v>105</v>
      </c>
      <c r="P129" s="153">
        <f t="shared" ref="P129:P144" si="11">IFERROR((N129+O129)/S129,"")</f>
        <v>0.4621212121212121</v>
      </c>
      <c r="Q129" s="152">
        <f>N148</f>
        <v>130</v>
      </c>
      <c r="R129" s="152">
        <f t="shared" si="3"/>
        <v>5</v>
      </c>
      <c r="S129" s="152">
        <f t="shared" si="3"/>
        <v>396</v>
      </c>
      <c r="T129" s="153">
        <f t="shared" ref="T129:T144" si="12">IFERROR((N129)/S129,"")</f>
        <v>0.19696969696969696</v>
      </c>
      <c r="U129" s="152">
        <f>Q148</f>
        <v>100</v>
      </c>
      <c r="V129" s="152">
        <f t="shared" si="4"/>
        <v>6</v>
      </c>
      <c r="W129" s="152">
        <f t="shared" si="4"/>
        <v>14</v>
      </c>
      <c r="X129" s="152">
        <f t="shared" si="4"/>
        <v>185</v>
      </c>
      <c r="Y129" s="153">
        <f t="shared" ref="Y129:Y144" si="13">IFERROR((U129-V129-W129)/X129,"")</f>
        <v>0.43243243243243246</v>
      </c>
      <c r="Z129" s="152">
        <f>U148</f>
        <v>83</v>
      </c>
      <c r="AA129" s="152">
        <f t="shared" si="5"/>
        <v>22</v>
      </c>
      <c r="AB129" s="152">
        <f t="shared" si="5"/>
        <v>23</v>
      </c>
      <c r="AC129" s="152">
        <f t="shared" si="5"/>
        <v>249</v>
      </c>
      <c r="AD129" s="153">
        <f t="shared" ref="AD129:AD144" si="14">IFERROR(((Z129-AA129-AB129)/AC129),"")</f>
        <v>0.15261044176706828</v>
      </c>
      <c r="AE129" s="152">
        <f>Y148</f>
        <v>174</v>
      </c>
      <c r="AF129" s="152">
        <f t="shared" si="6"/>
        <v>27</v>
      </c>
      <c r="AG129" s="152">
        <f t="shared" si="6"/>
        <v>34</v>
      </c>
      <c r="AH129" s="152">
        <f t="shared" si="6"/>
        <v>389</v>
      </c>
      <c r="AI129" s="153">
        <f t="shared" ref="AI129:AI144" si="15">IFERROR(((AE129-AF129-AG129)/AH129),"")</f>
        <v>0.29048843187660667</v>
      </c>
      <c r="AJ129" s="152">
        <f>AC148</f>
        <v>154</v>
      </c>
      <c r="AK129" s="152">
        <f t="shared" si="7"/>
        <v>15</v>
      </c>
      <c r="AL129" s="152">
        <f t="shared" si="7"/>
        <v>33</v>
      </c>
      <c r="AM129" s="152">
        <f t="shared" si="7"/>
        <v>305</v>
      </c>
      <c r="AN129" s="153">
        <f t="shared" ref="AN129:AN144" si="16">IFERROR((AJ129-AK129-AL129)/AM129,"")</f>
        <v>0.34754098360655739</v>
      </c>
      <c r="AO129" s="152">
        <f>AG148</f>
        <v>56</v>
      </c>
      <c r="AP129" s="152">
        <f t="shared" si="8"/>
        <v>6</v>
      </c>
      <c r="AQ129" s="152">
        <f t="shared" si="8"/>
        <v>4</v>
      </c>
      <c r="AR129" s="152">
        <f t="shared" si="8"/>
        <v>110</v>
      </c>
      <c r="AS129" s="153">
        <f t="shared" ref="AS129:AS144" si="17">IFERROR((AO129-AP129-AQ129)/AR129,"")</f>
        <v>0.41818181818181815</v>
      </c>
      <c r="AT129" s="152">
        <f>AK148</f>
        <v>24</v>
      </c>
      <c r="AU129" s="152">
        <f t="shared" si="9"/>
        <v>8</v>
      </c>
      <c r="AV129" s="152">
        <f t="shared" si="9"/>
        <v>4</v>
      </c>
      <c r="AW129" s="152">
        <f t="shared" si="9"/>
        <v>72</v>
      </c>
      <c r="AX129" s="153">
        <f t="shared" ref="AX129:AX144" si="18">IFERROR((AT129-AU129-AV129)/AW129,"")</f>
        <v>0.16666666666666666</v>
      </c>
      <c r="AY129" s="152">
        <f>AO148</f>
        <v>151</v>
      </c>
      <c r="AZ129" s="152">
        <f t="shared" si="10"/>
        <v>29</v>
      </c>
      <c r="BA129" s="152">
        <f t="shared" si="10"/>
        <v>39</v>
      </c>
      <c r="BB129" s="152">
        <f t="shared" si="10"/>
        <v>398</v>
      </c>
      <c r="BC129" s="153">
        <f t="shared" ref="BC129:BC144" si="19">IFERROR((AY129-AZ129-BA129)/BB129,"")</f>
        <v>0.20854271356783918</v>
      </c>
    </row>
    <row r="130" spans="1:55" x14ac:dyDescent="0.3">
      <c r="A130" s="151" t="str">
        <f t="shared" ref="A130:F144" si="20">A149</f>
        <v>2 Ojuez A.</v>
      </c>
      <c r="B130" s="154">
        <f>B149</f>
        <v>0</v>
      </c>
      <c r="C130" s="154">
        <f t="shared" si="0"/>
        <v>5</v>
      </c>
      <c r="D130" s="154">
        <f t="shared" si="0"/>
        <v>0</v>
      </c>
      <c r="E130" s="154">
        <f t="shared" si="0"/>
        <v>6</v>
      </c>
      <c r="F130" s="154">
        <f t="shared" si="0"/>
        <v>45</v>
      </c>
      <c r="G130" s="155">
        <f t="shared" ref="G130:G144" si="21">IFERROR((1*B130+0.5*D130+0.25*C130-1*E130)/F130,"")</f>
        <v>-0.10555555555555556</v>
      </c>
      <c r="H130" s="156">
        <f>G149</f>
        <v>1</v>
      </c>
      <c r="I130" s="156">
        <f t="shared" si="1"/>
        <v>1</v>
      </c>
      <c r="J130" s="156">
        <f t="shared" si="1"/>
        <v>1</v>
      </c>
      <c r="K130" s="156">
        <f t="shared" si="1"/>
        <v>0</v>
      </c>
      <c r="L130" s="156">
        <f t="shared" si="1"/>
        <v>5</v>
      </c>
      <c r="M130" s="155">
        <f t="shared" ref="M130:M144" si="22">IFERROR(((1*H130+0.5*I130-0.5*J130-1*K130)/L130),"")</f>
        <v>0.2</v>
      </c>
      <c r="N130" s="156">
        <f t="shared" si="2"/>
        <v>20</v>
      </c>
      <c r="O130" s="156">
        <f t="shared" si="2"/>
        <v>18</v>
      </c>
      <c r="P130" s="155">
        <f t="shared" si="11"/>
        <v>0.64406779661016944</v>
      </c>
      <c r="Q130" s="156">
        <f>N149</f>
        <v>14</v>
      </c>
      <c r="R130" s="156">
        <f t="shared" si="3"/>
        <v>0</v>
      </c>
      <c r="S130" s="156">
        <f t="shared" si="3"/>
        <v>59</v>
      </c>
      <c r="T130" s="155">
        <f t="shared" si="12"/>
        <v>0.33898305084745761</v>
      </c>
      <c r="U130" s="156">
        <f>Q149</f>
        <v>44</v>
      </c>
      <c r="V130" s="156">
        <f t="shared" si="4"/>
        <v>2</v>
      </c>
      <c r="W130" s="156">
        <f t="shared" si="4"/>
        <v>3</v>
      </c>
      <c r="X130" s="156">
        <f t="shared" si="4"/>
        <v>71</v>
      </c>
      <c r="Y130" s="155">
        <f t="shared" si="13"/>
        <v>0.54929577464788737</v>
      </c>
      <c r="Z130" s="156">
        <f>U149</f>
        <v>0</v>
      </c>
      <c r="AA130" s="156">
        <f t="shared" si="5"/>
        <v>0</v>
      </c>
      <c r="AB130" s="156">
        <f t="shared" si="5"/>
        <v>0</v>
      </c>
      <c r="AC130" s="156">
        <f t="shared" si="5"/>
        <v>0</v>
      </c>
      <c r="AD130" s="155" t="str">
        <f t="shared" si="14"/>
        <v/>
      </c>
      <c r="AE130" s="156">
        <f t="shared" ref="AE130:AH144" si="23">Y149</f>
        <v>0</v>
      </c>
      <c r="AF130" s="156">
        <f t="shared" si="6"/>
        <v>1</v>
      </c>
      <c r="AG130" s="156">
        <f t="shared" si="6"/>
        <v>0</v>
      </c>
      <c r="AH130" s="156">
        <f t="shared" si="6"/>
        <v>1</v>
      </c>
      <c r="AI130" s="155">
        <f t="shared" si="15"/>
        <v>-1</v>
      </c>
      <c r="AJ130" s="156">
        <f>AC149</f>
        <v>31</v>
      </c>
      <c r="AK130" s="156">
        <f t="shared" si="7"/>
        <v>3</v>
      </c>
      <c r="AL130" s="156">
        <f t="shared" si="7"/>
        <v>3</v>
      </c>
      <c r="AM130" s="156">
        <f t="shared" si="7"/>
        <v>50</v>
      </c>
      <c r="AN130" s="155">
        <f t="shared" si="16"/>
        <v>0.5</v>
      </c>
      <c r="AO130" s="156">
        <f>AG149</f>
        <v>5</v>
      </c>
      <c r="AP130" s="156">
        <f t="shared" si="8"/>
        <v>0</v>
      </c>
      <c r="AQ130" s="156">
        <f t="shared" si="8"/>
        <v>0</v>
      </c>
      <c r="AR130" s="156">
        <f t="shared" si="8"/>
        <v>7</v>
      </c>
      <c r="AS130" s="155">
        <f t="shared" si="17"/>
        <v>0.7142857142857143</v>
      </c>
      <c r="AT130" s="156">
        <f>AK149</f>
        <v>2</v>
      </c>
      <c r="AU130" s="156">
        <f t="shared" si="9"/>
        <v>0</v>
      </c>
      <c r="AV130" s="156">
        <f t="shared" si="9"/>
        <v>0</v>
      </c>
      <c r="AW130" s="156">
        <f t="shared" si="9"/>
        <v>3</v>
      </c>
      <c r="AX130" s="155">
        <f t="shared" si="18"/>
        <v>0.66666666666666663</v>
      </c>
      <c r="AY130" s="156">
        <f>AO149</f>
        <v>8</v>
      </c>
      <c r="AZ130" s="156">
        <f t="shared" si="10"/>
        <v>0</v>
      </c>
      <c r="BA130" s="156">
        <f t="shared" si="10"/>
        <v>1</v>
      </c>
      <c r="BB130" s="156">
        <f t="shared" si="10"/>
        <v>16</v>
      </c>
      <c r="BC130" s="155">
        <f t="shared" si="19"/>
        <v>0.4375</v>
      </c>
    </row>
    <row r="131" spans="1:55" x14ac:dyDescent="0.3">
      <c r="A131" s="151" t="str">
        <f t="shared" si="20"/>
        <v>3 Romeo Winer A.</v>
      </c>
      <c r="B131" s="154">
        <f t="shared" si="20"/>
        <v>0</v>
      </c>
      <c r="C131" s="154">
        <f t="shared" si="20"/>
        <v>0</v>
      </c>
      <c r="D131" s="154">
        <f t="shared" si="20"/>
        <v>0</v>
      </c>
      <c r="E131" s="154">
        <f t="shared" si="20"/>
        <v>1</v>
      </c>
      <c r="F131" s="154">
        <f t="shared" si="20"/>
        <v>6</v>
      </c>
      <c r="G131" s="155">
        <f t="shared" si="21"/>
        <v>-0.16666666666666666</v>
      </c>
      <c r="H131" s="156">
        <f t="shared" ref="H131:L144" si="24">G150</f>
        <v>8</v>
      </c>
      <c r="I131" s="156">
        <f t="shared" si="24"/>
        <v>16</v>
      </c>
      <c r="J131" s="156">
        <f t="shared" si="24"/>
        <v>6</v>
      </c>
      <c r="K131" s="156">
        <f t="shared" si="24"/>
        <v>4</v>
      </c>
      <c r="L131" s="156">
        <f t="shared" si="24"/>
        <v>67</v>
      </c>
      <c r="M131" s="155">
        <f t="shared" si="22"/>
        <v>0.13432835820895522</v>
      </c>
      <c r="N131" s="156">
        <f t="shared" si="2"/>
        <v>0</v>
      </c>
      <c r="O131" s="156">
        <f t="shared" si="2"/>
        <v>0</v>
      </c>
      <c r="P131" s="155" t="str">
        <f t="shared" si="11"/>
        <v/>
      </c>
      <c r="Q131" s="156">
        <f t="shared" ref="Q131:S144" si="25">N150</f>
        <v>0</v>
      </c>
      <c r="R131" s="156">
        <f t="shared" si="3"/>
        <v>0</v>
      </c>
      <c r="S131" s="156">
        <f t="shared" si="3"/>
        <v>0</v>
      </c>
      <c r="T131" s="155" t="str">
        <f t="shared" si="12"/>
        <v/>
      </c>
      <c r="U131" s="156">
        <f t="shared" ref="U131:X144" si="26">Q150</f>
        <v>0</v>
      </c>
      <c r="V131" s="156">
        <f t="shared" si="4"/>
        <v>0</v>
      </c>
      <c r="W131" s="156">
        <f t="shared" si="4"/>
        <v>0</v>
      </c>
      <c r="X131" s="156">
        <f t="shared" si="4"/>
        <v>0</v>
      </c>
      <c r="Y131" s="155" t="str">
        <f t="shared" si="13"/>
        <v/>
      </c>
      <c r="Z131" s="156">
        <f t="shared" ref="Z131:AC144" si="27">U150</f>
        <v>0</v>
      </c>
      <c r="AA131" s="156">
        <f t="shared" si="5"/>
        <v>0</v>
      </c>
      <c r="AB131" s="156">
        <f t="shared" si="5"/>
        <v>0</v>
      </c>
      <c r="AC131" s="156">
        <f t="shared" si="5"/>
        <v>0</v>
      </c>
      <c r="AD131" s="155" t="str">
        <f t="shared" si="14"/>
        <v/>
      </c>
      <c r="AE131" s="156">
        <f t="shared" si="23"/>
        <v>0</v>
      </c>
      <c r="AF131" s="156">
        <f t="shared" si="6"/>
        <v>0</v>
      </c>
      <c r="AG131" s="156">
        <f t="shared" si="6"/>
        <v>0</v>
      </c>
      <c r="AH131" s="156">
        <f t="shared" si="6"/>
        <v>0</v>
      </c>
      <c r="AI131" s="155" t="str">
        <f t="shared" si="15"/>
        <v/>
      </c>
      <c r="AJ131" s="156">
        <f t="shared" ref="AJ131:AM144" si="28">AC150</f>
        <v>0</v>
      </c>
      <c r="AK131" s="156">
        <f t="shared" si="7"/>
        <v>0</v>
      </c>
      <c r="AL131" s="156">
        <f t="shared" si="7"/>
        <v>0</v>
      </c>
      <c r="AM131" s="156">
        <f t="shared" si="7"/>
        <v>0</v>
      </c>
      <c r="AN131" s="155" t="str">
        <f t="shared" si="16"/>
        <v/>
      </c>
      <c r="AO131" s="156">
        <f t="shared" ref="AO131:AR144" si="29">AG150</f>
        <v>0</v>
      </c>
      <c r="AP131" s="156">
        <f t="shared" si="8"/>
        <v>0</v>
      </c>
      <c r="AQ131" s="156">
        <f t="shared" si="8"/>
        <v>0</v>
      </c>
      <c r="AR131" s="156">
        <f t="shared" si="8"/>
        <v>0</v>
      </c>
      <c r="AS131" s="155" t="str">
        <f t="shared" si="17"/>
        <v/>
      </c>
      <c r="AT131" s="156">
        <f t="shared" ref="AT131:AW144" si="30">AK150</f>
        <v>0</v>
      </c>
      <c r="AU131" s="156">
        <f t="shared" si="9"/>
        <v>0</v>
      </c>
      <c r="AV131" s="156">
        <f t="shared" si="9"/>
        <v>0</v>
      </c>
      <c r="AW131" s="156">
        <f t="shared" si="9"/>
        <v>0</v>
      </c>
      <c r="AX131" s="155" t="str">
        <f t="shared" si="18"/>
        <v/>
      </c>
      <c r="AY131" s="156">
        <f t="shared" ref="AY131:BB144" si="31">AO150</f>
        <v>0</v>
      </c>
      <c r="AZ131" s="156">
        <f t="shared" si="10"/>
        <v>0</v>
      </c>
      <c r="BA131" s="156">
        <f t="shared" si="10"/>
        <v>0</v>
      </c>
      <c r="BB131" s="156">
        <f t="shared" si="10"/>
        <v>0</v>
      </c>
      <c r="BC131" s="155" t="str">
        <f t="shared" si="19"/>
        <v/>
      </c>
    </row>
    <row r="132" spans="1:55" x14ac:dyDescent="0.3">
      <c r="A132" s="151" t="str">
        <f t="shared" si="20"/>
        <v>4 Vazquez E.</v>
      </c>
      <c r="B132" s="154">
        <f t="shared" si="20"/>
        <v>6</v>
      </c>
      <c r="C132" s="154">
        <f t="shared" si="20"/>
        <v>9</v>
      </c>
      <c r="D132" s="154">
        <f t="shared" si="20"/>
        <v>4</v>
      </c>
      <c r="E132" s="154">
        <f t="shared" si="20"/>
        <v>4</v>
      </c>
      <c r="F132" s="154">
        <f t="shared" si="20"/>
        <v>96</v>
      </c>
      <c r="G132" s="155">
        <f t="shared" si="21"/>
        <v>6.5104166666666671E-2</v>
      </c>
      <c r="H132" s="156">
        <f t="shared" si="24"/>
        <v>0</v>
      </c>
      <c r="I132" s="156">
        <f t="shared" si="24"/>
        <v>0</v>
      </c>
      <c r="J132" s="156">
        <f t="shared" si="24"/>
        <v>0</v>
      </c>
      <c r="K132" s="156">
        <f t="shared" si="24"/>
        <v>1</v>
      </c>
      <c r="L132" s="156">
        <f t="shared" si="24"/>
        <v>3</v>
      </c>
      <c r="M132" s="155">
        <f t="shared" si="22"/>
        <v>-0.33333333333333331</v>
      </c>
      <c r="N132" s="156">
        <f t="shared" si="2"/>
        <v>3</v>
      </c>
      <c r="O132" s="156">
        <f t="shared" si="2"/>
        <v>13</v>
      </c>
      <c r="P132" s="155">
        <f t="shared" si="11"/>
        <v>0.5</v>
      </c>
      <c r="Q132" s="156">
        <f t="shared" si="25"/>
        <v>11</v>
      </c>
      <c r="R132" s="156">
        <f t="shared" si="3"/>
        <v>1</v>
      </c>
      <c r="S132" s="156">
        <f t="shared" si="3"/>
        <v>32</v>
      </c>
      <c r="T132" s="155">
        <f t="shared" si="12"/>
        <v>9.375E-2</v>
      </c>
      <c r="U132" s="156">
        <f t="shared" si="26"/>
        <v>0</v>
      </c>
      <c r="V132" s="156">
        <f t="shared" si="4"/>
        <v>0</v>
      </c>
      <c r="W132" s="156">
        <f t="shared" si="4"/>
        <v>0</v>
      </c>
      <c r="X132" s="156">
        <f t="shared" si="4"/>
        <v>0</v>
      </c>
      <c r="Y132" s="155" t="str">
        <f t="shared" si="13"/>
        <v/>
      </c>
      <c r="Z132" s="156">
        <f t="shared" si="27"/>
        <v>0</v>
      </c>
      <c r="AA132" s="156">
        <f t="shared" si="5"/>
        <v>0</v>
      </c>
      <c r="AB132" s="156">
        <f t="shared" si="5"/>
        <v>0</v>
      </c>
      <c r="AC132" s="156">
        <f t="shared" si="5"/>
        <v>3</v>
      </c>
      <c r="AD132" s="155">
        <f t="shared" si="14"/>
        <v>0</v>
      </c>
      <c r="AE132" s="156">
        <f t="shared" si="23"/>
        <v>0</v>
      </c>
      <c r="AF132" s="156">
        <f t="shared" si="6"/>
        <v>0</v>
      </c>
      <c r="AG132" s="156">
        <f t="shared" si="6"/>
        <v>0</v>
      </c>
      <c r="AH132" s="156">
        <f t="shared" si="6"/>
        <v>0</v>
      </c>
      <c r="AI132" s="155" t="str">
        <f t="shared" si="15"/>
        <v/>
      </c>
      <c r="AJ132" s="156">
        <f t="shared" si="28"/>
        <v>0</v>
      </c>
      <c r="AK132" s="156">
        <f t="shared" si="7"/>
        <v>0</v>
      </c>
      <c r="AL132" s="156">
        <f t="shared" si="7"/>
        <v>0</v>
      </c>
      <c r="AM132" s="156">
        <f t="shared" si="7"/>
        <v>1</v>
      </c>
      <c r="AN132" s="155">
        <f t="shared" si="16"/>
        <v>0</v>
      </c>
      <c r="AO132" s="156">
        <f t="shared" si="29"/>
        <v>0</v>
      </c>
      <c r="AP132" s="156">
        <f t="shared" si="8"/>
        <v>0</v>
      </c>
      <c r="AQ132" s="156">
        <f t="shared" si="8"/>
        <v>0</v>
      </c>
      <c r="AR132" s="156">
        <f t="shared" si="8"/>
        <v>2</v>
      </c>
      <c r="AS132" s="155">
        <f t="shared" si="17"/>
        <v>0</v>
      </c>
      <c r="AT132" s="156">
        <f t="shared" si="30"/>
        <v>0</v>
      </c>
      <c r="AU132" s="156">
        <f t="shared" si="9"/>
        <v>0</v>
      </c>
      <c r="AV132" s="156">
        <f t="shared" si="9"/>
        <v>0</v>
      </c>
      <c r="AW132" s="156">
        <f t="shared" si="9"/>
        <v>2</v>
      </c>
      <c r="AX132" s="155">
        <f t="shared" si="18"/>
        <v>0</v>
      </c>
      <c r="AY132" s="156">
        <f t="shared" si="31"/>
        <v>6</v>
      </c>
      <c r="AZ132" s="156">
        <f t="shared" si="10"/>
        <v>2</v>
      </c>
      <c r="BA132" s="156">
        <f t="shared" si="10"/>
        <v>0</v>
      </c>
      <c r="BB132" s="156">
        <f t="shared" si="10"/>
        <v>12</v>
      </c>
      <c r="BC132" s="155">
        <f t="shared" si="19"/>
        <v>0.33333333333333331</v>
      </c>
    </row>
    <row r="133" spans="1:55" x14ac:dyDescent="0.3">
      <c r="A133" s="151" t="str">
        <f t="shared" si="20"/>
        <v>5 Ramos I.</v>
      </c>
      <c r="B133" s="154">
        <f t="shared" si="20"/>
        <v>4</v>
      </c>
      <c r="C133" s="154">
        <f t="shared" si="20"/>
        <v>7</v>
      </c>
      <c r="D133" s="154">
        <f t="shared" si="20"/>
        <v>2</v>
      </c>
      <c r="E133" s="154">
        <f t="shared" si="20"/>
        <v>24</v>
      </c>
      <c r="F133" s="154">
        <f t="shared" si="20"/>
        <v>57</v>
      </c>
      <c r="G133" s="155">
        <f t="shared" si="21"/>
        <v>-0.30263157894736842</v>
      </c>
      <c r="H133" s="156">
        <f t="shared" si="24"/>
        <v>0</v>
      </c>
      <c r="I133" s="156">
        <f t="shared" si="24"/>
        <v>1</v>
      </c>
      <c r="J133" s="156">
        <f t="shared" si="24"/>
        <v>0</v>
      </c>
      <c r="K133" s="156">
        <f t="shared" si="24"/>
        <v>0</v>
      </c>
      <c r="L133" s="156">
        <f t="shared" si="24"/>
        <v>2</v>
      </c>
      <c r="M133" s="155">
        <f t="shared" si="22"/>
        <v>0.25</v>
      </c>
      <c r="N133" s="156">
        <f t="shared" si="2"/>
        <v>9</v>
      </c>
      <c r="O133" s="156">
        <f t="shared" si="2"/>
        <v>11</v>
      </c>
      <c r="P133" s="155">
        <f t="shared" si="11"/>
        <v>0.37037037037037035</v>
      </c>
      <c r="Q133" s="156">
        <f t="shared" si="25"/>
        <v>21</v>
      </c>
      <c r="R133" s="156">
        <f t="shared" si="3"/>
        <v>1</v>
      </c>
      <c r="S133" s="156">
        <f t="shared" si="3"/>
        <v>54</v>
      </c>
      <c r="T133" s="155">
        <f t="shared" si="12"/>
        <v>0.16666666666666666</v>
      </c>
      <c r="U133" s="156">
        <f t="shared" si="26"/>
        <v>0</v>
      </c>
      <c r="V133" s="156">
        <f t="shared" si="4"/>
        <v>0</v>
      </c>
      <c r="W133" s="156">
        <f t="shared" si="4"/>
        <v>0</v>
      </c>
      <c r="X133" s="156">
        <f t="shared" si="4"/>
        <v>0</v>
      </c>
      <c r="Y133" s="155" t="str">
        <f t="shared" si="13"/>
        <v/>
      </c>
      <c r="Z133" s="156">
        <f t="shared" si="27"/>
        <v>28</v>
      </c>
      <c r="AA133" s="156">
        <f t="shared" si="5"/>
        <v>7</v>
      </c>
      <c r="AB133" s="156">
        <f t="shared" si="5"/>
        <v>4</v>
      </c>
      <c r="AC133" s="156">
        <f t="shared" si="5"/>
        <v>61</v>
      </c>
      <c r="AD133" s="155">
        <f t="shared" si="14"/>
        <v>0.27868852459016391</v>
      </c>
      <c r="AE133" s="156">
        <f t="shared" si="23"/>
        <v>39</v>
      </c>
      <c r="AF133" s="156">
        <f t="shared" si="6"/>
        <v>7</v>
      </c>
      <c r="AG133" s="156">
        <f t="shared" si="6"/>
        <v>9</v>
      </c>
      <c r="AH133" s="156">
        <f t="shared" si="6"/>
        <v>87</v>
      </c>
      <c r="AI133" s="155">
        <f t="shared" si="15"/>
        <v>0.26436781609195403</v>
      </c>
      <c r="AJ133" s="156">
        <f t="shared" si="28"/>
        <v>19</v>
      </c>
      <c r="AK133" s="156">
        <f t="shared" si="7"/>
        <v>2</v>
      </c>
      <c r="AL133" s="156">
        <f t="shared" si="7"/>
        <v>4</v>
      </c>
      <c r="AM133" s="156">
        <f t="shared" si="7"/>
        <v>40</v>
      </c>
      <c r="AN133" s="155">
        <f t="shared" si="16"/>
        <v>0.32500000000000001</v>
      </c>
      <c r="AO133" s="156">
        <f t="shared" si="29"/>
        <v>10</v>
      </c>
      <c r="AP133" s="156">
        <f t="shared" si="8"/>
        <v>3</v>
      </c>
      <c r="AQ133" s="156">
        <f t="shared" si="8"/>
        <v>3</v>
      </c>
      <c r="AR133" s="156">
        <f t="shared" si="8"/>
        <v>27</v>
      </c>
      <c r="AS133" s="155">
        <f t="shared" si="17"/>
        <v>0.14814814814814814</v>
      </c>
      <c r="AT133" s="156">
        <f t="shared" si="30"/>
        <v>7</v>
      </c>
      <c r="AU133" s="156">
        <f t="shared" si="9"/>
        <v>3</v>
      </c>
      <c r="AV133" s="156">
        <f t="shared" si="9"/>
        <v>0</v>
      </c>
      <c r="AW133" s="156">
        <f t="shared" si="9"/>
        <v>19</v>
      </c>
      <c r="AX133" s="155">
        <f t="shared" si="18"/>
        <v>0.21052631578947367</v>
      </c>
      <c r="AY133" s="156">
        <f t="shared" si="31"/>
        <v>33</v>
      </c>
      <c r="AZ133" s="156">
        <f t="shared" si="10"/>
        <v>6</v>
      </c>
      <c r="BA133" s="156">
        <f t="shared" si="10"/>
        <v>6</v>
      </c>
      <c r="BB133" s="156">
        <f t="shared" si="10"/>
        <v>65</v>
      </c>
      <c r="BC133" s="155">
        <f t="shared" si="19"/>
        <v>0.32307692307692309</v>
      </c>
    </row>
    <row r="134" spans="1:55" x14ac:dyDescent="0.3">
      <c r="A134" s="151" t="str">
        <f t="shared" si="20"/>
        <v>6 Villarruel J.</v>
      </c>
      <c r="B134" s="154">
        <f t="shared" si="20"/>
        <v>0</v>
      </c>
      <c r="C134" s="154">
        <f t="shared" si="20"/>
        <v>1</v>
      </c>
      <c r="D134" s="154">
        <f t="shared" si="20"/>
        <v>0</v>
      </c>
      <c r="E134" s="154">
        <f t="shared" si="20"/>
        <v>2</v>
      </c>
      <c r="F134" s="154">
        <f t="shared" si="20"/>
        <v>7</v>
      </c>
      <c r="G134" s="155">
        <f t="shared" si="21"/>
        <v>-0.25</v>
      </c>
      <c r="H134" s="156">
        <f t="shared" si="24"/>
        <v>2</v>
      </c>
      <c r="I134" s="156">
        <f t="shared" si="24"/>
        <v>2</v>
      </c>
      <c r="J134" s="156">
        <f t="shared" si="24"/>
        <v>0</v>
      </c>
      <c r="K134" s="156">
        <f t="shared" si="24"/>
        <v>0</v>
      </c>
      <c r="L134" s="156">
        <f t="shared" si="24"/>
        <v>5</v>
      </c>
      <c r="M134" s="155">
        <f t="shared" si="22"/>
        <v>0.6</v>
      </c>
      <c r="N134" s="156">
        <f t="shared" si="2"/>
        <v>0</v>
      </c>
      <c r="O134" s="156">
        <f t="shared" si="2"/>
        <v>1</v>
      </c>
      <c r="P134" s="155">
        <f t="shared" si="11"/>
        <v>1</v>
      </c>
      <c r="Q134" s="156">
        <f t="shared" si="25"/>
        <v>0</v>
      </c>
      <c r="R134" s="156">
        <f t="shared" si="3"/>
        <v>0</v>
      </c>
      <c r="S134" s="156">
        <f t="shared" si="3"/>
        <v>1</v>
      </c>
      <c r="T134" s="155">
        <f t="shared" si="12"/>
        <v>0</v>
      </c>
      <c r="U134" s="156">
        <f t="shared" si="26"/>
        <v>0</v>
      </c>
      <c r="V134" s="156">
        <f t="shared" si="4"/>
        <v>0</v>
      </c>
      <c r="W134" s="156">
        <f t="shared" si="4"/>
        <v>0</v>
      </c>
      <c r="X134" s="156">
        <f t="shared" si="4"/>
        <v>0</v>
      </c>
      <c r="Y134" s="155" t="str">
        <f t="shared" si="13"/>
        <v/>
      </c>
      <c r="Z134" s="156">
        <f t="shared" si="27"/>
        <v>0</v>
      </c>
      <c r="AA134" s="156">
        <f t="shared" si="5"/>
        <v>0</v>
      </c>
      <c r="AB134" s="156">
        <f t="shared" si="5"/>
        <v>0</v>
      </c>
      <c r="AC134" s="156">
        <f t="shared" si="5"/>
        <v>0</v>
      </c>
      <c r="AD134" s="155" t="str">
        <f t="shared" si="14"/>
        <v/>
      </c>
      <c r="AE134" s="156">
        <f t="shared" si="23"/>
        <v>1</v>
      </c>
      <c r="AF134" s="156">
        <f t="shared" si="6"/>
        <v>2</v>
      </c>
      <c r="AG134" s="156">
        <f t="shared" si="6"/>
        <v>1</v>
      </c>
      <c r="AH134" s="156">
        <f t="shared" si="6"/>
        <v>7</v>
      </c>
      <c r="AI134" s="155">
        <f t="shared" si="15"/>
        <v>-0.2857142857142857</v>
      </c>
      <c r="AJ134" s="156">
        <f t="shared" si="28"/>
        <v>0</v>
      </c>
      <c r="AK134" s="156">
        <f t="shared" si="7"/>
        <v>0</v>
      </c>
      <c r="AL134" s="156">
        <f t="shared" si="7"/>
        <v>0</v>
      </c>
      <c r="AM134" s="156">
        <f t="shared" si="7"/>
        <v>2</v>
      </c>
      <c r="AN134" s="155">
        <f t="shared" si="16"/>
        <v>0</v>
      </c>
      <c r="AO134" s="156">
        <f t="shared" si="29"/>
        <v>0</v>
      </c>
      <c r="AP134" s="156">
        <f t="shared" si="8"/>
        <v>0</v>
      </c>
      <c r="AQ134" s="156">
        <f t="shared" si="8"/>
        <v>0</v>
      </c>
      <c r="AR134" s="156">
        <f t="shared" si="8"/>
        <v>1</v>
      </c>
      <c r="AS134" s="155">
        <f t="shared" si="17"/>
        <v>0</v>
      </c>
      <c r="AT134" s="156">
        <f t="shared" si="30"/>
        <v>0</v>
      </c>
      <c r="AU134" s="156">
        <f t="shared" si="9"/>
        <v>0</v>
      </c>
      <c r="AV134" s="156">
        <f t="shared" si="9"/>
        <v>0</v>
      </c>
      <c r="AW134" s="156">
        <f t="shared" si="9"/>
        <v>0</v>
      </c>
      <c r="AX134" s="155" t="str">
        <f t="shared" si="18"/>
        <v/>
      </c>
      <c r="AY134" s="156">
        <f t="shared" si="31"/>
        <v>1</v>
      </c>
      <c r="AZ134" s="156">
        <f t="shared" si="10"/>
        <v>2</v>
      </c>
      <c r="BA134" s="156">
        <f t="shared" si="10"/>
        <v>1</v>
      </c>
      <c r="BB134" s="156">
        <f t="shared" si="10"/>
        <v>4</v>
      </c>
      <c r="BC134" s="155">
        <f t="shared" si="19"/>
        <v>-0.5</v>
      </c>
    </row>
    <row r="135" spans="1:55" x14ac:dyDescent="0.3">
      <c r="A135" s="151" t="str">
        <f t="shared" si="20"/>
        <v>9 Godoy M.</v>
      </c>
      <c r="B135" s="154">
        <f t="shared" si="20"/>
        <v>2</v>
      </c>
      <c r="C135" s="154">
        <f t="shared" si="20"/>
        <v>6</v>
      </c>
      <c r="D135" s="154">
        <f t="shared" si="20"/>
        <v>1</v>
      </c>
      <c r="E135" s="154">
        <f t="shared" si="20"/>
        <v>3</v>
      </c>
      <c r="F135" s="154">
        <f t="shared" si="20"/>
        <v>51</v>
      </c>
      <c r="G135" s="155">
        <f t="shared" si="21"/>
        <v>1.9607843137254902E-2</v>
      </c>
      <c r="H135" s="156">
        <f t="shared" si="24"/>
        <v>0</v>
      </c>
      <c r="I135" s="156">
        <f t="shared" si="24"/>
        <v>0</v>
      </c>
      <c r="J135" s="156">
        <f t="shared" si="24"/>
        <v>0</v>
      </c>
      <c r="K135" s="156">
        <f t="shared" si="24"/>
        <v>0</v>
      </c>
      <c r="L135" s="156">
        <f t="shared" si="24"/>
        <v>4</v>
      </c>
      <c r="M135" s="155">
        <f t="shared" si="22"/>
        <v>0</v>
      </c>
      <c r="N135" s="156">
        <f t="shared" si="2"/>
        <v>2</v>
      </c>
      <c r="O135" s="156">
        <f t="shared" si="2"/>
        <v>9</v>
      </c>
      <c r="P135" s="155">
        <f t="shared" si="11"/>
        <v>0.42307692307692307</v>
      </c>
      <c r="Q135" s="156">
        <f t="shared" si="25"/>
        <v>4</v>
      </c>
      <c r="R135" s="156">
        <f t="shared" si="3"/>
        <v>2</v>
      </c>
      <c r="S135" s="156">
        <f t="shared" si="3"/>
        <v>26</v>
      </c>
      <c r="T135" s="155">
        <f t="shared" si="12"/>
        <v>7.6923076923076927E-2</v>
      </c>
      <c r="U135" s="156">
        <f t="shared" si="26"/>
        <v>0</v>
      </c>
      <c r="V135" s="156">
        <f t="shared" si="4"/>
        <v>0</v>
      </c>
      <c r="W135" s="156">
        <f t="shared" si="4"/>
        <v>0</v>
      </c>
      <c r="X135" s="156">
        <f t="shared" si="4"/>
        <v>0</v>
      </c>
      <c r="Y135" s="155" t="str">
        <f t="shared" si="13"/>
        <v/>
      </c>
      <c r="Z135" s="156">
        <f t="shared" si="27"/>
        <v>0</v>
      </c>
      <c r="AA135" s="156">
        <f t="shared" si="5"/>
        <v>0</v>
      </c>
      <c r="AB135" s="156">
        <f t="shared" si="5"/>
        <v>0</v>
      </c>
      <c r="AC135" s="156">
        <f t="shared" si="5"/>
        <v>0</v>
      </c>
      <c r="AD135" s="155" t="str">
        <f t="shared" si="14"/>
        <v/>
      </c>
      <c r="AE135" s="156">
        <f t="shared" si="23"/>
        <v>0</v>
      </c>
      <c r="AF135" s="156">
        <f t="shared" si="6"/>
        <v>0</v>
      </c>
      <c r="AG135" s="156">
        <f t="shared" si="6"/>
        <v>0</v>
      </c>
      <c r="AH135" s="156">
        <f t="shared" si="6"/>
        <v>0</v>
      </c>
      <c r="AI135" s="155" t="str">
        <f t="shared" si="15"/>
        <v/>
      </c>
      <c r="AJ135" s="156">
        <f t="shared" si="28"/>
        <v>1</v>
      </c>
      <c r="AK135" s="156">
        <f t="shared" si="7"/>
        <v>0</v>
      </c>
      <c r="AL135" s="156">
        <f t="shared" si="7"/>
        <v>0</v>
      </c>
      <c r="AM135" s="156">
        <f t="shared" si="7"/>
        <v>1</v>
      </c>
      <c r="AN135" s="155">
        <f t="shared" si="16"/>
        <v>1</v>
      </c>
      <c r="AO135" s="156">
        <f t="shared" si="29"/>
        <v>0</v>
      </c>
      <c r="AP135" s="156">
        <f t="shared" si="8"/>
        <v>1</v>
      </c>
      <c r="AQ135" s="156">
        <f t="shared" si="8"/>
        <v>0</v>
      </c>
      <c r="AR135" s="156">
        <f t="shared" si="8"/>
        <v>1</v>
      </c>
      <c r="AS135" s="155">
        <f t="shared" si="17"/>
        <v>-1</v>
      </c>
      <c r="AT135" s="156">
        <f t="shared" si="30"/>
        <v>0</v>
      </c>
      <c r="AU135" s="156">
        <f t="shared" si="9"/>
        <v>0</v>
      </c>
      <c r="AV135" s="156">
        <f t="shared" si="9"/>
        <v>0</v>
      </c>
      <c r="AW135" s="156">
        <f t="shared" si="9"/>
        <v>0</v>
      </c>
      <c r="AX135" s="155" t="str">
        <f t="shared" si="18"/>
        <v/>
      </c>
      <c r="AY135" s="156">
        <f t="shared" si="31"/>
        <v>1</v>
      </c>
      <c r="AZ135" s="156">
        <f t="shared" si="10"/>
        <v>0</v>
      </c>
      <c r="BA135" s="156">
        <f t="shared" si="10"/>
        <v>1</v>
      </c>
      <c r="BB135" s="156">
        <f t="shared" si="10"/>
        <v>3</v>
      </c>
      <c r="BC135" s="155">
        <f t="shared" si="19"/>
        <v>0</v>
      </c>
    </row>
    <row r="136" spans="1:55" x14ac:dyDescent="0.3">
      <c r="A136" s="151" t="str">
        <f t="shared" si="20"/>
        <v>10 Viera M.</v>
      </c>
      <c r="B136" s="154">
        <f t="shared" si="20"/>
        <v>0</v>
      </c>
      <c r="C136" s="154">
        <f t="shared" si="20"/>
        <v>0</v>
      </c>
      <c r="D136" s="154">
        <f t="shared" si="20"/>
        <v>0</v>
      </c>
      <c r="E136" s="154">
        <f t="shared" si="20"/>
        <v>0</v>
      </c>
      <c r="F136" s="154">
        <f t="shared" si="20"/>
        <v>0</v>
      </c>
      <c r="G136" s="155" t="str">
        <f t="shared" si="21"/>
        <v/>
      </c>
      <c r="H136" s="156">
        <f t="shared" si="24"/>
        <v>0</v>
      </c>
      <c r="I136" s="156">
        <f t="shared" si="24"/>
        <v>0</v>
      </c>
      <c r="J136" s="156">
        <f t="shared" si="24"/>
        <v>0</v>
      </c>
      <c r="K136" s="156">
        <f t="shared" si="24"/>
        <v>0</v>
      </c>
      <c r="L136" s="156">
        <f t="shared" si="24"/>
        <v>0</v>
      </c>
      <c r="M136" s="155" t="str">
        <f t="shared" si="22"/>
        <v/>
      </c>
      <c r="N136" s="156">
        <f t="shared" si="2"/>
        <v>0</v>
      </c>
      <c r="O136" s="156">
        <f t="shared" si="2"/>
        <v>0</v>
      </c>
      <c r="P136" s="155" t="str">
        <f t="shared" si="11"/>
        <v/>
      </c>
      <c r="Q136" s="156">
        <f t="shared" si="25"/>
        <v>0</v>
      </c>
      <c r="R136" s="156">
        <f t="shared" si="3"/>
        <v>0</v>
      </c>
      <c r="S136" s="156">
        <f t="shared" si="3"/>
        <v>0</v>
      </c>
      <c r="T136" s="155" t="str">
        <f t="shared" si="12"/>
        <v/>
      </c>
      <c r="U136" s="156">
        <f t="shared" si="26"/>
        <v>0</v>
      </c>
      <c r="V136" s="156">
        <f t="shared" si="4"/>
        <v>0</v>
      </c>
      <c r="W136" s="156">
        <f t="shared" si="4"/>
        <v>0</v>
      </c>
      <c r="X136" s="156">
        <f t="shared" si="4"/>
        <v>0</v>
      </c>
      <c r="Y136" s="155" t="str">
        <f t="shared" si="13"/>
        <v/>
      </c>
      <c r="Z136" s="156">
        <f t="shared" si="27"/>
        <v>0</v>
      </c>
      <c r="AA136" s="156">
        <f t="shared" si="5"/>
        <v>0</v>
      </c>
      <c r="AB136" s="156">
        <f t="shared" si="5"/>
        <v>0</v>
      </c>
      <c r="AC136" s="156">
        <f t="shared" si="5"/>
        <v>0</v>
      </c>
      <c r="AD136" s="155" t="str">
        <f t="shared" si="14"/>
        <v/>
      </c>
      <c r="AE136" s="156">
        <f t="shared" si="23"/>
        <v>0</v>
      </c>
      <c r="AF136" s="156">
        <f t="shared" si="6"/>
        <v>0</v>
      </c>
      <c r="AG136" s="156">
        <f t="shared" si="6"/>
        <v>0</v>
      </c>
      <c r="AH136" s="156">
        <f t="shared" si="6"/>
        <v>0</v>
      </c>
      <c r="AI136" s="155" t="str">
        <f t="shared" si="15"/>
        <v/>
      </c>
      <c r="AJ136" s="156">
        <f t="shared" si="28"/>
        <v>0</v>
      </c>
      <c r="AK136" s="156">
        <f t="shared" si="7"/>
        <v>0</v>
      </c>
      <c r="AL136" s="156">
        <f t="shared" si="7"/>
        <v>0</v>
      </c>
      <c r="AM136" s="156">
        <f t="shared" si="7"/>
        <v>0</v>
      </c>
      <c r="AN136" s="155" t="str">
        <f t="shared" si="16"/>
        <v/>
      </c>
      <c r="AO136" s="156">
        <f t="shared" si="29"/>
        <v>0</v>
      </c>
      <c r="AP136" s="156">
        <f t="shared" si="8"/>
        <v>0</v>
      </c>
      <c r="AQ136" s="156">
        <f t="shared" si="8"/>
        <v>0</v>
      </c>
      <c r="AR136" s="156">
        <f t="shared" si="8"/>
        <v>0</v>
      </c>
      <c r="AS136" s="155" t="str">
        <f t="shared" si="17"/>
        <v/>
      </c>
      <c r="AT136" s="156">
        <f t="shared" si="30"/>
        <v>0</v>
      </c>
      <c r="AU136" s="156">
        <f t="shared" si="9"/>
        <v>0</v>
      </c>
      <c r="AV136" s="156">
        <f t="shared" si="9"/>
        <v>0</v>
      </c>
      <c r="AW136" s="156">
        <f t="shared" si="9"/>
        <v>0</v>
      </c>
      <c r="AX136" s="155" t="str">
        <f t="shared" si="18"/>
        <v/>
      </c>
      <c r="AY136" s="156">
        <f t="shared" si="31"/>
        <v>0</v>
      </c>
      <c r="AZ136" s="156">
        <f t="shared" si="10"/>
        <v>0</v>
      </c>
      <c r="BA136" s="156">
        <f t="shared" si="10"/>
        <v>0</v>
      </c>
      <c r="BB136" s="156">
        <f t="shared" si="10"/>
        <v>0</v>
      </c>
      <c r="BC136" s="155" t="str">
        <f t="shared" si="19"/>
        <v/>
      </c>
    </row>
    <row r="137" spans="1:55" x14ac:dyDescent="0.3">
      <c r="A137" s="151" t="str">
        <f t="shared" si="20"/>
        <v>11 Durdos V.</v>
      </c>
      <c r="B137" s="154">
        <f t="shared" si="20"/>
        <v>4</v>
      </c>
      <c r="C137" s="154">
        <f t="shared" si="20"/>
        <v>6</v>
      </c>
      <c r="D137" s="154">
        <f t="shared" si="20"/>
        <v>3</v>
      </c>
      <c r="E137" s="154">
        <f t="shared" si="20"/>
        <v>22</v>
      </c>
      <c r="F137" s="154">
        <f t="shared" si="20"/>
        <v>91</v>
      </c>
      <c r="G137" s="155">
        <f t="shared" si="21"/>
        <v>-0.16483516483516483</v>
      </c>
      <c r="H137" s="156">
        <f t="shared" si="24"/>
        <v>39</v>
      </c>
      <c r="I137" s="156">
        <f t="shared" si="24"/>
        <v>53</v>
      </c>
      <c r="J137" s="156">
        <f t="shared" si="24"/>
        <v>7</v>
      </c>
      <c r="K137" s="156">
        <f t="shared" si="24"/>
        <v>6</v>
      </c>
      <c r="L137" s="156">
        <f t="shared" si="24"/>
        <v>152</v>
      </c>
      <c r="M137" s="155">
        <f t="shared" si="22"/>
        <v>0.36842105263157893</v>
      </c>
      <c r="N137" s="156">
        <f t="shared" si="2"/>
        <v>6</v>
      </c>
      <c r="O137" s="156">
        <f t="shared" si="2"/>
        <v>11</v>
      </c>
      <c r="P137" s="155">
        <f t="shared" si="11"/>
        <v>0.36956521739130432</v>
      </c>
      <c r="Q137" s="156">
        <f t="shared" si="25"/>
        <v>18</v>
      </c>
      <c r="R137" s="156">
        <f t="shared" si="3"/>
        <v>1</v>
      </c>
      <c r="S137" s="156">
        <f t="shared" si="3"/>
        <v>46</v>
      </c>
      <c r="T137" s="155">
        <f t="shared" si="12"/>
        <v>0.13043478260869565</v>
      </c>
      <c r="U137" s="156">
        <f t="shared" si="26"/>
        <v>0</v>
      </c>
      <c r="V137" s="156">
        <f t="shared" si="4"/>
        <v>0</v>
      </c>
      <c r="W137" s="156">
        <f t="shared" si="4"/>
        <v>0</v>
      </c>
      <c r="X137" s="156">
        <f t="shared" si="4"/>
        <v>0</v>
      </c>
      <c r="Y137" s="155" t="str">
        <f t="shared" si="13"/>
        <v/>
      </c>
      <c r="Z137" s="156">
        <f t="shared" si="27"/>
        <v>22</v>
      </c>
      <c r="AA137" s="156">
        <f t="shared" si="5"/>
        <v>6</v>
      </c>
      <c r="AB137" s="156">
        <f t="shared" si="5"/>
        <v>9</v>
      </c>
      <c r="AC137" s="156">
        <f t="shared" si="5"/>
        <v>69</v>
      </c>
      <c r="AD137" s="155">
        <f t="shared" si="14"/>
        <v>0.10144927536231885</v>
      </c>
      <c r="AE137" s="156">
        <f t="shared" si="23"/>
        <v>55</v>
      </c>
      <c r="AF137" s="156">
        <f t="shared" si="6"/>
        <v>5</v>
      </c>
      <c r="AG137" s="156">
        <f t="shared" si="6"/>
        <v>11</v>
      </c>
      <c r="AH137" s="156">
        <f t="shared" si="6"/>
        <v>116</v>
      </c>
      <c r="AI137" s="155">
        <f t="shared" si="15"/>
        <v>0.33620689655172414</v>
      </c>
      <c r="AJ137" s="156">
        <f t="shared" si="28"/>
        <v>36</v>
      </c>
      <c r="AK137" s="156">
        <f t="shared" si="7"/>
        <v>1</v>
      </c>
      <c r="AL137" s="156">
        <f t="shared" si="7"/>
        <v>10</v>
      </c>
      <c r="AM137" s="156">
        <f t="shared" si="7"/>
        <v>69</v>
      </c>
      <c r="AN137" s="155">
        <f t="shared" si="16"/>
        <v>0.36231884057971014</v>
      </c>
      <c r="AO137" s="156">
        <f t="shared" si="29"/>
        <v>12</v>
      </c>
      <c r="AP137" s="156">
        <f t="shared" si="8"/>
        <v>0</v>
      </c>
      <c r="AQ137" s="156">
        <f t="shared" si="8"/>
        <v>0</v>
      </c>
      <c r="AR137" s="156">
        <f t="shared" si="8"/>
        <v>17</v>
      </c>
      <c r="AS137" s="155">
        <f t="shared" si="17"/>
        <v>0.70588235294117652</v>
      </c>
      <c r="AT137" s="156">
        <f t="shared" si="30"/>
        <v>5</v>
      </c>
      <c r="AU137" s="156">
        <f t="shared" si="9"/>
        <v>2</v>
      </c>
      <c r="AV137" s="156">
        <f t="shared" si="9"/>
        <v>2</v>
      </c>
      <c r="AW137" s="156">
        <f t="shared" si="9"/>
        <v>21</v>
      </c>
      <c r="AX137" s="155">
        <f t="shared" si="18"/>
        <v>4.7619047619047616E-2</v>
      </c>
      <c r="AY137" s="156">
        <f t="shared" si="31"/>
        <v>37</v>
      </c>
      <c r="AZ137" s="156">
        <f t="shared" si="10"/>
        <v>8</v>
      </c>
      <c r="BA137" s="156">
        <f t="shared" si="10"/>
        <v>14</v>
      </c>
      <c r="BB137" s="156">
        <f t="shared" si="10"/>
        <v>105</v>
      </c>
      <c r="BC137" s="155">
        <f t="shared" si="19"/>
        <v>0.14285714285714285</v>
      </c>
    </row>
    <row r="138" spans="1:55" x14ac:dyDescent="0.3">
      <c r="A138" s="151" t="str">
        <f t="shared" si="20"/>
        <v>12 Zanotti J.</v>
      </c>
      <c r="B138" s="154">
        <f t="shared" si="20"/>
        <v>0</v>
      </c>
      <c r="C138" s="154">
        <f t="shared" si="20"/>
        <v>0</v>
      </c>
      <c r="D138" s="154">
        <f t="shared" si="20"/>
        <v>0</v>
      </c>
      <c r="E138" s="154">
        <f t="shared" si="20"/>
        <v>0</v>
      </c>
      <c r="F138" s="154">
        <f t="shared" si="20"/>
        <v>0</v>
      </c>
      <c r="G138" s="155" t="str">
        <f t="shared" si="21"/>
        <v/>
      </c>
      <c r="H138" s="156">
        <f t="shared" si="24"/>
        <v>39</v>
      </c>
      <c r="I138" s="156">
        <f t="shared" si="24"/>
        <v>39</v>
      </c>
      <c r="J138" s="156">
        <f t="shared" si="24"/>
        <v>4</v>
      </c>
      <c r="K138" s="156">
        <f t="shared" si="24"/>
        <v>9</v>
      </c>
      <c r="L138" s="156">
        <f t="shared" si="24"/>
        <v>139</v>
      </c>
      <c r="M138" s="155">
        <f t="shared" si="22"/>
        <v>0.34172661870503596</v>
      </c>
      <c r="N138" s="156">
        <f t="shared" si="2"/>
        <v>0</v>
      </c>
      <c r="O138" s="156">
        <f t="shared" si="2"/>
        <v>0</v>
      </c>
      <c r="P138" s="155" t="str">
        <f t="shared" si="11"/>
        <v/>
      </c>
      <c r="Q138" s="156">
        <f t="shared" si="25"/>
        <v>0</v>
      </c>
      <c r="R138" s="156">
        <f t="shared" si="3"/>
        <v>0</v>
      </c>
      <c r="S138" s="156">
        <f t="shared" si="3"/>
        <v>0</v>
      </c>
      <c r="T138" s="155" t="str">
        <f t="shared" si="12"/>
        <v/>
      </c>
      <c r="U138" s="156">
        <f t="shared" si="26"/>
        <v>0</v>
      </c>
      <c r="V138" s="156">
        <f t="shared" si="4"/>
        <v>0</v>
      </c>
      <c r="W138" s="156">
        <f t="shared" si="4"/>
        <v>0</v>
      </c>
      <c r="X138" s="156">
        <f t="shared" si="4"/>
        <v>0</v>
      </c>
      <c r="Y138" s="155" t="str">
        <f t="shared" si="13"/>
        <v/>
      </c>
      <c r="Z138" s="156">
        <f t="shared" si="27"/>
        <v>0</v>
      </c>
      <c r="AA138" s="156">
        <f t="shared" si="5"/>
        <v>0</v>
      </c>
      <c r="AB138" s="156">
        <f t="shared" si="5"/>
        <v>0</v>
      </c>
      <c r="AC138" s="156">
        <f t="shared" si="5"/>
        <v>0</v>
      </c>
      <c r="AD138" s="155" t="str">
        <f t="shared" si="14"/>
        <v/>
      </c>
      <c r="AE138" s="156">
        <f t="shared" si="23"/>
        <v>0</v>
      </c>
      <c r="AF138" s="156">
        <f t="shared" si="6"/>
        <v>0</v>
      </c>
      <c r="AG138" s="156">
        <f t="shared" si="6"/>
        <v>0</v>
      </c>
      <c r="AH138" s="156">
        <f t="shared" si="6"/>
        <v>0</v>
      </c>
      <c r="AI138" s="155" t="str">
        <f t="shared" si="15"/>
        <v/>
      </c>
      <c r="AJ138" s="156">
        <f t="shared" si="28"/>
        <v>0</v>
      </c>
      <c r="AK138" s="156">
        <f t="shared" si="7"/>
        <v>0</v>
      </c>
      <c r="AL138" s="156">
        <f t="shared" si="7"/>
        <v>0</v>
      </c>
      <c r="AM138" s="156">
        <f t="shared" si="7"/>
        <v>0</v>
      </c>
      <c r="AN138" s="155" t="str">
        <f t="shared" si="16"/>
        <v/>
      </c>
      <c r="AO138" s="156">
        <f t="shared" si="29"/>
        <v>0</v>
      </c>
      <c r="AP138" s="156">
        <f t="shared" si="8"/>
        <v>0</v>
      </c>
      <c r="AQ138" s="156">
        <f t="shared" si="8"/>
        <v>0</v>
      </c>
      <c r="AR138" s="156">
        <f t="shared" si="8"/>
        <v>0</v>
      </c>
      <c r="AS138" s="155" t="str">
        <f t="shared" si="17"/>
        <v/>
      </c>
      <c r="AT138" s="156">
        <f t="shared" si="30"/>
        <v>0</v>
      </c>
      <c r="AU138" s="156">
        <f t="shared" si="9"/>
        <v>0</v>
      </c>
      <c r="AV138" s="156">
        <f t="shared" si="9"/>
        <v>0</v>
      </c>
      <c r="AW138" s="156">
        <f t="shared" si="9"/>
        <v>0</v>
      </c>
      <c r="AX138" s="155" t="str">
        <f t="shared" si="18"/>
        <v/>
      </c>
      <c r="AY138" s="156">
        <f t="shared" si="31"/>
        <v>0</v>
      </c>
      <c r="AZ138" s="156">
        <f t="shared" si="10"/>
        <v>0</v>
      </c>
      <c r="BA138" s="156">
        <f t="shared" si="10"/>
        <v>0</v>
      </c>
      <c r="BB138" s="156">
        <f t="shared" si="10"/>
        <v>0</v>
      </c>
      <c r="BC138" s="155" t="str">
        <f t="shared" si="19"/>
        <v/>
      </c>
    </row>
    <row r="139" spans="1:55" x14ac:dyDescent="0.3">
      <c r="A139" s="151" t="str">
        <f t="shared" si="20"/>
        <v>13 Rojas Caruso M.</v>
      </c>
      <c r="B139" s="154">
        <f t="shared" si="20"/>
        <v>0</v>
      </c>
      <c r="C139" s="154">
        <f t="shared" si="20"/>
        <v>0</v>
      </c>
      <c r="D139" s="154">
        <f t="shared" si="20"/>
        <v>0</v>
      </c>
      <c r="E139" s="154">
        <f t="shared" si="20"/>
        <v>1</v>
      </c>
      <c r="F139" s="154">
        <f t="shared" si="20"/>
        <v>4</v>
      </c>
      <c r="G139" s="155">
        <f t="shared" si="21"/>
        <v>-0.25</v>
      </c>
      <c r="H139" s="156">
        <f t="shared" si="24"/>
        <v>1</v>
      </c>
      <c r="I139" s="156">
        <f t="shared" si="24"/>
        <v>1</v>
      </c>
      <c r="J139" s="156">
        <f t="shared" si="24"/>
        <v>0</v>
      </c>
      <c r="K139" s="156">
        <f t="shared" si="24"/>
        <v>0</v>
      </c>
      <c r="L139" s="156">
        <f t="shared" si="24"/>
        <v>4</v>
      </c>
      <c r="M139" s="155">
        <f t="shared" si="22"/>
        <v>0.375</v>
      </c>
      <c r="N139" s="156">
        <f t="shared" si="2"/>
        <v>0</v>
      </c>
      <c r="O139" s="156">
        <f t="shared" si="2"/>
        <v>0</v>
      </c>
      <c r="P139" s="155" t="str">
        <f t="shared" si="11"/>
        <v/>
      </c>
      <c r="Q139" s="156">
        <f t="shared" si="25"/>
        <v>0</v>
      </c>
      <c r="R139" s="156">
        <f t="shared" si="3"/>
        <v>0</v>
      </c>
      <c r="S139" s="156">
        <f t="shared" si="3"/>
        <v>0</v>
      </c>
      <c r="T139" s="155" t="str">
        <f t="shared" si="12"/>
        <v/>
      </c>
      <c r="U139" s="156">
        <f t="shared" si="26"/>
        <v>0</v>
      </c>
      <c r="V139" s="156">
        <f t="shared" si="4"/>
        <v>0</v>
      </c>
      <c r="W139" s="156">
        <f t="shared" si="4"/>
        <v>0</v>
      </c>
      <c r="X139" s="156">
        <f t="shared" si="4"/>
        <v>0</v>
      </c>
      <c r="Y139" s="155" t="str">
        <f t="shared" si="13"/>
        <v/>
      </c>
      <c r="Z139" s="156">
        <f t="shared" si="27"/>
        <v>0</v>
      </c>
      <c r="AA139" s="156">
        <f t="shared" si="5"/>
        <v>0</v>
      </c>
      <c r="AB139" s="156">
        <f t="shared" si="5"/>
        <v>0</v>
      </c>
      <c r="AC139" s="156">
        <f t="shared" si="5"/>
        <v>0</v>
      </c>
      <c r="AD139" s="155" t="str">
        <f t="shared" si="14"/>
        <v/>
      </c>
      <c r="AE139" s="156">
        <f t="shared" si="23"/>
        <v>0</v>
      </c>
      <c r="AF139" s="156">
        <f t="shared" si="6"/>
        <v>0</v>
      </c>
      <c r="AG139" s="156">
        <f t="shared" si="6"/>
        <v>0</v>
      </c>
      <c r="AH139" s="156">
        <f t="shared" si="6"/>
        <v>0</v>
      </c>
      <c r="AI139" s="155" t="str">
        <f t="shared" si="15"/>
        <v/>
      </c>
      <c r="AJ139" s="156">
        <f t="shared" si="28"/>
        <v>0</v>
      </c>
      <c r="AK139" s="156">
        <f t="shared" si="7"/>
        <v>0</v>
      </c>
      <c r="AL139" s="156">
        <f t="shared" si="7"/>
        <v>0</v>
      </c>
      <c r="AM139" s="156">
        <f t="shared" si="7"/>
        <v>0</v>
      </c>
      <c r="AN139" s="155" t="str">
        <f t="shared" si="16"/>
        <v/>
      </c>
      <c r="AO139" s="156">
        <f t="shared" si="29"/>
        <v>0</v>
      </c>
      <c r="AP139" s="156">
        <f t="shared" si="8"/>
        <v>0</v>
      </c>
      <c r="AQ139" s="156">
        <f t="shared" si="8"/>
        <v>0</v>
      </c>
      <c r="AR139" s="156">
        <f t="shared" si="8"/>
        <v>0</v>
      </c>
      <c r="AS139" s="155" t="str">
        <f t="shared" si="17"/>
        <v/>
      </c>
      <c r="AT139" s="156">
        <f t="shared" si="30"/>
        <v>0</v>
      </c>
      <c r="AU139" s="156">
        <f t="shared" si="9"/>
        <v>0</v>
      </c>
      <c r="AV139" s="156">
        <f t="shared" si="9"/>
        <v>0</v>
      </c>
      <c r="AW139" s="156">
        <f t="shared" si="9"/>
        <v>0</v>
      </c>
      <c r="AX139" s="155" t="str">
        <f t="shared" si="18"/>
        <v/>
      </c>
      <c r="AY139" s="156">
        <f t="shared" si="31"/>
        <v>0</v>
      </c>
      <c r="AZ139" s="156">
        <f t="shared" si="10"/>
        <v>0</v>
      </c>
      <c r="BA139" s="156">
        <f t="shared" si="10"/>
        <v>0</v>
      </c>
      <c r="BB139" s="156">
        <f t="shared" si="10"/>
        <v>0</v>
      </c>
      <c r="BC139" s="155" t="str">
        <f t="shared" si="19"/>
        <v/>
      </c>
    </row>
    <row r="140" spans="1:55" x14ac:dyDescent="0.3">
      <c r="A140" s="151" t="str">
        <f t="shared" si="20"/>
        <v>14 Nielson R.</v>
      </c>
      <c r="B140" s="154">
        <f t="shared" si="20"/>
        <v>4</v>
      </c>
      <c r="C140" s="154">
        <f t="shared" si="20"/>
        <v>15</v>
      </c>
      <c r="D140" s="154">
        <f t="shared" si="20"/>
        <v>5</v>
      </c>
      <c r="E140" s="154">
        <f t="shared" si="20"/>
        <v>8</v>
      </c>
      <c r="F140" s="154">
        <f t="shared" si="20"/>
        <v>130</v>
      </c>
      <c r="G140" s="155">
        <f t="shared" si="21"/>
        <v>1.7307692307692309E-2</v>
      </c>
      <c r="H140" s="156">
        <f t="shared" si="24"/>
        <v>46</v>
      </c>
      <c r="I140" s="156">
        <f t="shared" si="24"/>
        <v>51</v>
      </c>
      <c r="J140" s="156">
        <f t="shared" si="24"/>
        <v>4</v>
      </c>
      <c r="K140" s="156">
        <f t="shared" si="24"/>
        <v>8</v>
      </c>
      <c r="L140" s="156">
        <f t="shared" si="24"/>
        <v>154</v>
      </c>
      <c r="M140" s="155">
        <f t="shared" si="22"/>
        <v>0.39935064935064934</v>
      </c>
      <c r="N140" s="156">
        <f t="shared" si="2"/>
        <v>7</v>
      </c>
      <c r="O140" s="156">
        <f t="shared" si="2"/>
        <v>13</v>
      </c>
      <c r="P140" s="155">
        <f t="shared" si="11"/>
        <v>0.41666666666666669</v>
      </c>
      <c r="Q140" s="156">
        <f t="shared" si="25"/>
        <v>19</v>
      </c>
      <c r="R140" s="156">
        <f t="shared" si="3"/>
        <v>0</v>
      </c>
      <c r="S140" s="156">
        <f t="shared" si="3"/>
        <v>48</v>
      </c>
      <c r="T140" s="155">
        <f t="shared" si="12"/>
        <v>0.14583333333333334</v>
      </c>
      <c r="U140" s="156">
        <f t="shared" si="26"/>
        <v>0</v>
      </c>
      <c r="V140" s="156">
        <f t="shared" si="4"/>
        <v>0</v>
      </c>
      <c r="W140" s="156">
        <f t="shared" si="4"/>
        <v>0</v>
      </c>
      <c r="X140" s="156">
        <f t="shared" si="4"/>
        <v>0</v>
      </c>
      <c r="Y140" s="155" t="str">
        <f t="shared" si="13"/>
        <v/>
      </c>
      <c r="Z140" s="156">
        <f t="shared" si="27"/>
        <v>25</v>
      </c>
      <c r="AA140" s="156">
        <f t="shared" si="5"/>
        <v>4</v>
      </c>
      <c r="AB140" s="156">
        <f t="shared" si="5"/>
        <v>8</v>
      </c>
      <c r="AC140" s="156">
        <f t="shared" si="5"/>
        <v>82</v>
      </c>
      <c r="AD140" s="155">
        <f t="shared" si="14"/>
        <v>0.15853658536585366</v>
      </c>
      <c r="AE140" s="156">
        <f t="shared" si="23"/>
        <v>52</v>
      </c>
      <c r="AF140" s="156">
        <f t="shared" si="6"/>
        <v>7</v>
      </c>
      <c r="AG140" s="156">
        <f t="shared" si="6"/>
        <v>7</v>
      </c>
      <c r="AH140" s="156">
        <f t="shared" si="6"/>
        <v>123</v>
      </c>
      <c r="AI140" s="155">
        <f t="shared" si="15"/>
        <v>0.30894308943089432</v>
      </c>
      <c r="AJ140" s="156">
        <f t="shared" si="28"/>
        <v>22</v>
      </c>
      <c r="AK140" s="156">
        <f t="shared" si="7"/>
        <v>4</v>
      </c>
      <c r="AL140" s="156">
        <f t="shared" si="7"/>
        <v>5</v>
      </c>
      <c r="AM140" s="156">
        <f t="shared" si="7"/>
        <v>53</v>
      </c>
      <c r="AN140" s="155">
        <f t="shared" si="16"/>
        <v>0.24528301886792453</v>
      </c>
      <c r="AO140" s="156">
        <f t="shared" si="29"/>
        <v>11</v>
      </c>
      <c r="AP140" s="156">
        <f t="shared" si="8"/>
        <v>1</v>
      </c>
      <c r="AQ140" s="156">
        <f t="shared" si="8"/>
        <v>0</v>
      </c>
      <c r="AR140" s="156">
        <f t="shared" si="8"/>
        <v>21</v>
      </c>
      <c r="AS140" s="155">
        <f t="shared" si="17"/>
        <v>0.47619047619047616</v>
      </c>
      <c r="AT140" s="156">
        <f t="shared" si="30"/>
        <v>7</v>
      </c>
      <c r="AU140" s="156">
        <f t="shared" si="9"/>
        <v>2</v>
      </c>
      <c r="AV140" s="156">
        <f t="shared" si="9"/>
        <v>2</v>
      </c>
      <c r="AW140" s="156">
        <f t="shared" si="9"/>
        <v>23</v>
      </c>
      <c r="AX140" s="155">
        <f t="shared" si="18"/>
        <v>0.13043478260869565</v>
      </c>
      <c r="AY140" s="156">
        <f t="shared" si="31"/>
        <v>38</v>
      </c>
      <c r="AZ140" s="156">
        <f t="shared" si="10"/>
        <v>4</v>
      </c>
      <c r="BA140" s="156">
        <f t="shared" si="10"/>
        <v>9</v>
      </c>
      <c r="BB140" s="156">
        <f t="shared" si="10"/>
        <v>110</v>
      </c>
      <c r="BC140" s="155">
        <f t="shared" si="19"/>
        <v>0.22727272727272727</v>
      </c>
    </row>
    <row r="141" spans="1:55" x14ac:dyDescent="0.3">
      <c r="A141" s="151" t="str">
        <f t="shared" si="20"/>
        <v>15 Rotezzi R.</v>
      </c>
      <c r="B141" s="154">
        <f t="shared" si="20"/>
        <v>1</v>
      </c>
      <c r="C141" s="154">
        <f t="shared" si="20"/>
        <v>1</v>
      </c>
      <c r="D141" s="154">
        <f t="shared" si="20"/>
        <v>0</v>
      </c>
      <c r="E141" s="154">
        <f t="shared" si="20"/>
        <v>1</v>
      </c>
      <c r="F141" s="154">
        <f t="shared" si="20"/>
        <v>26</v>
      </c>
      <c r="G141" s="155">
        <f t="shared" si="21"/>
        <v>9.6153846153846159E-3</v>
      </c>
      <c r="H141" s="156">
        <f t="shared" si="24"/>
        <v>0</v>
      </c>
      <c r="I141" s="156">
        <f t="shared" si="24"/>
        <v>3</v>
      </c>
      <c r="J141" s="156">
        <f t="shared" si="24"/>
        <v>0</v>
      </c>
      <c r="K141" s="156">
        <f t="shared" si="24"/>
        <v>1</v>
      </c>
      <c r="L141" s="156">
        <f t="shared" si="24"/>
        <v>6</v>
      </c>
      <c r="M141" s="155">
        <f t="shared" si="22"/>
        <v>8.3333333333333329E-2</v>
      </c>
      <c r="N141" s="156">
        <f t="shared" si="2"/>
        <v>1</v>
      </c>
      <c r="O141" s="156">
        <f t="shared" si="2"/>
        <v>4</v>
      </c>
      <c r="P141" s="155">
        <f t="shared" si="11"/>
        <v>0.5</v>
      </c>
      <c r="Q141" s="156">
        <f t="shared" si="25"/>
        <v>3</v>
      </c>
      <c r="R141" s="156">
        <f t="shared" si="3"/>
        <v>0</v>
      </c>
      <c r="S141" s="156">
        <f t="shared" si="3"/>
        <v>10</v>
      </c>
      <c r="T141" s="155">
        <f t="shared" si="12"/>
        <v>0.1</v>
      </c>
      <c r="U141" s="156">
        <f t="shared" si="26"/>
        <v>10</v>
      </c>
      <c r="V141" s="156">
        <f t="shared" si="4"/>
        <v>0</v>
      </c>
      <c r="W141" s="156">
        <f t="shared" si="4"/>
        <v>1</v>
      </c>
      <c r="X141" s="156">
        <f t="shared" si="4"/>
        <v>18</v>
      </c>
      <c r="Y141" s="155">
        <f t="shared" si="13"/>
        <v>0.5</v>
      </c>
      <c r="Z141" s="156">
        <f t="shared" si="27"/>
        <v>0</v>
      </c>
      <c r="AA141" s="156">
        <f t="shared" si="5"/>
        <v>0</v>
      </c>
      <c r="AB141" s="156">
        <f t="shared" si="5"/>
        <v>0</v>
      </c>
      <c r="AC141" s="156">
        <f t="shared" si="5"/>
        <v>0</v>
      </c>
      <c r="AD141" s="155" t="str">
        <f t="shared" si="14"/>
        <v/>
      </c>
      <c r="AE141" s="156">
        <f t="shared" si="23"/>
        <v>0</v>
      </c>
      <c r="AF141" s="156">
        <f t="shared" si="6"/>
        <v>0</v>
      </c>
      <c r="AG141" s="156">
        <f t="shared" si="6"/>
        <v>0</v>
      </c>
      <c r="AH141" s="156">
        <f t="shared" si="6"/>
        <v>0</v>
      </c>
      <c r="AI141" s="155" t="str">
        <f t="shared" si="15"/>
        <v/>
      </c>
      <c r="AJ141" s="156">
        <f t="shared" si="28"/>
        <v>7</v>
      </c>
      <c r="AK141" s="156">
        <f t="shared" si="7"/>
        <v>0</v>
      </c>
      <c r="AL141" s="156">
        <f t="shared" si="7"/>
        <v>1</v>
      </c>
      <c r="AM141" s="156">
        <f t="shared" si="7"/>
        <v>12</v>
      </c>
      <c r="AN141" s="155">
        <f t="shared" si="16"/>
        <v>0.5</v>
      </c>
      <c r="AO141" s="156">
        <f t="shared" si="29"/>
        <v>1</v>
      </c>
      <c r="AP141" s="156">
        <f t="shared" si="8"/>
        <v>0</v>
      </c>
      <c r="AQ141" s="156">
        <f t="shared" si="8"/>
        <v>0</v>
      </c>
      <c r="AR141" s="156">
        <f t="shared" si="8"/>
        <v>1</v>
      </c>
      <c r="AS141" s="155">
        <f t="shared" si="17"/>
        <v>1</v>
      </c>
      <c r="AT141" s="156">
        <f t="shared" si="30"/>
        <v>0</v>
      </c>
      <c r="AU141" s="156">
        <f t="shared" si="9"/>
        <v>0</v>
      </c>
      <c r="AV141" s="156">
        <f t="shared" si="9"/>
        <v>0</v>
      </c>
      <c r="AW141" s="156">
        <f t="shared" si="9"/>
        <v>0</v>
      </c>
      <c r="AX141" s="155" t="str">
        <f t="shared" si="18"/>
        <v/>
      </c>
      <c r="AY141" s="156">
        <f t="shared" si="31"/>
        <v>3</v>
      </c>
      <c r="AZ141" s="156">
        <f t="shared" si="10"/>
        <v>0</v>
      </c>
      <c r="BA141" s="156">
        <f t="shared" si="10"/>
        <v>0</v>
      </c>
      <c r="BB141" s="156">
        <f t="shared" si="10"/>
        <v>7</v>
      </c>
      <c r="BC141" s="155">
        <f t="shared" si="19"/>
        <v>0.42857142857142855</v>
      </c>
    </row>
    <row r="142" spans="1:55" x14ac:dyDescent="0.3">
      <c r="A142" s="151" t="str">
        <f t="shared" si="20"/>
        <v>17 Herbsommer L.</v>
      </c>
      <c r="B142" s="154">
        <f t="shared" si="20"/>
        <v>0</v>
      </c>
      <c r="C142" s="154">
        <f t="shared" si="20"/>
        <v>7</v>
      </c>
      <c r="D142" s="154">
        <f t="shared" si="20"/>
        <v>5</v>
      </c>
      <c r="E142" s="154">
        <f t="shared" si="20"/>
        <v>4</v>
      </c>
      <c r="F142" s="154">
        <f t="shared" si="20"/>
        <v>70</v>
      </c>
      <c r="G142" s="155">
        <f t="shared" si="21"/>
        <v>3.5714285714285713E-3</v>
      </c>
      <c r="H142" s="156">
        <f t="shared" si="24"/>
        <v>0</v>
      </c>
      <c r="I142" s="156">
        <f t="shared" si="24"/>
        <v>0</v>
      </c>
      <c r="J142" s="156">
        <f t="shared" si="24"/>
        <v>0</v>
      </c>
      <c r="K142" s="156">
        <f t="shared" si="24"/>
        <v>0</v>
      </c>
      <c r="L142" s="156">
        <f t="shared" si="24"/>
        <v>0</v>
      </c>
      <c r="M142" s="155" t="str">
        <f t="shared" si="22"/>
        <v/>
      </c>
      <c r="N142" s="156">
        <f t="shared" si="2"/>
        <v>19</v>
      </c>
      <c r="O142" s="156">
        <f t="shared" si="2"/>
        <v>13</v>
      </c>
      <c r="P142" s="155">
        <f t="shared" si="11"/>
        <v>0.44444444444444442</v>
      </c>
      <c r="Q142" s="156">
        <f t="shared" si="25"/>
        <v>29</v>
      </c>
      <c r="R142" s="156">
        <f t="shared" si="3"/>
        <v>0</v>
      </c>
      <c r="S142" s="156">
        <f t="shared" si="3"/>
        <v>72</v>
      </c>
      <c r="T142" s="155">
        <f t="shared" si="12"/>
        <v>0.2638888888888889</v>
      </c>
      <c r="U142" s="156">
        <f t="shared" si="26"/>
        <v>30</v>
      </c>
      <c r="V142" s="156">
        <f t="shared" si="4"/>
        <v>2</v>
      </c>
      <c r="W142" s="156">
        <f t="shared" si="4"/>
        <v>8</v>
      </c>
      <c r="X142" s="156">
        <f t="shared" si="4"/>
        <v>68</v>
      </c>
      <c r="Y142" s="155">
        <f t="shared" si="13"/>
        <v>0.29411764705882354</v>
      </c>
      <c r="Z142" s="156">
        <f t="shared" si="27"/>
        <v>0</v>
      </c>
      <c r="AA142" s="156">
        <f t="shared" si="5"/>
        <v>0</v>
      </c>
      <c r="AB142" s="156">
        <f t="shared" si="5"/>
        <v>0</v>
      </c>
      <c r="AC142" s="156">
        <f t="shared" si="5"/>
        <v>0</v>
      </c>
      <c r="AD142" s="155" t="str">
        <f t="shared" si="14"/>
        <v/>
      </c>
      <c r="AE142" s="156">
        <f t="shared" si="23"/>
        <v>0</v>
      </c>
      <c r="AF142" s="156">
        <f t="shared" si="6"/>
        <v>0</v>
      </c>
      <c r="AG142" s="156">
        <f t="shared" si="6"/>
        <v>0</v>
      </c>
      <c r="AH142" s="156">
        <f t="shared" si="6"/>
        <v>0</v>
      </c>
      <c r="AI142" s="155" t="str">
        <f t="shared" si="15"/>
        <v/>
      </c>
      <c r="AJ142" s="156">
        <f t="shared" si="28"/>
        <v>18</v>
      </c>
      <c r="AK142" s="156">
        <f t="shared" si="7"/>
        <v>2</v>
      </c>
      <c r="AL142" s="156">
        <f t="shared" si="7"/>
        <v>7</v>
      </c>
      <c r="AM142" s="156">
        <f t="shared" si="7"/>
        <v>40</v>
      </c>
      <c r="AN142" s="155">
        <f t="shared" si="16"/>
        <v>0.22500000000000001</v>
      </c>
      <c r="AO142" s="156">
        <f t="shared" si="29"/>
        <v>8</v>
      </c>
      <c r="AP142" s="156">
        <f t="shared" si="8"/>
        <v>0</v>
      </c>
      <c r="AQ142" s="156">
        <f t="shared" si="8"/>
        <v>0</v>
      </c>
      <c r="AR142" s="156">
        <f t="shared" si="8"/>
        <v>17</v>
      </c>
      <c r="AS142" s="155">
        <f t="shared" si="17"/>
        <v>0.47058823529411764</v>
      </c>
      <c r="AT142" s="156">
        <f t="shared" si="30"/>
        <v>0</v>
      </c>
      <c r="AU142" s="156">
        <f t="shared" si="9"/>
        <v>0</v>
      </c>
      <c r="AV142" s="156">
        <f t="shared" si="9"/>
        <v>0</v>
      </c>
      <c r="AW142" s="156">
        <f t="shared" si="9"/>
        <v>0</v>
      </c>
      <c r="AX142" s="155" t="str">
        <f t="shared" si="18"/>
        <v/>
      </c>
      <c r="AY142" s="156">
        <f t="shared" si="31"/>
        <v>4</v>
      </c>
      <c r="AZ142" s="156">
        <f t="shared" si="10"/>
        <v>0</v>
      </c>
      <c r="BA142" s="156">
        <f t="shared" si="10"/>
        <v>1</v>
      </c>
      <c r="BB142" s="156">
        <f t="shared" si="10"/>
        <v>13</v>
      </c>
      <c r="BC142" s="155">
        <f t="shared" si="19"/>
        <v>0.23076923076923078</v>
      </c>
    </row>
    <row r="143" spans="1:55" x14ac:dyDescent="0.3">
      <c r="A143" s="151" t="str">
        <f t="shared" si="20"/>
        <v>18 Acosta W.</v>
      </c>
      <c r="B143" s="154">
        <f t="shared" si="20"/>
        <v>4</v>
      </c>
      <c r="C143" s="154">
        <f t="shared" si="20"/>
        <v>3</v>
      </c>
      <c r="D143" s="154">
        <f t="shared" si="20"/>
        <v>1</v>
      </c>
      <c r="E143" s="154">
        <f t="shared" si="20"/>
        <v>10</v>
      </c>
      <c r="F143" s="154">
        <f t="shared" si="20"/>
        <v>38</v>
      </c>
      <c r="G143" s="155">
        <f t="shared" si="21"/>
        <v>-0.125</v>
      </c>
      <c r="H143" s="156">
        <f t="shared" si="24"/>
        <v>0</v>
      </c>
      <c r="I143" s="156">
        <f t="shared" si="24"/>
        <v>0</v>
      </c>
      <c r="J143" s="156">
        <f t="shared" si="24"/>
        <v>0</v>
      </c>
      <c r="K143" s="156">
        <f t="shared" si="24"/>
        <v>0</v>
      </c>
      <c r="L143" s="156">
        <f t="shared" si="24"/>
        <v>0</v>
      </c>
      <c r="M143" s="155" t="str">
        <f t="shared" si="22"/>
        <v/>
      </c>
      <c r="N143" s="156">
        <f t="shared" si="2"/>
        <v>1</v>
      </c>
      <c r="O143" s="156">
        <f t="shared" si="2"/>
        <v>5</v>
      </c>
      <c r="P143" s="155">
        <f t="shared" si="11"/>
        <v>0.42857142857142855</v>
      </c>
      <c r="Q143" s="156">
        <f t="shared" si="25"/>
        <v>5</v>
      </c>
      <c r="R143" s="156">
        <f t="shared" si="3"/>
        <v>0</v>
      </c>
      <c r="S143" s="156">
        <f t="shared" si="3"/>
        <v>14</v>
      </c>
      <c r="T143" s="155">
        <f t="shared" si="12"/>
        <v>7.1428571428571425E-2</v>
      </c>
      <c r="U143" s="156">
        <f t="shared" si="26"/>
        <v>0</v>
      </c>
      <c r="V143" s="156">
        <f t="shared" si="4"/>
        <v>0</v>
      </c>
      <c r="W143" s="156">
        <f t="shared" si="4"/>
        <v>0</v>
      </c>
      <c r="X143" s="156">
        <f t="shared" si="4"/>
        <v>0</v>
      </c>
      <c r="Y143" s="155" t="str">
        <f t="shared" si="13"/>
        <v/>
      </c>
      <c r="Z143" s="156">
        <f t="shared" si="27"/>
        <v>8</v>
      </c>
      <c r="AA143" s="156">
        <f t="shared" si="5"/>
        <v>5</v>
      </c>
      <c r="AB143" s="156">
        <f t="shared" si="5"/>
        <v>2</v>
      </c>
      <c r="AC143" s="156">
        <f t="shared" si="5"/>
        <v>34</v>
      </c>
      <c r="AD143" s="155">
        <f t="shared" si="14"/>
        <v>2.9411764705882353E-2</v>
      </c>
      <c r="AE143" s="156">
        <f t="shared" si="23"/>
        <v>27</v>
      </c>
      <c r="AF143" s="156">
        <f t="shared" si="6"/>
        <v>5</v>
      </c>
      <c r="AG143" s="156">
        <f t="shared" si="6"/>
        <v>6</v>
      </c>
      <c r="AH143" s="156">
        <f t="shared" si="6"/>
        <v>55</v>
      </c>
      <c r="AI143" s="155">
        <f t="shared" si="15"/>
        <v>0.29090909090909089</v>
      </c>
      <c r="AJ143" s="156">
        <f t="shared" si="28"/>
        <v>10</v>
      </c>
      <c r="AK143" s="156">
        <f t="shared" si="7"/>
        <v>3</v>
      </c>
      <c r="AL143" s="156">
        <f t="shared" si="7"/>
        <v>2</v>
      </c>
      <c r="AM143" s="156">
        <f t="shared" si="7"/>
        <v>22</v>
      </c>
      <c r="AN143" s="155">
        <f t="shared" si="16"/>
        <v>0.22727272727272727</v>
      </c>
      <c r="AO143" s="156">
        <f t="shared" si="29"/>
        <v>8</v>
      </c>
      <c r="AP143" s="156">
        <f t="shared" si="8"/>
        <v>0</v>
      </c>
      <c r="AQ143" s="156">
        <f t="shared" si="8"/>
        <v>1</v>
      </c>
      <c r="AR143" s="156">
        <f t="shared" si="8"/>
        <v>12</v>
      </c>
      <c r="AS143" s="155">
        <f t="shared" si="17"/>
        <v>0.58333333333333337</v>
      </c>
      <c r="AT143" s="156">
        <f t="shared" si="30"/>
        <v>3</v>
      </c>
      <c r="AU143" s="156">
        <f t="shared" si="9"/>
        <v>1</v>
      </c>
      <c r="AV143" s="156">
        <f t="shared" si="9"/>
        <v>0</v>
      </c>
      <c r="AW143" s="156">
        <f t="shared" si="9"/>
        <v>4</v>
      </c>
      <c r="AX143" s="155">
        <f t="shared" si="18"/>
        <v>0.5</v>
      </c>
      <c r="AY143" s="156">
        <f t="shared" si="31"/>
        <v>15</v>
      </c>
      <c r="AZ143" s="156">
        <f t="shared" si="10"/>
        <v>6</v>
      </c>
      <c r="BA143" s="156">
        <f t="shared" si="10"/>
        <v>5</v>
      </c>
      <c r="BB143" s="156">
        <f t="shared" si="10"/>
        <v>52</v>
      </c>
      <c r="BC143" s="155">
        <f t="shared" si="19"/>
        <v>7.6923076923076927E-2</v>
      </c>
    </row>
    <row r="144" spans="1:55" x14ac:dyDescent="0.3">
      <c r="A144" s="151" t="str">
        <f t="shared" si="20"/>
        <v>19 Diaz Bolli S.</v>
      </c>
      <c r="B144" s="154">
        <f t="shared" si="20"/>
        <v>0</v>
      </c>
      <c r="C144" s="154">
        <f t="shared" si="20"/>
        <v>2</v>
      </c>
      <c r="D144" s="154">
        <f t="shared" si="20"/>
        <v>0</v>
      </c>
      <c r="E144" s="154">
        <f t="shared" si="20"/>
        <v>0</v>
      </c>
      <c r="F144" s="154">
        <f t="shared" si="20"/>
        <v>12</v>
      </c>
      <c r="G144" s="155">
        <f t="shared" si="21"/>
        <v>4.1666666666666664E-2</v>
      </c>
      <c r="H144" s="156">
        <f t="shared" si="24"/>
        <v>0</v>
      </c>
      <c r="I144" s="156">
        <f t="shared" si="24"/>
        <v>0</v>
      </c>
      <c r="J144" s="156">
        <f t="shared" si="24"/>
        <v>0</v>
      </c>
      <c r="K144" s="156">
        <f t="shared" si="24"/>
        <v>0</v>
      </c>
      <c r="L144" s="156">
        <f t="shared" si="24"/>
        <v>0</v>
      </c>
      <c r="M144" s="155" t="str">
        <f t="shared" si="22"/>
        <v/>
      </c>
      <c r="N144" s="156">
        <f t="shared" ref="N144:O144" si="32">L163</f>
        <v>0</v>
      </c>
      <c r="O144" s="156">
        <f t="shared" si="32"/>
        <v>0</v>
      </c>
      <c r="P144" s="155" t="str">
        <f t="shared" si="11"/>
        <v/>
      </c>
      <c r="Q144" s="156">
        <f t="shared" si="25"/>
        <v>0</v>
      </c>
      <c r="R144" s="156">
        <f t="shared" si="25"/>
        <v>0</v>
      </c>
      <c r="S144" s="156">
        <f t="shared" si="25"/>
        <v>0</v>
      </c>
      <c r="T144" s="155" t="str">
        <f t="shared" si="12"/>
        <v/>
      </c>
      <c r="U144" s="156">
        <f t="shared" si="26"/>
        <v>0</v>
      </c>
      <c r="V144" s="156">
        <f t="shared" si="26"/>
        <v>0</v>
      </c>
      <c r="W144" s="156">
        <f t="shared" si="26"/>
        <v>0</v>
      </c>
      <c r="X144" s="156">
        <f t="shared" si="26"/>
        <v>0</v>
      </c>
      <c r="Y144" s="155" t="str">
        <f t="shared" si="13"/>
        <v/>
      </c>
      <c r="Z144" s="156">
        <f t="shared" si="27"/>
        <v>0</v>
      </c>
      <c r="AA144" s="156">
        <f t="shared" si="27"/>
        <v>0</v>
      </c>
      <c r="AB144" s="156">
        <f t="shared" si="27"/>
        <v>0</v>
      </c>
      <c r="AC144" s="156">
        <f t="shared" si="27"/>
        <v>0</v>
      </c>
      <c r="AD144" s="155" t="str">
        <f t="shared" si="14"/>
        <v/>
      </c>
      <c r="AE144" s="156">
        <f t="shared" si="23"/>
        <v>0</v>
      </c>
      <c r="AF144" s="156">
        <f t="shared" si="23"/>
        <v>0</v>
      </c>
      <c r="AG144" s="156">
        <f t="shared" si="23"/>
        <v>0</v>
      </c>
      <c r="AH144" s="156">
        <f t="shared" si="23"/>
        <v>0</v>
      </c>
      <c r="AI144" s="155" t="str">
        <f t="shared" si="15"/>
        <v/>
      </c>
      <c r="AJ144" s="156">
        <f t="shared" si="28"/>
        <v>0</v>
      </c>
      <c r="AK144" s="156">
        <f t="shared" si="28"/>
        <v>0</v>
      </c>
      <c r="AL144" s="156">
        <f t="shared" si="28"/>
        <v>0</v>
      </c>
      <c r="AM144" s="156">
        <f t="shared" si="28"/>
        <v>0</v>
      </c>
      <c r="AN144" s="155" t="str">
        <f t="shared" si="16"/>
        <v/>
      </c>
      <c r="AO144" s="156">
        <f t="shared" si="29"/>
        <v>0</v>
      </c>
      <c r="AP144" s="156">
        <f t="shared" si="29"/>
        <v>0</v>
      </c>
      <c r="AQ144" s="156">
        <f t="shared" si="29"/>
        <v>0</v>
      </c>
      <c r="AR144" s="156">
        <f t="shared" si="29"/>
        <v>0</v>
      </c>
      <c r="AS144" s="155" t="str">
        <f t="shared" si="17"/>
        <v/>
      </c>
      <c r="AT144" s="156">
        <f t="shared" si="30"/>
        <v>0</v>
      </c>
      <c r="AU144" s="156">
        <f t="shared" si="30"/>
        <v>0</v>
      </c>
      <c r="AV144" s="156">
        <f t="shared" si="30"/>
        <v>0</v>
      </c>
      <c r="AW144" s="156">
        <f t="shared" si="30"/>
        <v>0</v>
      </c>
      <c r="AX144" s="155" t="str">
        <f t="shared" si="18"/>
        <v/>
      </c>
      <c r="AY144" s="156">
        <f t="shared" si="31"/>
        <v>0</v>
      </c>
      <c r="AZ144" s="156">
        <f t="shared" si="31"/>
        <v>0</v>
      </c>
      <c r="BA144" s="156">
        <f t="shared" si="31"/>
        <v>0</v>
      </c>
      <c r="BB144" s="156">
        <f t="shared" si="31"/>
        <v>0</v>
      </c>
      <c r="BC144" s="155" t="str">
        <f t="shared" si="19"/>
        <v/>
      </c>
    </row>
    <row r="146" spans="1:44" x14ac:dyDescent="0.3">
      <c r="A146" s="179" t="s">
        <v>282</v>
      </c>
      <c r="B146" s="179"/>
      <c r="C146" s="179"/>
      <c r="D146" s="179"/>
      <c r="E146" s="179"/>
      <c r="F146" s="179"/>
      <c r="G146" s="179"/>
      <c r="H146" s="179"/>
      <c r="I146" s="179"/>
      <c r="J146" s="179"/>
      <c r="K146" s="179"/>
    </row>
    <row r="147" spans="1:44" x14ac:dyDescent="0.3">
      <c r="A147" s="157"/>
      <c r="B147" s="158" t="s">
        <v>283</v>
      </c>
      <c r="C147" s="158" t="s">
        <v>284</v>
      </c>
      <c r="D147" s="158" t="s">
        <v>285</v>
      </c>
      <c r="E147" s="158" t="s">
        <v>286</v>
      </c>
      <c r="F147" s="158" t="s">
        <v>287</v>
      </c>
      <c r="G147" s="159" t="s">
        <v>37</v>
      </c>
      <c r="H147" s="159" t="s">
        <v>38</v>
      </c>
      <c r="I147" s="159" t="s">
        <v>288</v>
      </c>
      <c r="J147" s="159" t="s">
        <v>289</v>
      </c>
      <c r="K147" s="159" t="s">
        <v>290</v>
      </c>
      <c r="L147" s="158" t="s">
        <v>291</v>
      </c>
      <c r="M147" s="158" t="s">
        <v>292</v>
      </c>
      <c r="N147" s="158" t="s">
        <v>293</v>
      </c>
      <c r="O147" s="158" t="s">
        <v>294</v>
      </c>
      <c r="P147" s="158" t="s">
        <v>295</v>
      </c>
      <c r="Q147" s="160" t="s">
        <v>296</v>
      </c>
      <c r="R147" s="159" t="s">
        <v>297</v>
      </c>
      <c r="S147" s="159" t="s">
        <v>298</v>
      </c>
      <c r="T147" s="159" t="s">
        <v>299</v>
      </c>
      <c r="U147" s="161" t="s">
        <v>300</v>
      </c>
      <c r="V147" s="158" t="s">
        <v>301</v>
      </c>
      <c r="W147" s="158" t="s">
        <v>302</v>
      </c>
      <c r="X147" s="158" t="s">
        <v>303</v>
      </c>
      <c r="Y147" s="160" t="s">
        <v>304</v>
      </c>
      <c r="Z147" s="159" t="s">
        <v>305</v>
      </c>
      <c r="AA147" s="159" t="s">
        <v>306</v>
      </c>
      <c r="AB147" s="159" t="s">
        <v>307</v>
      </c>
      <c r="AC147" s="158" t="s">
        <v>308</v>
      </c>
      <c r="AD147" s="158" t="s">
        <v>309</v>
      </c>
      <c r="AE147" s="158" t="s">
        <v>310</v>
      </c>
      <c r="AF147" s="158" t="s">
        <v>311</v>
      </c>
      <c r="AG147" s="159" t="s">
        <v>312</v>
      </c>
      <c r="AH147" s="159" t="s">
        <v>313</v>
      </c>
      <c r="AI147" s="159" t="s">
        <v>314</v>
      </c>
      <c r="AJ147" s="159" t="s">
        <v>315</v>
      </c>
      <c r="AK147" s="158" t="s">
        <v>316</v>
      </c>
      <c r="AL147" s="158" t="s">
        <v>317</v>
      </c>
      <c r="AM147" s="158" t="s">
        <v>318</v>
      </c>
      <c r="AN147" s="158" t="s">
        <v>319</v>
      </c>
      <c r="AO147" s="159" t="s">
        <v>320</v>
      </c>
      <c r="AP147" s="159" t="s">
        <v>321</v>
      </c>
      <c r="AQ147" s="159" t="s">
        <v>322</v>
      </c>
      <c r="AR147" s="159" t="s">
        <v>323</v>
      </c>
    </row>
    <row r="148" spans="1:44" x14ac:dyDescent="0.3">
      <c r="A148" s="162" t="s">
        <v>248</v>
      </c>
      <c r="B148" s="45">
        <v>25</v>
      </c>
      <c r="C148" s="45">
        <v>64</v>
      </c>
      <c r="D148" s="45">
        <v>21</v>
      </c>
      <c r="E148" s="45">
        <v>89</v>
      </c>
      <c r="F148" s="163">
        <v>657</v>
      </c>
      <c r="G148" s="45">
        <v>138</v>
      </c>
      <c r="H148" s="45">
        <v>167</v>
      </c>
      <c r="I148" s="45">
        <v>22</v>
      </c>
      <c r="J148" s="45">
        <v>29</v>
      </c>
      <c r="K148" s="164">
        <v>544</v>
      </c>
      <c r="L148" s="45">
        <v>78</v>
      </c>
      <c r="M148" s="45">
        <v>105</v>
      </c>
      <c r="N148" s="45">
        <v>130</v>
      </c>
      <c r="O148" s="45">
        <v>5</v>
      </c>
      <c r="P148" s="163">
        <v>396</v>
      </c>
      <c r="Q148" s="45">
        <v>100</v>
      </c>
      <c r="R148" s="45">
        <v>6</v>
      </c>
      <c r="S148" s="45">
        <v>14</v>
      </c>
      <c r="T148" s="164">
        <v>185</v>
      </c>
      <c r="U148" s="45">
        <v>83</v>
      </c>
      <c r="V148" s="45">
        <v>22</v>
      </c>
      <c r="W148" s="45">
        <v>23</v>
      </c>
      <c r="X148" s="163">
        <v>249</v>
      </c>
      <c r="Y148" s="45">
        <v>174</v>
      </c>
      <c r="Z148" s="45">
        <v>27</v>
      </c>
      <c r="AA148" s="45">
        <v>34</v>
      </c>
      <c r="AB148" s="164">
        <v>389</v>
      </c>
      <c r="AC148" s="45">
        <v>154</v>
      </c>
      <c r="AD148" s="45">
        <v>15</v>
      </c>
      <c r="AE148" s="45">
        <v>33</v>
      </c>
      <c r="AF148" s="163">
        <v>305</v>
      </c>
      <c r="AG148" s="45">
        <v>56</v>
      </c>
      <c r="AH148" s="45">
        <v>6</v>
      </c>
      <c r="AI148" s="45">
        <v>4</v>
      </c>
      <c r="AJ148" s="164">
        <v>110</v>
      </c>
      <c r="AK148" s="45">
        <v>24</v>
      </c>
      <c r="AL148" s="45">
        <v>8</v>
      </c>
      <c r="AM148" s="45">
        <v>4</v>
      </c>
      <c r="AN148" s="163">
        <v>72</v>
      </c>
      <c r="AO148" s="45">
        <v>151</v>
      </c>
      <c r="AP148" s="45">
        <v>29</v>
      </c>
      <c r="AQ148" s="45">
        <v>39</v>
      </c>
      <c r="AR148" s="164">
        <v>398</v>
      </c>
    </row>
    <row r="149" spans="1:44" x14ac:dyDescent="0.3">
      <c r="A149" s="165" t="s">
        <v>238</v>
      </c>
      <c r="B149" s="45">
        <v>0</v>
      </c>
      <c r="C149" s="45">
        <v>5</v>
      </c>
      <c r="D149" s="45">
        <v>0</v>
      </c>
      <c r="E149" s="45">
        <v>6</v>
      </c>
      <c r="F149" s="163">
        <v>45</v>
      </c>
      <c r="G149" s="45">
        <v>1</v>
      </c>
      <c r="H149" s="45">
        <v>1</v>
      </c>
      <c r="I149" s="45">
        <v>1</v>
      </c>
      <c r="J149" s="45">
        <v>0</v>
      </c>
      <c r="K149" s="164">
        <v>5</v>
      </c>
      <c r="L149" s="45">
        <v>20</v>
      </c>
      <c r="M149" s="45">
        <v>18</v>
      </c>
      <c r="N149" s="45">
        <v>14</v>
      </c>
      <c r="O149" s="45">
        <v>0</v>
      </c>
      <c r="P149" s="163">
        <v>59</v>
      </c>
      <c r="Q149" s="45">
        <v>44</v>
      </c>
      <c r="R149" s="45">
        <v>2</v>
      </c>
      <c r="S149" s="45">
        <v>3</v>
      </c>
      <c r="T149" s="164">
        <v>71</v>
      </c>
      <c r="U149" s="45">
        <v>0</v>
      </c>
      <c r="V149" s="45">
        <v>0</v>
      </c>
      <c r="W149" s="45">
        <v>0</v>
      </c>
      <c r="X149" s="163">
        <v>0</v>
      </c>
      <c r="Y149" s="45">
        <v>0</v>
      </c>
      <c r="Z149" s="45">
        <v>1</v>
      </c>
      <c r="AA149" s="45">
        <v>0</v>
      </c>
      <c r="AB149" s="164">
        <v>1</v>
      </c>
      <c r="AC149" s="45">
        <v>31</v>
      </c>
      <c r="AD149" s="45">
        <v>3</v>
      </c>
      <c r="AE149" s="45">
        <v>3</v>
      </c>
      <c r="AF149" s="163">
        <v>50</v>
      </c>
      <c r="AG149" s="45">
        <v>5</v>
      </c>
      <c r="AH149" s="45">
        <v>0</v>
      </c>
      <c r="AI149" s="45">
        <v>0</v>
      </c>
      <c r="AJ149" s="164">
        <v>7</v>
      </c>
      <c r="AK149" s="45">
        <v>2</v>
      </c>
      <c r="AL149" s="45">
        <v>0</v>
      </c>
      <c r="AM149" s="45">
        <v>0</v>
      </c>
      <c r="AN149" s="163">
        <v>3</v>
      </c>
      <c r="AO149" s="45">
        <v>8</v>
      </c>
      <c r="AP149" s="45">
        <v>0</v>
      </c>
      <c r="AQ149" s="45">
        <v>1</v>
      </c>
      <c r="AR149" s="164">
        <v>16</v>
      </c>
    </row>
    <row r="150" spans="1:44" x14ac:dyDescent="0.3">
      <c r="A150" s="165" t="s">
        <v>251</v>
      </c>
      <c r="B150" s="45">
        <v>0</v>
      </c>
      <c r="C150" s="45">
        <v>0</v>
      </c>
      <c r="D150" s="45">
        <v>0</v>
      </c>
      <c r="E150" s="45">
        <v>1</v>
      </c>
      <c r="F150" s="163">
        <v>6</v>
      </c>
      <c r="G150" s="45">
        <v>8</v>
      </c>
      <c r="H150" s="45">
        <v>16</v>
      </c>
      <c r="I150" s="45">
        <v>6</v>
      </c>
      <c r="J150" s="45">
        <v>4</v>
      </c>
      <c r="K150" s="164">
        <v>67</v>
      </c>
      <c r="L150" s="45">
        <v>0</v>
      </c>
      <c r="M150" s="45">
        <v>0</v>
      </c>
      <c r="N150" s="45">
        <v>0</v>
      </c>
      <c r="O150" s="45">
        <v>0</v>
      </c>
      <c r="P150" s="163">
        <v>0</v>
      </c>
      <c r="Q150" s="45">
        <v>0</v>
      </c>
      <c r="R150" s="45">
        <v>0</v>
      </c>
      <c r="S150" s="45">
        <v>0</v>
      </c>
      <c r="T150" s="164">
        <v>0</v>
      </c>
      <c r="U150" s="45">
        <v>0</v>
      </c>
      <c r="V150" s="45">
        <v>0</v>
      </c>
      <c r="W150" s="45">
        <v>0</v>
      </c>
      <c r="X150" s="163">
        <v>0</v>
      </c>
      <c r="Y150" s="45">
        <v>0</v>
      </c>
      <c r="Z150" s="45">
        <v>0</v>
      </c>
      <c r="AA150" s="45">
        <v>0</v>
      </c>
      <c r="AB150" s="164">
        <v>0</v>
      </c>
      <c r="AC150" s="45">
        <v>0</v>
      </c>
      <c r="AD150" s="45">
        <v>0</v>
      </c>
      <c r="AE150" s="45">
        <v>0</v>
      </c>
      <c r="AF150" s="163">
        <v>0</v>
      </c>
      <c r="AG150" s="45">
        <v>0</v>
      </c>
      <c r="AH150" s="45">
        <v>0</v>
      </c>
      <c r="AI150" s="45">
        <v>0</v>
      </c>
      <c r="AJ150" s="164">
        <v>0</v>
      </c>
      <c r="AK150" s="45">
        <v>0</v>
      </c>
      <c r="AL150" s="45">
        <v>0</v>
      </c>
      <c r="AM150" s="45">
        <v>0</v>
      </c>
      <c r="AN150" s="163">
        <v>0</v>
      </c>
      <c r="AO150" s="45">
        <v>0</v>
      </c>
      <c r="AP150" s="45">
        <v>0</v>
      </c>
      <c r="AQ150" s="45">
        <v>0</v>
      </c>
      <c r="AR150" s="164">
        <v>0</v>
      </c>
    </row>
    <row r="151" spans="1:44" x14ac:dyDescent="0.3">
      <c r="A151" s="165" t="s">
        <v>245</v>
      </c>
      <c r="B151" s="45">
        <v>6</v>
      </c>
      <c r="C151" s="45">
        <v>9</v>
      </c>
      <c r="D151" s="45">
        <v>4</v>
      </c>
      <c r="E151" s="45">
        <v>4</v>
      </c>
      <c r="F151" s="163">
        <v>96</v>
      </c>
      <c r="G151" s="45">
        <v>0</v>
      </c>
      <c r="H151" s="45">
        <v>0</v>
      </c>
      <c r="I151" s="45">
        <v>0</v>
      </c>
      <c r="J151" s="45">
        <v>1</v>
      </c>
      <c r="K151" s="164">
        <v>3</v>
      </c>
      <c r="L151" s="45">
        <v>3</v>
      </c>
      <c r="M151" s="45">
        <v>13</v>
      </c>
      <c r="N151" s="45">
        <v>11</v>
      </c>
      <c r="O151" s="45">
        <v>1</v>
      </c>
      <c r="P151" s="163">
        <v>32</v>
      </c>
      <c r="Q151" s="45">
        <v>0</v>
      </c>
      <c r="R151" s="45">
        <v>0</v>
      </c>
      <c r="S151" s="45">
        <v>0</v>
      </c>
      <c r="T151" s="164">
        <v>0</v>
      </c>
      <c r="U151" s="45">
        <v>0</v>
      </c>
      <c r="V151" s="45">
        <v>0</v>
      </c>
      <c r="W151" s="45">
        <v>0</v>
      </c>
      <c r="X151" s="163">
        <v>3</v>
      </c>
      <c r="Y151" s="45">
        <v>0</v>
      </c>
      <c r="Z151" s="45">
        <v>0</v>
      </c>
      <c r="AA151" s="45">
        <v>0</v>
      </c>
      <c r="AB151" s="164">
        <v>0</v>
      </c>
      <c r="AC151" s="45">
        <v>0</v>
      </c>
      <c r="AD151" s="45">
        <v>0</v>
      </c>
      <c r="AE151" s="45">
        <v>0</v>
      </c>
      <c r="AF151" s="163">
        <v>1</v>
      </c>
      <c r="AG151" s="45">
        <v>0</v>
      </c>
      <c r="AH151" s="45">
        <v>0</v>
      </c>
      <c r="AI151" s="45">
        <v>0</v>
      </c>
      <c r="AJ151" s="164">
        <v>2</v>
      </c>
      <c r="AK151" s="45">
        <v>0</v>
      </c>
      <c r="AL151" s="45">
        <v>0</v>
      </c>
      <c r="AM151" s="45">
        <v>0</v>
      </c>
      <c r="AN151" s="163">
        <v>2</v>
      </c>
      <c r="AO151" s="45">
        <v>6</v>
      </c>
      <c r="AP151" s="45">
        <v>2</v>
      </c>
      <c r="AQ151" s="45">
        <v>0</v>
      </c>
      <c r="AR151" s="164">
        <v>12</v>
      </c>
    </row>
    <row r="152" spans="1:44" x14ac:dyDescent="0.3">
      <c r="A152" s="165" t="s">
        <v>235</v>
      </c>
      <c r="B152" s="45">
        <v>4</v>
      </c>
      <c r="C152" s="45">
        <v>7</v>
      </c>
      <c r="D152" s="45">
        <v>2</v>
      </c>
      <c r="E152" s="45">
        <v>24</v>
      </c>
      <c r="F152" s="163">
        <v>57</v>
      </c>
      <c r="G152" s="45">
        <v>0</v>
      </c>
      <c r="H152" s="45">
        <v>1</v>
      </c>
      <c r="I152" s="45">
        <v>0</v>
      </c>
      <c r="J152" s="45">
        <v>0</v>
      </c>
      <c r="K152" s="164">
        <v>2</v>
      </c>
      <c r="L152" s="45">
        <v>9</v>
      </c>
      <c r="M152" s="45">
        <v>11</v>
      </c>
      <c r="N152" s="45">
        <v>21</v>
      </c>
      <c r="O152" s="45">
        <v>1</v>
      </c>
      <c r="P152" s="163">
        <v>54</v>
      </c>
      <c r="Q152" s="45">
        <v>0</v>
      </c>
      <c r="R152" s="45">
        <v>0</v>
      </c>
      <c r="S152" s="45">
        <v>0</v>
      </c>
      <c r="T152" s="164">
        <v>0</v>
      </c>
      <c r="U152" s="45">
        <v>28</v>
      </c>
      <c r="V152" s="45">
        <v>7</v>
      </c>
      <c r="W152" s="45">
        <v>4</v>
      </c>
      <c r="X152" s="163">
        <v>61</v>
      </c>
      <c r="Y152" s="45">
        <v>39</v>
      </c>
      <c r="Z152" s="45">
        <v>7</v>
      </c>
      <c r="AA152" s="45">
        <v>9</v>
      </c>
      <c r="AB152" s="164">
        <v>87</v>
      </c>
      <c r="AC152" s="45">
        <v>19</v>
      </c>
      <c r="AD152" s="45">
        <v>2</v>
      </c>
      <c r="AE152" s="45">
        <v>4</v>
      </c>
      <c r="AF152" s="163">
        <v>40</v>
      </c>
      <c r="AG152" s="45">
        <v>10</v>
      </c>
      <c r="AH152" s="45">
        <v>3</v>
      </c>
      <c r="AI152" s="45">
        <v>3</v>
      </c>
      <c r="AJ152" s="164">
        <v>27</v>
      </c>
      <c r="AK152" s="45">
        <v>7</v>
      </c>
      <c r="AL152" s="45">
        <v>3</v>
      </c>
      <c r="AM152" s="45">
        <v>0</v>
      </c>
      <c r="AN152" s="163">
        <v>19</v>
      </c>
      <c r="AO152" s="45">
        <v>33</v>
      </c>
      <c r="AP152" s="45">
        <v>6</v>
      </c>
      <c r="AQ152" s="45">
        <v>6</v>
      </c>
      <c r="AR152" s="164">
        <v>65</v>
      </c>
    </row>
    <row r="153" spans="1:44" x14ac:dyDescent="0.3">
      <c r="A153" s="165" t="s">
        <v>241</v>
      </c>
      <c r="B153" s="45">
        <v>0</v>
      </c>
      <c r="C153" s="45">
        <v>1</v>
      </c>
      <c r="D153" s="45">
        <v>0</v>
      </c>
      <c r="E153" s="45">
        <v>2</v>
      </c>
      <c r="F153" s="163">
        <v>7</v>
      </c>
      <c r="G153" s="45">
        <v>2</v>
      </c>
      <c r="H153" s="45">
        <v>2</v>
      </c>
      <c r="I153" s="45">
        <v>0</v>
      </c>
      <c r="J153" s="45">
        <v>0</v>
      </c>
      <c r="K153" s="164">
        <v>5</v>
      </c>
      <c r="L153" s="45">
        <v>0</v>
      </c>
      <c r="M153" s="45">
        <v>1</v>
      </c>
      <c r="N153" s="45">
        <v>0</v>
      </c>
      <c r="O153" s="45">
        <v>0</v>
      </c>
      <c r="P153" s="163">
        <v>1</v>
      </c>
      <c r="Q153" s="45">
        <v>0</v>
      </c>
      <c r="R153" s="45">
        <v>0</v>
      </c>
      <c r="S153" s="45">
        <v>0</v>
      </c>
      <c r="T153" s="164">
        <v>0</v>
      </c>
      <c r="U153" s="45">
        <v>0</v>
      </c>
      <c r="V153" s="45">
        <v>0</v>
      </c>
      <c r="W153" s="45">
        <v>0</v>
      </c>
      <c r="X153" s="163">
        <v>0</v>
      </c>
      <c r="Y153" s="45">
        <v>1</v>
      </c>
      <c r="Z153" s="45">
        <v>2</v>
      </c>
      <c r="AA153" s="45">
        <v>1</v>
      </c>
      <c r="AB153" s="164">
        <v>7</v>
      </c>
      <c r="AC153" s="45">
        <v>0</v>
      </c>
      <c r="AD153" s="45">
        <v>0</v>
      </c>
      <c r="AE153" s="45">
        <v>0</v>
      </c>
      <c r="AF153" s="163">
        <v>2</v>
      </c>
      <c r="AG153" s="45">
        <v>0</v>
      </c>
      <c r="AH153" s="45">
        <v>0</v>
      </c>
      <c r="AI153" s="45">
        <v>0</v>
      </c>
      <c r="AJ153" s="164">
        <v>1</v>
      </c>
      <c r="AK153" s="45">
        <v>0</v>
      </c>
      <c r="AL153" s="45">
        <v>0</v>
      </c>
      <c r="AM153" s="45">
        <v>0</v>
      </c>
      <c r="AN153" s="163">
        <v>0</v>
      </c>
      <c r="AO153" s="45">
        <v>1</v>
      </c>
      <c r="AP153" s="45">
        <v>2</v>
      </c>
      <c r="AQ153" s="45">
        <v>1</v>
      </c>
      <c r="AR153" s="164">
        <v>4</v>
      </c>
    </row>
    <row r="154" spans="1:44" x14ac:dyDescent="0.3">
      <c r="A154" s="165" t="s">
        <v>244</v>
      </c>
      <c r="B154" s="45">
        <v>2</v>
      </c>
      <c r="C154" s="45">
        <v>6</v>
      </c>
      <c r="D154" s="45">
        <v>1</v>
      </c>
      <c r="E154" s="45">
        <v>3</v>
      </c>
      <c r="F154" s="163">
        <v>51</v>
      </c>
      <c r="G154" s="45">
        <v>0</v>
      </c>
      <c r="H154" s="45">
        <v>0</v>
      </c>
      <c r="I154" s="45">
        <v>0</v>
      </c>
      <c r="J154" s="45">
        <v>0</v>
      </c>
      <c r="K154" s="164">
        <v>4</v>
      </c>
      <c r="L154" s="45">
        <v>2</v>
      </c>
      <c r="M154" s="45">
        <v>9</v>
      </c>
      <c r="N154" s="45">
        <v>4</v>
      </c>
      <c r="O154" s="45">
        <v>2</v>
      </c>
      <c r="P154" s="163">
        <v>26</v>
      </c>
      <c r="Q154" s="45">
        <v>0</v>
      </c>
      <c r="R154" s="45">
        <v>0</v>
      </c>
      <c r="S154" s="45">
        <v>0</v>
      </c>
      <c r="T154" s="164">
        <v>0</v>
      </c>
      <c r="U154" s="45">
        <v>0</v>
      </c>
      <c r="V154" s="45">
        <v>0</v>
      </c>
      <c r="W154" s="45">
        <v>0</v>
      </c>
      <c r="X154" s="163">
        <v>0</v>
      </c>
      <c r="Y154" s="45">
        <v>0</v>
      </c>
      <c r="Z154" s="45">
        <v>0</v>
      </c>
      <c r="AA154" s="45">
        <v>0</v>
      </c>
      <c r="AB154" s="164">
        <v>0</v>
      </c>
      <c r="AC154" s="45">
        <v>1</v>
      </c>
      <c r="AD154" s="45">
        <v>0</v>
      </c>
      <c r="AE154" s="45">
        <v>0</v>
      </c>
      <c r="AF154" s="163">
        <v>1</v>
      </c>
      <c r="AG154" s="45">
        <v>0</v>
      </c>
      <c r="AH154" s="45">
        <v>1</v>
      </c>
      <c r="AI154" s="45">
        <v>0</v>
      </c>
      <c r="AJ154" s="164">
        <v>1</v>
      </c>
      <c r="AK154" s="45">
        <v>0</v>
      </c>
      <c r="AL154" s="45">
        <v>0</v>
      </c>
      <c r="AM154" s="45">
        <v>0</v>
      </c>
      <c r="AN154" s="163">
        <v>0</v>
      </c>
      <c r="AO154" s="45">
        <v>1</v>
      </c>
      <c r="AP154" s="45">
        <v>0</v>
      </c>
      <c r="AQ154" s="45">
        <v>1</v>
      </c>
      <c r="AR154" s="164">
        <v>3</v>
      </c>
    </row>
    <row r="155" spans="1:44" x14ac:dyDescent="0.3">
      <c r="A155" s="165" t="s">
        <v>246</v>
      </c>
      <c r="B155" s="45">
        <v>0</v>
      </c>
      <c r="C155" s="45">
        <v>0</v>
      </c>
      <c r="D155" s="45">
        <v>0</v>
      </c>
      <c r="E155" s="45">
        <v>0</v>
      </c>
      <c r="F155" s="163">
        <v>0</v>
      </c>
      <c r="G155" s="45">
        <v>0</v>
      </c>
      <c r="H155" s="45">
        <v>0</v>
      </c>
      <c r="I155" s="45">
        <v>0</v>
      </c>
      <c r="J155" s="45">
        <v>0</v>
      </c>
      <c r="K155" s="164">
        <v>0</v>
      </c>
      <c r="L155" s="45">
        <v>0</v>
      </c>
      <c r="M155" s="45">
        <v>0</v>
      </c>
      <c r="N155" s="45">
        <v>0</v>
      </c>
      <c r="O155" s="45">
        <v>0</v>
      </c>
      <c r="P155" s="163">
        <v>0</v>
      </c>
      <c r="Q155" s="45">
        <v>0</v>
      </c>
      <c r="R155" s="45">
        <v>0</v>
      </c>
      <c r="S155" s="45">
        <v>0</v>
      </c>
      <c r="T155" s="164">
        <v>0</v>
      </c>
      <c r="U155" s="45">
        <v>0</v>
      </c>
      <c r="V155" s="45">
        <v>0</v>
      </c>
      <c r="W155" s="45">
        <v>0</v>
      </c>
      <c r="X155" s="163">
        <v>0</v>
      </c>
      <c r="Y155" s="45">
        <v>0</v>
      </c>
      <c r="Z155" s="45">
        <v>0</v>
      </c>
      <c r="AA155" s="45">
        <v>0</v>
      </c>
      <c r="AB155" s="164">
        <v>0</v>
      </c>
      <c r="AC155" s="45">
        <v>0</v>
      </c>
      <c r="AD155" s="45">
        <v>0</v>
      </c>
      <c r="AE155" s="45">
        <v>0</v>
      </c>
      <c r="AF155" s="163">
        <v>0</v>
      </c>
      <c r="AG155" s="45">
        <v>0</v>
      </c>
      <c r="AH155" s="45">
        <v>0</v>
      </c>
      <c r="AI155" s="45">
        <v>0</v>
      </c>
      <c r="AJ155" s="164">
        <v>0</v>
      </c>
      <c r="AK155" s="45">
        <v>0</v>
      </c>
      <c r="AL155" s="45">
        <v>0</v>
      </c>
      <c r="AM155" s="45">
        <v>0</v>
      </c>
      <c r="AN155" s="163">
        <v>0</v>
      </c>
      <c r="AO155" s="45">
        <v>0</v>
      </c>
      <c r="AP155" s="45">
        <v>0</v>
      </c>
      <c r="AQ155" s="45">
        <v>0</v>
      </c>
      <c r="AR155" s="164">
        <v>0</v>
      </c>
    </row>
    <row r="156" spans="1:44" x14ac:dyDescent="0.3">
      <c r="A156" s="165" t="s">
        <v>240</v>
      </c>
      <c r="B156" s="45">
        <v>4</v>
      </c>
      <c r="C156" s="45">
        <v>6</v>
      </c>
      <c r="D156" s="45">
        <v>3</v>
      </c>
      <c r="E156" s="45">
        <v>22</v>
      </c>
      <c r="F156" s="163">
        <v>91</v>
      </c>
      <c r="G156" s="45">
        <v>39</v>
      </c>
      <c r="H156" s="45">
        <v>53</v>
      </c>
      <c r="I156" s="45">
        <v>7</v>
      </c>
      <c r="J156" s="45">
        <v>6</v>
      </c>
      <c r="K156" s="164">
        <v>152</v>
      </c>
      <c r="L156" s="45">
        <v>6</v>
      </c>
      <c r="M156" s="45">
        <v>11</v>
      </c>
      <c r="N156" s="45">
        <v>18</v>
      </c>
      <c r="O156" s="45">
        <v>1</v>
      </c>
      <c r="P156" s="163">
        <v>46</v>
      </c>
      <c r="Q156" s="45">
        <v>0</v>
      </c>
      <c r="R156" s="45">
        <v>0</v>
      </c>
      <c r="S156" s="45">
        <v>0</v>
      </c>
      <c r="T156" s="164">
        <v>0</v>
      </c>
      <c r="U156" s="45">
        <v>22</v>
      </c>
      <c r="V156" s="45">
        <v>6</v>
      </c>
      <c r="W156" s="45">
        <v>9</v>
      </c>
      <c r="X156" s="163">
        <v>69</v>
      </c>
      <c r="Y156" s="45">
        <v>55</v>
      </c>
      <c r="Z156" s="45">
        <v>5</v>
      </c>
      <c r="AA156" s="45">
        <v>11</v>
      </c>
      <c r="AB156" s="164">
        <v>116</v>
      </c>
      <c r="AC156" s="45">
        <v>36</v>
      </c>
      <c r="AD156" s="45">
        <v>1</v>
      </c>
      <c r="AE156" s="45">
        <v>10</v>
      </c>
      <c r="AF156" s="163">
        <v>69</v>
      </c>
      <c r="AG156" s="45">
        <v>12</v>
      </c>
      <c r="AH156" s="45">
        <v>0</v>
      </c>
      <c r="AI156" s="45">
        <v>0</v>
      </c>
      <c r="AJ156" s="164">
        <v>17</v>
      </c>
      <c r="AK156" s="45">
        <v>5</v>
      </c>
      <c r="AL156" s="45">
        <v>2</v>
      </c>
      <c r="AM156" s="45">
        <v>2</v>
      </c>
      <c r="AN156" s="163">
        <v>21</v>
      </c>
      <c r="AO156" s="45">
        <v>37</v>
      </c>
      <c r="AP156" s="45">
        <v>8</v>
      </c>
      <c r="AQ156" s="45">
        <v>14</v>
      </c>
      <c r="AR156" s="164">
        <v>105</v>
      </c>
    </row>
    <row r="157" spans="1:44" x14ac:dyDescent="0.3">
      <c r="A157" s="165" t="s">
        <v>250</v>
      </c>
      <c r="B157" s="45">
        <v>0</v>
      </c>
      <c r="C157" s="45">
        <v>0</v>
      </c>
      <c r="D157" s="45">
        <v>0</v>
      </c>
      <c r="E157" s="45">
        <v>0</v>
      </c>
      <c r="F157" s="163">
        <v>0</v>
      </c>
      <c r="G157" s="45">
        <v>39</v>
      </c>
      <c r="H157" s="45">
        <v>39</v>
      </c>
      <c r="I157" s="45">
        <v>4</v>
      </c>
      <c r="J157" s="45">
        <v>9</v>
      </c>
      <c r="K157" s="164">
        <v>139</v>
      </c>
      <c r="L157" s="45">
        <v>0</v>
      </c>
      <c r="M157" s="45">
        <v>0</v>
      </c>
      <c r="N157" s="45">
        <v>0</v>
      </c>
      <c r="O157" s="45">
        <v>0</v>
      </c>
      <c r="P157" s="163">
        <v>0</v>
      </c>
      <c r="Q157" s="45">
        <v>0</v>
      </c>
      <c r="R157" s="45">
        <v>0</v>
      </c>
      <c r="S157" s="45">
        <v>0</v>
      </c>
      <c r="T157" s="164">
        <v>0</v>
      </c>
      <c r="U157" s="45">
        <v>0</v>
      </c>
      <c r="V157" s="45">
        <v>0</v>
      </c>
      <c r="W157" s="45">
        <v>0</v>
      </c>
      <c r="X157" s="163">
        <v>0</v>
      </c>
      <c r="Y157" s="45">
        <v>0</v>
      </c>
      <c r="Z157" s="45">
        <v>0</v>
      </c>
      <c r="AA157" s="45">
        <v>0</v>
      </c>
      <c r="AB157" s="164">
        <v>0</v>
      </c>
      <c r="AC157" s="45">
        <v>0</v>
      </c>
      <c r="AD157" s="45">
        <v>0</v>
      </c>
      <c r="AE157" s="45">
        <v>0</v>
      </c>
      <c r="AF157" s="163">
        <v>0</v>
      </c>
      <c r="AG157" s="45">
        <v>0</v>
      </c>
      <c r="AH157" s="45">
        <v>0</v>
      </c>
      <c r="AI157" s="45">
        <v>0</v>
      </c>
      <c r="AJ157" s="164">
        <v>0</v>
      </c>
      <c r="AK157" s="45">
        <v>0</v>
      </c>
      <c r="AL157" s="45">
        <v>0</v>
      </c>
      <c r="AM157" s="45">
        <v>0</v>
      </c>
      <c r="AN157" s="163">
        <v>0</v>
      </c>
      <c r="AO157" s="45">
        <v>0</v>
      </c>
      <c r="AP157" s="45">
        <v>0</v>
      </c>
      <c r="AQ157" s="45">
        <v>0</v>
      </c>
      <c r="AR157" s="164">
        <v>0</v>
      </c>
    </row>
    <row r="158" spans="1:44" x14ac:dyDescent="0.3">
      <c r="A158" s="165" t="s">
        <v>242</v>
      </c>
      <c r="B158" s="45">
        <v>0</v>
      </c>
      <c r="C158" s="45">
        <v>0</v>
      </c>
      <c r="D158" s="45">
        <v>0</v>
      </c>
      <c r="E158" s="45">
        <v>1</v>
      </c>
      <c r="F158" s="163">
        <v>4</v>
      </c>
      <c r="G158" s="45">
        <v>1</v>
      </c>
      <c r="H158" s="45">
        <v>1</v>
      </c>
      <c r="I158" s="45">
        <v>0</v>
      </c>
      <c r="J158" s="45">
        <v>0</v>
      </c>
      <c r="K158" s="164">
        <v>4</v>
      </c>
      <c r="L158" s="45">
        <v>0</v>
      </c>
      <c r="M158" s="45">
        <v>0</v>
      </c>
      <c r="N158" s="45">
        <v>0</v>
      </c>
      <c r="O158" s="45">
        <v>0</v>
      </c>
      <c r="P158" s="163">
        <v>0</v>
      </c>
      <c r="Q158" s="45">
        <v>0</v>
      </c>
      <c r="R158" s="45">
        <v>0</v>
      </c>
      <c r="S158" s="45">
        <v>0</v>
      </c>
      <c r="T158" s="164">
        <v>0</v>
      </c>
      <c r="U158" s="45">
        <v>0</v>
      </c>
      <c r="V158" s="45">
        <v>0</v>
      </c>
      <c r="W158" s="45">
        <v>0</v>
      </c>
      <c r="X158" s="163">
        <v>0</v>
      </c>
      <c r="Y158" s="45">
        <v>0</v>
      </c>
      <c r="Z158" s="45">
        <v>0</v>
      </c>
      <c r="AA158" s="45">
        <v>0</v>
      </c>
      <c r="AB158" s="164">
        <v>0</v>
      </c>
      <c r="AC158" s="45">
        <v>0</v>
      </c>
      <c r="AD158" s="45">
        <v>0</v>
      </c>
      <c r="AE158" s="45">
        <v>0</v>
      </c>
      <c r="AF158" s="163">
        <v>0</v>
      </c>
      <c r="AG158" s="45">
        <v>0</v>
      </c>
      <c r="AH158" s="45">
        <v>0</v>
      </c>
      <c r="AI158" s="45">
        <v>0</v>
      </c>
      <c r="AJ158" s="164">
        <v>0</v>
      </c>
      <c r="AK158" s="45">
        <v>0</v>
      </c>
      <c r="AL158" s="45">
        <v>0</v>
      </c>
      <c r="AM158" s="45">
        <v>0</v>
      </c>
      <c r="AN158" s="163">
        <v>0</v>
      </c>
      <c r="AO158" s="45">
        <v>0</v>
      </c>
      <c r="AP158" s="45">
        <v>0</v>
      </c>
      <c r="AQ158" s="45">
        <v>0</v>
      </c>
      <c r="AR158" s="164">
        <v>0</v>
      </c>
    </row>
    <row r="159" spans="1:44" x14ac:dyDescent="0.3">
      <c r="A159" s="165" t="s">
        <v>239</v>
      </c>
      <c r="B159" s="45">
        <v>4</v>
      </c>
      <c r="C159" s="45">
        <v>15</v>
      </c>
      <c r="D159" s="45">
        <v>5</v>
      </c>
      <c r="E159" s="45">
        <v>8</v>
      </c>
      <c r="F159" s="163">
        <v>130</v>
      </c>
      <c r="G159" s="45">
        <v>46</v>
      </c>
      <c r="H159" s="45">
        <v>51</v>
      </c>
      <c r="I159" s="45">
        <v>4</v>
      </c>
      <c r="J159" s="45">
        <v>8</v>
      </c>
      <c r="K159" s="164">
        <v>154</v>
      </c>
      <c r="L159" s="45">
        <v>7</v>
      </c>
      <c r="M159" s="45">
        <v>13</v>
      </c>
      <c r="N159" s="45">
        <v>19</v>
      </c>
      <c r="O159" s="45">
        <v>0</v>
      </c>
      <c r="P159" s="163">
        <v>48</v>
      </c>
      <c r="Q159" s="45">
        <v>0</v>
      </c>
      <c r="R159" s="45">
        <v>0</v>
      </c>
      <c r="S159" s="45">
        <v>0</v>
      </c>
      <c r="T159" s="164">
        <v>0</v>
      </c>
      <c r="U159" s="45">
        <v>25</v>
      </c>
      <c r="V159" s="45">
        <v>4</v>
      </c>
      <c r="W159" s="45">
        <v>8</v>
      </c>
      <c r="X159" s="163">
        <v>82</v>
      </c>
      <c r="Y159" s="45">
        <v>52</v>
      </c>
      <c r="Z159" s="45">
        <v>7</v>
      </c>
      <c r="AA159" s="45">
        <v>7</v>
      </c>
      <c r="AB159" s="164">
        <v>123</v>
      </c>
      <c r="AC159" s="45">
        <v>22</v>
      </c>
      <c r="AD159" s="45">
        <v>4</v>
      </c>
      <c r="AE159" s="45">
        <v>5</v>
      </c>
      <c r="AF159" s="163">
        <v>53</v>
      </c>
      <c r="AG159" s="45">
        <v>11</v>
      </c>
      <c r="AH159" s="45">
        <v>1</v>
      </c>
      <c r="AI159" s="45">
        <v>0</v>
      </c>
      <c r="AJ159" s="164">
        <v>21</v>
      </c>
      <c r="AK159" s="45">
        <v>7</v>
      </c>
      <c r="AL159" s="45">
        <v>2</v>
      </c>
      <c r="AM159" s="45">
        <v>2</v>
      </c>
      <c r="AN159" s="163">
        <v>23</v>
      </c>
      <c r="AO159" s="45">
        <v>38</v>
      </c>
      <c r="AP159" s="45">
        <v>4</v>
      </c>
      <c r="AQ159" s="45">
        <v>9</v>
      </c>
      <c r="AR159" s="164">
        <v>110</v>
      </c>
    </row>
    <row r="160" spans="1:44" x14ac:dyDescent="0.3">
      <c r="A160" s="166" t="s">
        <v>237</v>
      </c>
      <c r="B160" s="49">
        <v>1</v>
      </c>
      <c r="C160" s="49">
        <v>1</v>
      </c>
      <c r="D160" s="49">
        <v>0</v>
      </c>
      <c r="E160" s="49">
        <v>1</v>
      </c>
      <c r="F160" s="167">
        <v>26</v>
      </c>
      <c r="G160" s="49">
        <v>0</v>
      </c>
      <c r="H160" s="49">
        <v>3</v>
      </c>
      <c r="I160" s="49">
        <v>0</v>
      </c>
      <c r="J160" s="49">
        <v>1</v>
      </c>
      <c r="K160" s="168">
        <v>6</v>
      </c>
      <c r="L160" s="49">
        <v>1</v>
      </c>
      <c r="M160" s="49">
        <v>4</v>
      </c>
      <c r="N160" s="49">
        <v>3</v>
      </c>
      <c r="O160" s="49">
        <v>0</v>
      </c>
      <c r="P160" s="167">
        <v>10</v>
      </c>
      <c r="Q160" s="49">
        <v>10</v>
      </c>
      <c r="R160" s="49">
        <v>0</v>
      </c>
      <c r="S160" s="49">
        <v>1</v>
      </c>
      <c r="T160" s="168">
        <v>18</v>
      </c>
      <c r="U160" s="49">
        <v>0</v>
      </c>
      <c r="V160" s="49">
        <v>0</v>
      </c>
      <c r="W160" s="49">
        <v>0</v>
      </c>
      <c r="X160" s="167">
        <v>0</v>
      </c>
      <c r="Y160" s="49">
        <v>0</v>
      </c>
      <c r="Z160" s="49">
        <v>0</v>
      </c>
      <c r="AA160" s="49">
        <v>0</v>
      </c>
      <c r="AB160" s="168">
        <v>0</v>
      </c>
      <c r="AC160" s="49">
        <v>7</v>
      </c>
      <c r="AD160" s="49">
        <v>0</v>
      </c>
      <c r="AE160" s="49">
        <v>1</v>
      </c>
      <c r="AF160" s="167">
        <v>12</v>
      </c>
      <c r="AG160" s="49">
        <v>1</v>
      </c>
      <c r="AH160" s="49">
        <v>0</v>
      </c>
      <c r="AI160" s="49">
        <v>0</v>
      </c>
      <c r="AJ160" s="168">
        <v>1</v>
      </c>
      <c r="AK160" s="49">
        <v>0</v>
      </c>
      <c r="AL160" s="49">
        <v>0</v>
      </c>
      <c r="AM160" s="49">
        <v>0</v>
      </c>
      <c r="AN160" s="167">
        <v>0</v>
      </c>
      <c r="AO160" s="49">
        <v>3</v>
      </c>
      <c r="AP160" s="49">
        <v>0</v>
      </c>
      <c r="AQ160" s="49">
        <v>0</v>
      </c>
      <c r="AR160" s="168">
        <v>7</v>
      </c>
    </row>
    <row r="161" spans="1:44" x14ac:dyDescent="0.3">
      <c r="A161" s="165" t="s">
        <v>247</v>
      </c>
      <c r="B161" s="45">
        <v>0</v>
      </c>
      <c r="C161" s="45">
        <v>7</v>
      </c>
      <c r="D161" s="45">
        <v>5</v>
      </c>
      <c r="E161" s="45">
        <v>4</v>
      </c>
      <c r="F161" s="163">
        <v>70</v>
      </c>
      <c r="G161" s="45">
        <v>0</v>
      </c>
      <c r="H161" s="45">
        <v>0</v>
      </c>
      <c r="I161" s="45">
        <v>0</v>
      </c>
      <c r="J161" s="45">
        <v>0</v>
      </c>
      <c r="K161" s="164">
        <v>0</v>
      </c>
      <c r="L161" s="45">
        <v>19</v>
      </c>
      <c r="M161" s="45">
        <v>13</v>
      </c>
      <c r="N161" s="45">
        <v>29</v>
      </c>
      <c r="O161" s="45">
        <v>0</v>
      </c>
      <c r="P161" s="163">
        <v>72</v>
      </c>
      <c r="Q161" s="45">
        <v>30</v>
      </c>
      <c r="R161" s="45">
        <v>2</v>
      </c>
      <c r="S161" s="45">
        <v>8</v>
      </c>
      <c r="T161" s="164">
        <v>68</v>
      </c>
      <c r="U161" s="45">
        <v>0</v>
      </c>
      <c r="V161" s="45">
        <v>0</v>
      </c>
      <c r="W161" s="45">
        <v>0</v>
      </c>
      <c r="X161" s="163">
        <v>0</v>
      </c>
      <c r="Y161" s="45">
        <v>0</v>
      </c>
      <c r="Z161" s="45">
        <v>0</v>
      </c>
      <c r="AA161" s="45">
        <v>0</v>
      </c>
      <c r="AB161" s="164">
        <v>0</v>
      </c>
      <c r="AC161" s="45">
        <v>18</v>
      </c>
      <c r="AD161" s="45">
        <v>2</v>
      </c>
      <c r="AE161" s="45">
        <v>7</v>
      </c>
      <c r="AF161" s="163">
        <v>40</v>
      </c>
      <c r="AG161" s="45">
        <v>8</v>
      </c>
      <c r="AH161" s="45">
        <v>0</v>
      </c>
      <c r="AI161" s="45">
        <v>0</v>
      </c>
      <c r="AJ161" s="164">
        <v>17</v>
      </c>
      <c r="AK161" s="45">
        <v>0</v>
      </c>
      <c r="AL161" s="45">
        <v>0</v>
      </c>
      <c r="AM161" s="45">
        <v>0</v>
      </c>
      <c r="AN161" s="163">
        <v>0</v>
      </c>
      <c r="AO161" s="45">
        <v>4</v>
      </c>
      <c r="AP161" s="45">
        <v>0</v>
      </c>
      <c r="AQ161" s="45">
        <v>1</v>
      </c>
      <c r="AR161" s="164">
        <v>13</v>
      </c>
    </row>
    <row r="162" spans="1:44" x14ac:dyDescent="0.3">
      <c r="A162" s="165" t="s">
        <v>236</v>
      </c>
      <c r="B162" s="45">
        <v>4</v>
      </c>
      <c r="C162" s="45">
        <v>3</v>
      </c>
      <c r="D162" s="45">
        <v>1</v>
      </c>
      <c r="E162" s="45">
        <v>10</v>
      </c>
      <c r="F162" s="163">
        <v>38</v>
      </c>
      <c r="G162" s="45">
        <v>0</v>
      </c>
      <c r="H162" s="45">
        <v>0</v>
      </c>
      <c r="I162" s="45">
        <v>0</v>
      </c>
      <c r="J162" s="45">
        <v>0</v>
      </c>
      <c r="K162" s="164">
        <v>0</v>
      </c>
      <c r="L162" s="45">
        <v>1</v>
      </c>
      <c r="M162" s="45">
        <v>5</v>
      </c>
      <c r="N162" s="45">
        <v>5</v>
      </c>
      <c r="O162" s="45">
        <v>0</v>
      </c>
      <c r="P162" s="163">
        <v>14</v>
      </c>
      <c r="Q162" s="45">
        <v>0</v>
      </c>
      <c r="R162" s="45">
        <v>0</v>
      </c>
      <c r="S162" s="45">
        <v>0</v>
      </c>
      <c r="T162" s="164">
        <v>0</v>
      </c>
      <c r="U162" s="45">
        <v>8</v>
      </c>
      <c r="V162" s="45">
        <v>5</v>
      </c>
      <c r="W162" s="45">
        <v>2</v>
      </c>
      <c r="X162" s="163">
        <v>34</v>
      </c>
      <c r="Y162" s="45">
        <v>27</v>
      </c>
      <c r="Z162" s="45">
        <v>5</v>
      </c>
      <c r="AA162" s="45">
        <v>6</v>
      </c>
      <c r="AB162" s="164">
        <v>55</v>
      </c>
      <c r="AC162" s="45">
        <v>10</v>
      </c>
      <c r="AD162" s="45">
        <v>3</v>
      </c>
      <c r="AE162" s="45">
        <v>2</v>
      </c>
      <c r="AF162" s="163">
        <v>22</v>
      </c>
      <c r="AG162" s="45">
        <v>8</v>
      </c>
      <c r="AH162" s="45">
        <v>0</v>
      </c>
      <c r="AI162" s="45">
        <v>1</v>
      </c>
      <c r="AJ162" s="164">
        <v>12</v>
      </c>
      <c r="AK162" s="45">
        <v>3</v>
      </c>
      <c r="AL162" s="45">
        <v>1</v>
      </c>
      <c r="AM162" s="45">
        <v>0</v>
      </c>
      <c r="AN162" s="163">
        <v>4</v>
      </c>
      <c r="AO162" s="45">
        <v>15</v>
      </c>
      <c r="AP162" s="45">
        <v>6</v>
      </c>
      <c r="AQ162" s="45">
        <v>5</v>
      </c>
      <c r="AR162" s="164">
        <v>52</v>
      </c>
    </row>
    <row r="163" spans="1:44" x14ac:dyDescent="0.3">
      <c r="A163" s="165" t="s">
        <v>249</v>
      </c>
      <c r="B163" s="45">
        <v>0</v>
      </c>
      <c r="C163" s="45">
        <v>2</v>
      </c>
      <c r="D163" s="45">
        <v>0</v>
      </c>
      <c r="E163" s="45">
        <v>0</v>
      </c>
      <c r="F163" s="163">
        <v>12</v>
      </c>
      <c r="G163" s="45">
        <v>0</v>
      </c>
      <c r="H163" s="45">
        <v>0</v>
      </c>
      <c r="I163" s="45">
        <v>0</v>
      </c>
      <c r="J163" s="45">
        <v>0</v>
      </c>
      <c r="K163" s="164">
        <v>0</v>
      </c>
      <c r="L163" s="45">
        <v>0</v>
      </c>
      <c r="M163" s="45">
        <v>0</v>
      </c>
      <c r="N163" s="45">
        <v>0</v>
      </c>
      <c r="O163" s="45">
        <v>0</v>
      </c>
      <c r="P163" s="163">
        <v>0</v>
      </c>
      <c r="Q163" s="45">
        <v>0</v>
      </c>
      <c r="R163" s="45">
        <v>0</v>
      </c>
      <c r="S163" s="45">
        <v>0</v>
      </c>
      <c r="T163" s="164">
        <v>0</v>
      </c>
      <c r="U163" s="45">
        <v>0</v>
      </c>
      <c r="V163" s="45">
        <v>0</v>
      </c>
      <c r="W163" s="45">
        <v>0</v>
      </c>
      <c r="X163" s="163">
        <v>0</v>
      </c>
      <c r="Y163" s="45">
        <v>0</v>
      </c>
      <c r="Z163" s="45">
        <v>0</v>
      </c>
      <c r="AA163" s="45">
        <v>0</v>
      </c>
      <c r="AB163" s="164">
        <v>0</v>
      </c>
      <c r="AC163" s="45">
        <v>0</v>
      </c>
      <c r="AD163" s="45">
        <v>0</v>
      </c>
      <c r="AE163" s="45">
        <v>0</v>
      </c>
      <c r="AF163" s="163">
        <v>0</v>
      </c>
      <c r="AG163" s="45">
        <v>0</v>
      </c>
      <c r="AH163" s="45">
        <v>0</v>
      </c>
      <c r="AI163" s="45">
        <v>0</v>
      </c>
      <c r="AJ163" s="164">
        <v>0</v>
      </c>
      <c r="AK163" s="45">
        <v>0</v>
      </c>
      <c r="AL163" s="45">
        <v>0</v>
      </c>
      <c r="AM163" s="45">
        <v>0</v>
      </c>
      <c r="AN163" s="163">
        <v>0</v>
      </c>
      <c r="AO163" s="45">
        <v>0</v>
      </c>
      <c r="AP163" s="45">
        <v>0</v>
      </c>
      <c r="AQ163" s="45">
        <v>0</v>
      </c>
      <c r="AR163" s="164">
        <v>0</v>
      </c>
    </row>
  </sheetData>
  <mergeCells count="24">
    <mergeCell ref="A127:L127"/>
    <mergeCell ref="A146:K146"/>
    <mergeCell ref="A80:F80"/>
    <mergeCell ref="A1:BH1"/>
    <mergeCell ref="A66:L66"/>
    <mergeCell ref="A2:L2"/>
    <mergeCell ref="G80:L80"/>
    <mergeCell ref="A35:L35"/>
    <mergeCell ref="A20:L20"/>
    <mergeCell ref="A12:A13"/>
    <mergeCell ref="M12:M13"/>
    <mergeCell ref="M4:M5"/>
    <mergeCell ref="A4:A5"/>
    <mergeCell ref="Y12:Y13"/>
    <mergeCell ref="AK12:AK13"/>
    <mergeCell ref="AK4:AK5"/>
    <mergeCell ref="N80:S80"/>
    <mergeCell ref="T80:Y80"/>
    <mergeCell ref="Y4:Y5"/>
    <mergeCell ref="AW4:AW5"/>
    <mergeCell ref="BJ2:BS2"/>
    <mergeCell ref="N66:Y66"/>
    <mergeCell ref="BJ17:BS17"/>
    <mergeCell ref="AW12:AW1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F01-8197-4B9E-9900-5538160E0E2D}">
  <dimension ref="A1:C16"/>
  <sheetViews>
    <sheetView workbookViewId="0">
      <selection activeCell="E12" sqref="E12"/>
    </sheetView>
  </sheetViews>
  <sheetFormatPr baseColWidth="10" defaultRowHeight="14.4" x14ac:dyDescent="0.3"/>
  <cols>
    <col min="1" max="1" width="8.44140625" bestFit="1" customWidth="1"/>
    <col min="2" max="2" width="16.6640625" customWidth="1"/>
    <col min="3" max="3" width="12.21875" bestFit="1" customWidth="1"/>
  </cols>
  <sheetData>
    <row r="1" spans="1:3" ht="28.8" x14ac:dyDescent="0.3">
      <c r="A1" s="149" t="s">
        <v>252</v>
      </c>
      <c r="B1" s="149" t="s">
        <v>253</v>
      </c>
      <c r="C1" s="149" t="s">
        <v>254</v>
      </c>
    </row>
    <row r="2" spans="1:3" x14ac:dyDescent="0.3">
      <c r="A2" s="150">
        <v>2</v>
      </c>
      <c r="B2" s="150" t="s">
        <v>255</v>
      </c>
      <c r="C2" s="150" t="s">
        <v>14</v>
      </c>
    </row>
    <row r="3" spans="1:3" x14ac:dyDescent="0.3">
      <c r="A3" s="150">
        <v>3</v>
      </c>
      <c r="B3" s="150" t="s">
        <v>269</v>
      </c>
      <c r="C3" s="150" t="s">
        <v>154</v>
      </c>
    </row>
    <row r="4" spans="1:3" x14ac:dyDescent="0.3">
      <c r="A4" s="150">
        <v>4</v>
      </c>
      <c r="B4" s="150" t="s">
        <v>256</v>
      </c>
      <c r="C4" s="150" t="s">
        <v>13</v>
      </c>
    </row>
    <row r="5" spans="1:3" x14ac:dyDescent="0.3">
      <c r="A5" s="150">
        <v>5</v>
      </c>
      <c r="B5" s="150" t="s">
        <v>257</v>
      </c>
      <c r="C5" s="150" t="s">
        <v>16</v>
      </c>
    </row>
    <row r="6" spans="1:3" x14ac:dyDescent="0.3">
      <c r="A6" s="150">
        <v>6</v>
      </c>
      <c r="B6" s="150" t="s">
        <v>258</v>
      </c>
      <c r="C6" s="150" t="s">
        <v>15</v>
      </c>
    </row>
    <row r="7" spans="1:3" x14ac:dyDescent="0.3">
      <c r="A7" s="150">
        <v>9</v>
      </c>
      <c r="B7" s="150" t="s">
        <v>259</v>
      </c>
      <c r="C7" s="150" t="s">
        <v>13</v>
      </c>
    </row>
    <row r="8" spans="1:3" x14ac:dyDescent="0.3">
      <c r="A8" s="150">
        <v>10</v>
      </c>
      <c r="B8" s="150" t="s">
        <v>260</v>
      </c>
      <c r="C8" s="150" t="s">
        <v>14</v>
      </c>
    </row>
    <row r="9" spans="1:3" x14ac:dyDescent="0.3">
      <c r="A9" s="150">
        <v>11</v>
      </c>
      <c r="B9" s="150" t="s">
        <v>261</v>
      </c>
      <c r="C9" s="150" t="s">
        <v>15</v>
      </c>
    </row>
    <row r="10" spans="1:3" x14ac:dyDescent="0.3">
      <c r="A10" s="150">
        <v>12</v>
      </c>
      <c r="B10" s="150" t="s">
        <v>262</v>
      </c>
      <c r="C10" s="150" t="s">
        <v>154</v>
      </c>
    </row>
    <row r="11" spans="1:3" x14ac:dyDescent="0.3">
      <c r="A11" s="150">
        <v>13</v>
      </c>
      <c r="B11" s="150" t="s">
        <v>263</v>
      </c>
      <c r="C11" s="150" t="s">
        <v>15</v>
      </c>
    </row>
    <row r="12" spans="1:3" x14ac:dyDescent="0.3">
      <c r="A12" s="150">
        <v>14</v>
      </c>
      <c r="B12" s="150" t="s">
        <v>264</v>
      </c>
      <c r="C12" s="150" t="s">
        <v>15</v>
      </c>
    </row>
    <row r="13" spans="1:3" x14ac:dyDescent="0.3">
      <c r="A13" s="150">
        <v>15</v>
      </c>
      <c r="B13" s="150" t="s">
        <v>265</v>
      </c>
      <c r="C13" s="150" t="s">
        <v>14</v>
      </c>
    </row>
    <row r="14" spans="1:3" x14ac:dyDescent="0.3">
      <c r="A14" s="150">
        <v>17</v>
      </c>
      <c r="B14" s="150" t="s">
        <v>266</v>
      </c>
      <c r="C14" s="150" t="s">
        <v>14</v>
      </c>
    </row>
    <row r="15" spans="1:3" x14ac:dyDescent="0.3">
      <c r="A15" s="150">
        <v>18</v>
      </c>
      <c r="B15" s="150" t="s">
        <v>267</v>
      </c>
      <c r="C15" s="150" t="s">
        <v>16</v>
      </c>
    </row>
    <row r="16" spans="1:3" x14ac:dyDescent="0.3">
      <c r="A16" s="150">
        <v>19</v>
      </c>
      <c r="B16" s="150" t="s">
        <v>268</v>
      </c>
      <c r="C16" s="15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LOMAS</vt:lpstr>
      <vt:lpstr>EXPORTAR</vt:lpstr>
      <vt:lpstr>PLANTILLA_RIVAL</vt:lpstr>
      <vt:lpstr>VIDEOS_LOMAS</vt:lpstr>
      <vt:lpstr>CASLA</vt:lpstr>
      <vt:lpstr>CASLA_PLANTEL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2026-06-01T17:08:01Z</dcterms:modified>
</cp:coreProperties>
</file>