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STATS 2\"/>
    </mc:Choice>
  </mc:AlternateContent>
  <xr:revisionPtr revIDLastSave="0" documentId="8_{21ECBA32-802E-41F9-8CA5-5C2725C2D0B0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INDICE" sheetId="1" r:id="rId1"/>
    <sheet name="18-05" sheetId="2" r:id="rId2"/>
    <sheet name="19-05" sheetId="3" r:id="rId3"/>
    <sheet name="21-05" sheetId="4" r:id="rId4"/>
    <sheet name="CASLA" sheetId="5" r:id="rId5"/>
    <sheet name="PRÓXIMO" sheetId="6" r:id="rId6"/>
    <sheet name="GUI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9" i="6" l="1"/>
  <c r="U79" i="6"/>
  <c r="S79" i="6"/>
  <c r="Q79" i="6"/>
  <c r="J79" i="6"/>
  <c r="H79" i="6"/>
  <c r="F79" i="6"/>
  <c r="D79" i="6"/>
  <c r="W78" i="6"/>
  <c r="U78" i="6"/>
  <c r="S78" i="6"/>
  <c r="Q78" i="6"/>
  <c r="J78" i="6"/>
  <c r="H78" i="6"/>
  <c r="F78" i="6"/>
  <c r="D78" i="6"/>
  <c r="W77" i="6"/>
  <c r="U77" i="6"/>
  <c r="S77" i="6"/>
  <c r="Q77" i="6"/>
  <c r="J77" i="6"/>
  <c r="H77" i="6"/>
  <c r="F77" i="6"/>
  <c r="D77" i="6"/>
  <c r="W76" i="6"/>
  <c r="U76" i="6"/>
  <c r="S76" i="6"/>
  <c r="Q76" i="6"/>
  <c r="J76" i="6"/>
  <c r="H76" i="6"/>
  <c r="F76" i="6"/>
  <c r="D76" i="6"/>
  <c r="W75" i="6"/>
  <c r="U75" i="6"/>
  <c r="S75" i="6"/>
  <c r="Q75" i="6"/>
  <c r="J75" i="6"/>
  <c r="H75" i="6"/>
  <c r="F75" i="6"/>
  <c r="D75" i="6"/>
  <c r="W74" i="6"/>
  <c r="U74" i="6"/>
  <c r="S74" i="6"/>
  <c r="Q74" i="6"/>
  <c r="J74" i="6"/>
  <c r="H74" i="6"/>
  <c r="F74" i="6"/>
  <c r="D74" i="6"/>
  <c r="W73" i="6"/>
  <c r="U73" i="6"/>
  <c r="S73" i="6"/>
  <c r="Q73" i="6"/>
  <c r="J73" i="6"/>
  <c r="H73" i="6"/>
  <c r="F73" i="6"/>
  <c r="D73" i="6"/>
  <c r="W72" i="6"/>
  <c r="U72" i="6"/>
  <c r="S72" i="6"/>
  <c r="Q72" i="6"/>
  <c r="J72" i="6"/>
  <c r="H72" i="6"/>
  <c r="F72" i="6"/>
  <c r="D72" i="6"/>
  <c r="W71" i="6"/>
  <c r="U71" i="6"/>
  <c r="S71" i="6"/>
  <c r="Q71" i="6"/>
  <c r="J71" i="6"/>
  <c r="H71" i="6"/>
  <c r="F71" i="6"/>
  <c r="D71" i="6"/>
  <c r="W70" i="6"/>
  <c r="U70" i="6"/>
  <c r="S70" i="6"/>
  <c r="Q70" i="6"/>
  <c r="J70" i="6"/>
  <c r="H70" i="6"/>
  <c r="F70" i="6"/>
  <c r="D70" i="6"/>
  <c r="W69" i="6"/>
  <c r="U69" i="6"/>
  <c r="S69" i="6"/>
  <c r="Q69" i="6"/>
  <c r="J69" i="6"/>
  <c r="H69" i="6"/>
  <c r="F69" i="6"/>
  <c r="D69" i="6"/>
  <c r="W68" i="6"/>
  <c r="U68" i="6"/>
  <c r="S68" i="6"/>
  <c r="Q68" i="6"/>
  <c r="J68" i="6"/>
  <c r="H68" i="6"/>
  <c r="F68" i="6"/>
  <c r="D68" i="6"/>
  <c r="BC144" i="5"/>
  <c r="BB144" i="5"/>
  <c r="BA144" i="5"/>
  <c r="AZ144" i="5"/>
  <c r="AY144" i="5"/>
  <c r="AW144" i="5"/>
  <c r="AV144" i="5"/>
  <c r="AU144" i="5"/>
  <c r="AT144" i="5"/>
  <c r="AX144" i="5" s="1"/>
  <c r="AR144" i="5"/>
  <c r="AQ144" i="5"/>
  <c r="AS144" i="5" s="1"/>
  <c r="AP144" i="5"/>
  <c r="AO144" i="5"/>
  <c r="AM144" i="5"/>
  <c r="AL144" i="5"/>
  <c r="AK144" i="5"/>
  <c r="AN144" i="5" s="1"/>
  <c r="AJ144" i="5"/>
  <c r="AI144" i="5"/>
  <c r="AH144" i="5"/>
  <c r="AG144" i="5"/>
  <c r="AF144" i="5"/>
  <c r="AE144" i="5"/>
  <c r="AD144" i="5"/>
  <c r="AC144" i="5"/>
  <c r="AB144" i="5"/>
  <c r="AA144" i="5"/>
  <c r="Z144" i="5"/>
  <c r="X144" i="5"/>
  <c r="W144" i="5"/>
  <c r="V144" i="5"/>
  <c r="U144" i="5"/>
  <c r="Y144" i="5" s="1"/>
  <c r="S144" i="5"/>
  <c r="T144" i="5" s="1"/>
  <c r="R144" i="5"/>
  <c r="Q144" i="5"/>
  <c r="O144" i="5"/>
  <c r="N144" i="5"/>
  <c r="P144" i="5" s="1"/>
  <c r="L144" i="5"/>
  <c r="K144" i="5"/>
  <c r="J144" i="5"/>
  <c r="I144" i="5"/>
  <c r="H144" i="5"/>
  <c r="M144" i="5" s="1"/>
  <c r="G144" i="5"/>
  <c r="F144" i="5"/>
  <c r="E144" i="5"/>
  <c r="D144" i="5"/>
  <c r="C144" i="5"/>
  <c r="B144" i="5"/>
  <c r="A144" i="5"/>
  <c r="BB143" i="5"/>
  <c r="BA143" i="5"/>
  <c r="AZ143" i="5"/>
  <c r="AY143" i="5"/>
  <c r="BC143" i="5" s="1"/>
  <c r="AX143" i="5"/>
  <c r="AW143" i="5"/>
  <c r="AV143" i="5"/>
  <c r="AU143" i="5"/>
  <c r="AT143" i="5"/>
  <c r="AR143" i="5"/>
  <c r="AQ143" i="5"/>
  <c r="AP143" i="5"/>
  <c r="AO143" i="5"/>
  <c r="AS143" i="5" s="1"/>
  <c r="AM143" i="5"/>
  <c r="AL143" i="5"/>
  <c r="AN143" i="5" s="1"/>
  <c r="AK143" i="5"/>
  <c r="AJ143" i="5"/>
  <c r="AH143" i="5"/>
  <c r="AG143" i="5"/>
  <c r="AF143" i="5"/>
  <c r="AE143" i="5"/>
  <c r="AI143" i="5" s="1"/>
  <c r="AD143" i="5"/>
  <c r="AC143" i="5"/>
  <c r="AB143" i="5"/>
  <c r="AA143" i="5"/>
  <c r="Z143" i="5"/>
  <c r="Y143" i="5"/>
  <c r="X143" i="5"/>
  <c r="W143" i="5"/>
  <c r="V143" i="5"/>
  <c r="U143" i="5"/>
  <c r="S143" i="5"/>
  <c r="R143" i="5"/>
  <c r="Q143" i="5"/>
  <c r="O143" i="5"/>
  <c r="N143" i="5"/>
  <c r="T143" i="5" s="1"/>
  <c r="M143" i="5"/>
  <c r="L143" i="5"/>
  <c r="K143" i="5"/>
  <c r="J143" i="5"/>
  <c r="I143" i="5"/>
  <c r="H143" i="5"/>
  <c r="F143" i="5"/>
  <c r="E143" i="5"/>
  <c r="D143" i="5"/>
  <c r="C143" i="5"/>
  <c r="B143" i="5"/>
  <c r="G143" i="5" s="1"/>
  <c r="A143" i="5"/>
  <c r="BC142" i="5"/>
  <c r="BB142" i="5"/>
  <c r="BA142" i="5"/>
  <c r="AZ142" i="5"/>
  <c r="AY142" i="5"/>
  <c r="AW142" i="5"/>
  <c r="AV142" i="5"/>
  <c r="AU142" i="5"/>
  <c r="AT142" i="5"/>
  <c r="AX142" i="5" s="1"/>
  <c r="AS142" i="5"/>
  <c r="AR142" i="5"/>
  <c r="AQ142" i="5"/>
  <c r="AP142" i="5"/>
  <c r="AO142" i="5"/>
  <c r="AM142" i="5"/>
  <c r="AL142" i="5"/>
  <c r="AK142" i="5"/>
  <c r="AJ142" i="5"/>
  <c r="AN142" i="5" s="1"/>
  <c r="AH142" i="5"/>
  <c r="AG142" i="5"/>
  <c r="AI142" i="5" s="1"/>
  <c r="AF142" i="5"/>
  <c r="AE142" i="5"/>
  <c r="AC142" i="5"/>
  <c r="AB142" i="5"/>
  <c r="AA142" i="5"/>
  <c r="Z142" i="5"/>
  <c r="AD142" i="5" s="1"/>
  <c r="Y142" i="5"/>
  <c r="X142" i="5"/>
  <c r="W142" i="5"/>
  <c r="V142" i="5"/>
  <c r="U142" i="5"/>
  <c r="T142" i="5"/>
  <c r="S142" i="5"/>
  <c r="R142" i="5"/>
  <c r="Q142" i="5"/>
  <c r="O142" i="5"/>
  <c r="N142" i="5"/>
  <c r="P142" i="5" s="1"/>
  <c r="M142" i="5"/>
  <c r="L142" i="5"/>
  <c r="K142" i="5"/>
  <c r="J142" i="5"/>
  <c r="I142" i="5"/>
  <c r="H142" i="5"/>
  <c r="G142" i="5"/>
  <c r="F142" i="5"/>
  <c r="E142" i="5"/>
  <c r="D142" i="5"/>
  <c r="C142" i="5"/>
  <c r="B142" i="5"/>
  <c r="A142" i="5"/>
  <c r="BC141" i="5"/>
  <c r="BB141" i="5"/>
  <c r="BA141" i="5"/>
  <c r="AZ141" i="5"/>
  <c r="AY141" i="5"/>
  <c r="AX141" i="5"/>
  <c r="AW141" i="5"/>
  <c r="AV141" i="5"/>
  <c r="AU141" i="5"/>
  <c r="AT141" i="5"/>
  <c r="AR141" i="5"/>
  <c r="AQ141" i="5"/>
  <c r="AP141" i="5"/>
  <c r="AO141" i="5"/>
  <c r="AS141" i="5" s="1"/>
  <c r="AN141" i="5"/>
  <c r="AM141" i="5"/>
  <c r="AL141" i="5"/>
  <c r="AK141" i="5"/>
  <c r="AJ141" i="5"/>
  <c r="AH141" i="5"/>
  <c r="AG141" i="5"/>
  <c r="AF141" i="5"/>
  <c r="AE141" i="5"/>
  <c r="AI141" i="5" s="1"/>
  <c r="AC141" i="5"/>
  <c r="AB141" i="5"/>
  <c r="AD141" i="5" s="1"/>
  <c r="AA141" i="5"/>
  <c r="Z141" i="5"/>
  <c r="X141" i="5"/>
  <c r="W141" i="5"/>
  <c r="V141" i="5"/>
  <c r="U141" i="5"/>
  <c r="Y141" i="5" s="1"/>
  <c r="T141" i="5"/>
  <c r="S141" i="5"/>
  <c r="P141" i="5" s="1"/>
  <c r="R141" i="5"/>
  <c r="Q141" i="5"/>
  <c r="O141" i="5"/>
  <c r="N141" i="5"/>
  <c r="L141" i="5"/>
  <c r="K141" i="5"/>
  <c r="J141" i="5"/>
  <c r="I141" i="5"/>
  <c r="H141" i="5"/>
  <c r="M141" i="5" s="1"/>
  <c r="G141" i="5"/>
  <c r="F141" i="5"/>
  <c r="E141" i="5"/>
  <c r="D141" i="5"/>
  <c r="C141" i="5"/>
  <c r="B141" i="5"/>
  <c r="A141" i="5"/>
  <c r="BB140" i="5"/>
  <c r="BA140" i="5"/>
  <c r="AZ140" i="5"/>
  <c r="AY140" i="5"/>
  <c r="BC140" i="5" s="1"/>
  <c r="AX140" i="5"/>
  <c r="AW140" i="5"/>
  <c r="AV140" i="5"/>
  <c r="AU140" i="5"/>
  <c r="AT140" i="5"/>
  <c r="AS140" i="5"/>
  <c r="AR140" i="5"/>
  <c r="AQ140" i="5"/>
  <c r="AP140" i="5"/>
  <c r="AO140" i="5"/>
  <c r="AM140" i="5"/>
  <c r="AL140" i="5"/>
  <c r="AK140" i="5"/>
  <c r="AJ140" i="5"/>
  <c r="AN140" i="5" s="1"/>
  <c r="AI140" i="5"/>
  <c r="AH140" i="5"/>
  <c r="AG140" i="5"/>
  <c r="AF140" i="5"/>
  <c r="AE140" i="5"/>
  <c r="AC140" i="5"/>
  <c r="AB140" i="5"/>
  <c r="AA140" i="5"/>
  <c r="Z140" i="5"/>
  <c r="AD140" i="5" s="1"/>
  <c r="X140" i="5"/>
  <c r="W140" i="5"/>
  <c r="Y140" i="5" s="1"/>
  <c r="V140" i="5"/>
  <c r="U140" i="5"/>
  <c r="S140" i="5"/>
  <c r="R140" i="5"/>
  <c r="Q140" i="5"/>
  <c r="O140" i="5"/>
  <c r="N140" i="5"/>
  <c r="T140" i="5" s="1"/>
  <c r="L140" i="5"/>
  <c r="K140" i="5"/>
  <c r="M140" i="5" s="1"/>
  <c r="J140" i="5"/>
  <c r="I140" i="5"/>
  <c r="H140" i="5"/>
  <c r="F140" i="5"/>
  <c r="E140" i="5"/>
  <c r="D140" i="5"/>
  <c r="C140" i="5"/>
  <c r="B140" i="5"/>
  <c r="G140" i="5" s="1"/>
  <c r="A140" i="5"/>
  <c r="BB139" i="5"/>
  <c r="BA139" i="5"/>
  <c r="BC139" i="5" s="1"/>
  <c r="AZ139" i="5"/>
  <c r="AY139" i="5"/>
  <c r="AW139" i="5"/>
  <c r="AV139" i="5"/>
  <c r="AU139" i="5"/>
  <c r="AT139" i="5"/>
  <c r="AX139" i="5" s="1"/>
  <c r="AS139" i="5"/>
  <c r="AR139" i="5"/>
  <c r="AQ139" i="5"/>
  <c r="AP139" i="5"/>
  <c r="AO139" i="5"/>
  <c r="AN139" i="5"/>
  <c r="AM139" i="5"/>
  <c r="AL139" i="5"/>
  <c r="AK139" i="5"/>
  <c r="AJ139" i="5"/>
  <c r="AH139" i="5"/>
  <c r="AG139" i="5"/>
  <c r="AF139" i="5"/>
  <c r="AE139" i="5"/>
  <c r="AI139" i="5" s="1"/>
  <c r="AD139" i="5"/>
  <c r="AC139" i="5"/>
  <c r="AB139" i="5"/>
  <c r="AA139" i="5"/>
  <c r="Z139" i="5"/>
  <c r="X139" i="5"/>
  <c r="W139" i="5"/>
  <c r="V139" i="5"/>
  <c r="U139" i="5"/>
  <c r="Y139" i="5" s="1"/>
  <c r="T139" i="5"/>
  <c r="S139" i="5"/>
  <c r="P139" i="5" s="1"/>
  <c r="R139" i="5"/>
  <c r="Q139" i="5"/>
  <c r="O139" i="5"/>
  <c r="N139" i="5"/>
  <c r="L139" i="5"/>
  <c r="K139" i="5"/>
  <c r="J139" i="5"/>
  <c r="I139" i="5"/>
  <c r="H139" i="5"/>
  <c r="M139" i="5" s="1"/>
  <c r="F139" i="5"/>
  <c r="E139" i="5"/>
  <c r="G139" i="5" s="1"/>
  <c r="D139" i="5"/>
  <c r="C139" i="5"/>
  <c r="B139" i="5"/>
  <c r="A139" i="5"/>
  <c r="BB138" i="5"/>
  <c r="BA138" i="5"/>
  <c r="AZ138" i="5"/>
  <c r="AY138" i="5"/>
  <c r="BC138" i="5" s="1"/>
  <c r="AW138" i="5"/>
  <c r="AV138" i="5"/>
  <c r="AX138" i="5" s="1"/>
  <c r="AU138" i="5"/>
  <c r="AT138" i="5"/>
  <c r="AR138" i="5"/>
  <c r="AQ138" i="5"/>
  <c r="AP138" i="5"/>
  <c r="AO138" i="5"/>
  <c r="AS138" i="5" s="1"/>
  <c r="AN138" i="5"/>
  <c r="AM138" i="5"/>
  <c r="AL138" i="5"/>
  <c r="AK138" i="5"/>
  <c r="AJ138" i="5"/>
  <c r="AI138" i="5"/>
  <c r="AH138" i="5"/>
  <c r="AG138" i="5"/>
  <c r="AF138" i="5"/>
  <c r="AE138" i="5"/>
  <c r="AC138" i="5"/>
  <c r="AB138" i="5"/>
  <c r="AA138" i="5"/>
  <c r="Z138" i="5"/>
  <c r="AD138" i="5" s="1"/>
  <c r="Y138" i="5"/>
  <c r="X138" i="5"/>
  <c r="W138" i="5"/>
  <c r="V138" i="5"/>
  <c r="U138" i="5"/>
  <c r="S138" i="5"/>
  <c r="R138" i="5"/>
  <c r="Q138" i="5"/>
  <c r="P138" i="5"/>
  <c r="O138" i="5"/>
  <c r="N138" i="5"/>
  <c r="T138" i="5" s="1"/>
  <c r="M138" i="5"/>
  <c r="L138" i="5"/>
  <c r="K138" i="5"/>
  <c r="J138" i="5"/>
  <c r="I138" i="5"/>
  <c r="H138" i="5"/>
  <c r="F138" i="5"/>
  <c r="E138" i="5"/>
  <c r="D138" i="5"/>
  <c r="C138" i="5"/>
  <c r="B138" i="5"/>
  <c r="G138" i="5" s="1"/>
  <c r="A138" i="5"/>
  <c r="BC137" i="5"/>
  <c r="BB137" i="5"/>
  <c r="BA137" i="5"/>
  <c r="AZ137" i="5"/>
  <c r="AY137" i="5"/>
  <c r="AW137" i="5"/>
  <c r="AV137" i="5"/>
  <c r="AU137" i="5"/>
  <c r="AT137" i="5"/>
  <c r="AX137" i="5" s="1"/>
  <c r="AR137" i="5"/>
  <c r="AQ137" i="5"/>
  <c r="AS137" i="5" s="1"/>
  <c r="AP137" i="5"/>
  <c r="AO137" i="5"/>
  <c r="AM137" i="5"/>
  <c r="AL137" i="5"/>
  <c r="AK137" i="5"/>
  <c r="AJ137" i="5"/>
  <c r="AN137" i="5" s="1"/>
  <c r="AI137" i="5"/>
  <c r="AH137" i="5"/>
  <c r="AG137" i="5"/>
  <c r="AF137" i="5"/>
  <c r="AE137" i="5"/>
  <c r="AD137" i="5"/>
  <c r="AC137" i="5"/>
  <c r="AB137" i="5"/>
  <c r="AA137" i="5"/>
  <c r="Z137" i="5"/>
  <c r="X137" i="5"/>
  <c r="W137" i="5"/>
  <c r="V137" i="5"/>
  <c r="U137" i="5"/>
  <c r="Y137" i="5" s="1"/>
  <c r="T137" i="5"/>
  <c r="S137" i="5"/>
  <c r="P137" i="5" s="1"/>
  <c r="R137" i="5"/>
  <c r="Q137" i="5"/>
  <c r="O137" i="5"/>
  <c r="N137" i="5"/>
  <c r="L137" i="5"/>
  <c r="K137" i="5"/>
  <c r="J137" i="5"/>
  <c r="I137" i="5"/>
  <c r="H137" i="5"/>
  <c r="M137" i="5" s="1"/>
  <c r="G137" i="5"/>
  <c r="F137" i="5"/>
  <c r="E137" i="5"/>
  <c r="D137" i="5"/>
  <c r="C137" i="5"/>
  <c r="B137" i="5"/>
  <c r="A137" i="5"/>
  <c r="BC136" i="5"/>
  <c r="BB136" i="5"/>
  <c r="BA136" i="5"/>
  <c r="AZ136" i="5"/>
  <c r="AY136" i="5"/>
  <c r="AX136" i="5"/>
  <c r="AW136" i="5"/>
  <c r="AV136" i="5"/>
  <c r="AU136" i="5"/>
  <c r="AT136" i="5"/>
  <c r="AR136" i="5"/>
  <c r="AQ136" i="5"/>
  <c r="AP136" i="5"/>
  <c r="AO136" i="5"/>
  <c r="AS136" i="5" s="1"/>
  <c r="AM136" i="5"/>
  <c r="AL136" i="5"/>
  <c r="AN136" i="5" s="1"/>
  <c r="AK136" i="5"/>
  <c r="AJ136" i="5"/>
  <c r="AH136" i="5"/>
  <c r="AG136" i="5"/>
  <c r="AF136" i="5"/>
  <c r="AE136" i="5"/>
  <c r="AI136" i="5" s="1"/>
  <c r="AD136" i="5"/>
  <c r="AC136" i="5"/>
  <c r="AB136" i="5"/>
  <c r="AA136" i="5"/>
  <c r="Z136" i="5"/>
  <c r="Y136" i="5"/>
  <c r="X136" i="5"/>
  <c r="W136" i="5"/>
  <c r="V136" i="5"/>
  <c r="U136" i="5"/>
  <c r="S136" i="5"/>
  <c r="R136" i="5"/>
  <c r="Q136" i="5"/>
  <c r="O136" i="5"/>
  <c r="N136" i="5"/>
  <c r="T136" i="5" s="1"/>
  <c r="M136" i="5"/>
  <c r="L136" i="5"/>
  <c r="K136" i="5"/>
  <c r="J136" i="5"/>
  <c r="I136" i="5"/>
  <c r="H136" i="5"/>
  <c r="G136" i="5"/>
  <c r="F136" i="5"/>
  <c r="E136" i="5"/>
  <c r="D136" i="5"/>
  <c r="C136" i="5"/>
  <c r="B136" i="5"/>
  <c r="A136" i="5"/>
  <c r="BB135" i="5"/>
  <c r="BA135" i="5"/>
  <c r="AZ135" i="5"/>
  <c r="AY135" i="5"/>
  <c r="BC135" i="5" s="1"/>
  <c r="AX135" i="5"/>
  <c r="AW135" i="5"/>
  <c r="AV135" i="5"/>
  <c r="AU135" i="5"/>
  <c r="AT135" i="5"/>
  <c r="AS135" i="5"/>
  <c r="AR135" i="5"/>
  <c r="AQ135" i="5"/>
  <c r="AP135" i="5"/>
  <c r="AO135" i="5"/>
  <c r="AM135" i="5"/>
  <c r="AL135" i="5"/>
  <c r="AK135" i="5"/>
  <c r="AJ135" i="5"/>
  <c r="AN135" i="5" s="1"/>
  <c r="AH135" i="5"/>
  <c r="AG135" i="5"/>
  <c r="AI135" i="5" s="1"/>
  <c r="AF135" i="5"/>
  <c r="AE135" i="5"/>
  <c r="AC135" i="5"/>
  <c r="AB135" i="5"/>
  <c r="AA135" i="5"/>
  <c r="Z135" i="5"/>
  <c r="AD135" i="5" s="1"/>
  <c r="Y135" i="5"/>
  <c r="X135" i="5"/>
  <c r="W135" i="5"/>
  <c r="V135" i="5"/>
  <c r="U135" i="5"/>
  <c r="S135" i="5"/>
  <c r="R135" i="5"/>
  <c r="Q135" i="5"/>
  <c r="O135" i="5"/>
  <c r="N135" i="5"/>
  <c r="T135" i="5" s="1"/>
  <c r="M135" i="5"/>
  <c r="L135" i="5"/>
  <c r="K135" i="5"/>
  <c r="J135" i="5"/>
  <c r="I135" i="5"/>
  <c r="H135" i="5"/>
  <c r="F135" i="5"/>
  <c r="E135" i="5"/>
  <c r="D135" i="5"/>
  <c r="C135" i="5"/>
  <c r="B135" i="5"/>
  <c r="G135" i="5" s="1"/>
  <c r="A135" i="5"/>
  <c r="BC134" i="5"/>
  <c r="BB134" i="5"/>
  <c r="BA134" i="5"/>
  <c r="AZ134" i="5"/>
  <c r="AY134" i="5"/>
  <c r="AW134" i="5"/>
  <c r="AV134" i="5"/>
  <c r="AU134" i="5"/>
  <c r="AT134" i="5"/>
  <c r="AX134" i="5" s="1"/>
  <c r="AS134" i="5"/>
  <c r="AR134" i="5"/>
  <c r="AQ134" i="5"/>
  <c r="AP134" i="5"/>
  <c r="AO134" i="5"/>
  <c r="AN134" i="5"/>
  <c r="AM134" i="5"/>
  <c r="AL134" i="5"/>
  <c r="AK134" i="5"/>
  <c r="AJ134" i="5"/>
  <c r="AH134" i="5"/>
  <c r="AG134" i="5"/>
  <c r="AF134" i="5"/>
  <c r="AE134" i="5"/>
  <c r="AI134" i="5" s="1"/>
  <c r="AC134" i="5"/>
  <c r="AB134" i="5"/>
  <c r="AD134" i="5" s="1"/>
  <c r="AA134" i="5"/>
  <c r="Z134" i="5"/>
  <c r="X134" i="5"/>
  <c r="W134" i="5"/>
  <c r="V134" i="5"/>
  <c r="U134" i="5"/>
  <c r="Y134" i="5" s="1"/>
  <c r="T134" i="5"/>
  <c r="S134" i="5"/>
  <c r="P134" i="5" s="1"/>
  <c r="R134" i="5"/>
  <c r="Q134" i="5"/>
  <c r="O134" i="5"/>
  <c r="N134" i="5"/>
  <c r="L134" i="5"/>
  <c r="K134" i="5"/>
  <c r="J134" i="5"/>
  <c r="I134" i="5"/>
  <c r="H134" i="5"/>
  <c r="M134" i="5" s="1"/>
  <c r="G134" i="5"/>
  <c r="F134" i="5"/>
  <c r="E134" i="5"/>
  <c r="D134" i="5"/>
  <c r="C134" i="5"/>
  <c r="B134" i="5"/>
  <c r="A134" i="5"/>
  <c r="BB133" i="5"/>
  <c r="BA133" i="5"/>
  <c r="AZ133" i="5"/>
  <c r="AY133" i="5"/>
  <c r="BC133" i="5" s="1"/>
  <c r="AX133" i="5"/>
  <c r="AW133" i="5"/>
  <c r="AV133" i="5"/>
  <c r="AU133" i="5"/>
  <c r="AT133" i="5"/>
  <c r="AR133" i="5"/>
  <c r="AQ133" i="5"/>
  <c r="AP133" i="5"/>
  <c r="AO133" i="5"/>
  <c r="AS133" i="5" s="1"/>
  <c r="AN133" i="5"/>
  <c r="AM133" i="5"/>
  <c r="AL133" i="5"/>
  <c r="AK133" i="5"/>
  <c r="AJ133" i="5"/>
  <c r="AI133" i="5"/>
  <c r="AH133" i="5"/>
  <c r="AG133" i="5"/>
  <c r="AF133" i="5"/>
  <c r="AE133" i="5"/>
  <c r="AC133" i="5"/>
  <c r="AB133" i="5"/>
  <c r="AA133" i="5"/>
  <c r="Z133" i="5"/>
  <c r="AD133" i="5" s="1"/>
  <c r="X133" i="5"/>
  <c r="W133" i="5"/>
  <c r="Y133" i="5" s="1"/>
  <c r="V133" i="5"/>
  <c r="U133" i="5"/>
  <c r="S133" i="5"/>
  <c r="R133" i="5"/>
  <c r="Q133" i="5"/>
  <c r="P133" i="5"/>
  <c r="O133" i="5"/>
  <c r="N133" i="5"/>
  <c r="T133" i="5" s="1"/>
  <c r="L133" i="5"/>
  <c r="K133" i="5"/>
  <c r="M133" i="5" s="1"/>
  <c r="J133" i="5"/>
  <c r="I133" i="5"/>
  <c r="H133" i="5"/>
  <c r="F133" i="5"/>
  <c r="E133" i="5"/>
  <c r="D133" i="5"/>
  <c r="C133" i="5"/>
  <c r="B133" i="5"/>
  <c r="G133" i="5" s="1"/>
  <c r="A133" i="5"/>
  <c r="BC132" i="5"/>
  <c r="BB132" i="5"/>
  <c r="BA132" i="5"/>
  <c r="AZ132" i="5"/>
  <c r="AY132" i="5"/>
  <c r="AW132" i="5"/>
  <c r="AV132" i="5"/>
  <c r="AU132" i="5"/>
  <c r="AT132" i="5"/>
  <c r="AX132" i="5" s="1"/>
  <c r="AS132" i="5"/>
  <c r="AR132" i="5"/>
  <c r="AQ132" i="5"/>
  <c r="AP132" i="5"/>
  <c r="AO132" i="5"/>
  <c r="AM132" i="5"/>
  <c r="AL132" i="5"/>
  <c r="AK132" i="5"/>
  <c r="AJ132" i="5"/>
  <c r="AN132" i="5" s="1"/>
  <c r="AI132" i="5"/>
  <c r="AH132" i="5"/>
  <c r="AG132" i="5"/>
  <c r="AF132" i="5"/>
  <c r="AE132" i="5"/>
  <c r="AD132" i="5"/>
  <c r="AC132" i="5"/>
  <c r="AB132" i="5"/>
  <c r="AA132" i="5"/>
  <c r="Z132" i="5"/>
  <c r="X132" i="5"/>
  <c r="W132" i="5"/>
  <c r="V132" i="5"/>
  <c r="U132" i="5"/>
  <c r="Y132" i="5" s="1"/>
  <c r="S132" i="5"/>
  <c r="T132" i="5" s="1"/>
  <c r="R132" i="5"/>
  <c r="Q132" i="5"/>
  <c r="O132" i="5"/>
  <c r="P132" i="5" s="1"/>
  <c r="N132" i="5"/>
  <c r="L132" i="5"/>
  <c r="K132" i="5"/>
  <c r="J132" i="5"/>
  <c r="I132" i="5"/>
  <c r="H132" i="5"/>
  <c r="M132" i="5" s="1"/>
  <c r="G132" i="5"/>
  <c r="F132" i="5"/>
  <c r="E132" i="5"/>
  <c r="D132" i="5"/>
  <c r="C132" i="5"/>
  <c r="B132" i="5"/>
  <c r="A132" i="5"/>
  <c r="BB131" i="5"/>
  <c r="BA131" i="5"/>
  <c r="AZ131" i="5"/>
  <c r="AY131" i="5"/>
  <c r="BC131" i="5" s="1"/>
  <c r="AX131" i="5"/>
  <c r="AW131" i="5"/>
  <c r="AV131" i="5"/>
  <c r="AU131" i="5"/>
  <c r="AT131" i="5"/>
  <c r="AR131" i="5"/>
  <c r="AQ131" i="5"/>
  <c r="AP131" i="5"/>
  <c r="AO131" i="5"/>
  <c r="AS131" i="5" s="1"/>
  <c r="AN131" i="5"/>
  <c r="AM131" i="5"/>
  <c r="AL131" i="5"/>
  <c r="AK131" i="5"/>
  <c r="AJ131" i="5"/>
  <c r="AH131" i="5"/>
  <c r="AG131" i="5"/>
  <c r="AF131" i="5"/>
  <c r="AE131" i="5"/>
  <c r="AI131" i="5" s="1"/>
  <c r="AD131" i="5"/>
  <c r="AC131" i="5"/>
  <c r="AB131" i="5"/>
  <c r="AA131" i="5"/>
  <c r="Z131" i="5"/>
  <c r="Y131" i="5"/>
  <c r="X131" i="5"/>
  <c r="W131" i="5"/>
  <c r="V131" i="5"/>
  <c r="U131" i="5"/>
  <c r="S131" i="5"/>
  <c r="R131" i="5"/>
  <c r="Q131" i="5"/>
  <c r="P131" i="5"/>
  <c r="O131" i="5"/>
  <c r="N131" i="5"/>
  <c r="T131" i="5" s="1"/>
  <c r="M131" i="5"/>
  <c r="L131" i="5"/>
  <c r="K131" i="5"/>
  <c r="J131" i="5"/>
  <c r="I131" i="5"/>
  <c r="H131" i="5"/>
  <c r="F131" i="5"/>
  <c r="E131" i="5"/>
  <c r="D131" i="5"/>
  <c r="C131" i="5"/>
  <c r="B131" i="5"/>
  <c r="G131" i="5" s="1"/>
  <c r="A131" i="5"/>
  <c r="BB130" i="5"/>
  <c r="BA130" i="5"/>
  <c r="BC130" i="5" s="1"/>
  <c r="AZ130" i="5"/>
  <c r="AY130" i="5"/>
  <c r="AW130" i="5"/>
  <c r="AV130" i="5"/>
  <c r="AU130" i="5"/>
  <c r="AT130" i="5"/>
  <c r="AX130" i="5" s="1"/>
  <c r="AS130" i="5"/>
  <c r="AR130" i="5"/>
  <c r="AQ130" i="5"/>
  <c r="AP130" i="5"/>
  <c r="AO130" i="5"/>
  <c r="AM130" i="5"/>
  <c r="AL130" i="5"/>
  <c r="AK130" i="5"/>
  <c r="AJ130" i="5"/>
  <c r="AN130" i="5" s="1"/>
  <c r="AI130" i="5"/>
  <c r="AH130" i="5"/>
  <c r="AG130" i="5"/>
  <c r="AF130" i="5"/>
  <c r="AE130" i="5"/>
  <c r="AC130" i="5"/>
  <c r="AB130" i="5"/>
  <c r="AA130" i="5"/>
  <c r="Z130" i="5"/>
  <c r="AD130" i="5" s="1"/>
  <c r="Y130" i="5"/>
  <c r="X130" i="5"/>
  <c r="W130" i="5"/>
  <c r="V130" i="5"/>
  <c r="U130" i="5"/>
  <c r="T130" i="5"/>
  <c r="S130" i="5"/>
  <c r="R130" i="5"/>
  <c r="Q130" i="5"/>
  <c r="O130" i="5"/>
  <c r="N130" i="5"/>
  <c r="P130" i="5" s="1"/>
  <c r="M130" i="5"/>
  <c r="L130" i="5"/>
  <c r="K130" i="5"/>
  <c r="J130" i="5"/>
  <c r="I130" i="5"/>
  <c r="H130" i="5"/>
  <c r="F130" i="5"/>
  <c r="E130" i="5"/>
  <c r="G130" i="5" s="1"/>
  <c r="D130" i="5"/>
  <c r="C130" i="5"/>
  <c r="B130" i="5"/>
  <c r="A130" i="5"/>
  <c r="BC129" i="5"/>
  <c r="BB129" i="5"/>
  <c r="BA129" i="5"/>
  <c r="AZ129" i="5"/>
  <c r="AY129" i="5"/>
  <c r="AW129" i="5"/>
  <c r="AV129" i="5"/>
  <c r="AX129" i="5" s="1"/>
  <c r="AU129" i="5"/>
  <c r="AT129" i="5"/>
  <c r="AR129" i="5"/>
  <c r="AQ129" i="5"/>
  <c r="AP129" i="5"/>
  <c r="AO129" i="5"/>
  <c r="AS129" i="5" s="1"/>
  <c r="AN129" i="5"/>
  <c r="AM129" i="5"/>
  <c r="AL129" i="5"/>
  <c r="AK129" i="5"/>
  <c r="AJ129" i="5"/>
  <c r="AH129" i="5"/>
  <c r="AG129" i="5"/>
  <c r="AF129" i="5"/>
  <c r="AE129" i="5"/>
  <c r="AI129" i="5" s="1"/>
  <c r="AD129" i="5"/>
  <c r="AC129" i="5"/>
  <c r="AB129" i="5"/>
  <c r="AA129" i="5"/>
  <c r="Z129" i="5"/>
  <c r="X129" i="5"/>
  <c r="W129" i="5"/>
  <c r="V129" i="5"/>
  <c r="U129" i="5"/>
  <c r="Y129" i="5" s="1"/>
  <c r="T129" i="5"/>
  <c r="S129" i="5"/>
  <c r="P129" i="5" s="1"/>
  <c r="R129" i="5"/>
  <c r="Q129" i="5"/>
  <c r="O129" i="5"/>
  <c r="N129" i="5"/>
  <c r="L129" i="5"/>
  <c r="K129" i="5"/>
  <c r="J129" i="5"/>
  <c r="I129" i="5"/>
  <c r="H129" i="5"/>
  <c r="M129" i="5" s="1"/>
  <c r="G129" i="5"/>
  <c r="F129" i="5"/>
  <c r="E129" i="5"/>
  <c r="D129" i="5"/>
  <c r="C129" i="5"/>
  <c r="B129" i="5"/>
  <c r="A129" i="5"/>
  <c r="BB128" i="5"/>
  <c r="BA128" i="5"/>
  <c r="AZ128" i="5"/>
  <c r="AY128" i="5"/>
  <c r="AW128" i="5"/>
  <c r="AV128" i="5"/>
  <c r="AU128" i="5"/>
  <c r="AT128" i="5"/>
  <c r="AR128" i="5"/>
  <c r="AQ128" i="5"/>
  <c r="AP128" i="5"/>
  <c r="AO128" i="5"/>
  <c r="AM128" i="5"/>
  <c r="AL128" i="5"/>
  <c r="AK128" i="5"/>
  <c r="AJ128" i="5"/>
  <c r="AH128" i="5"/>
  <c r="AG128" i="5"/>
  <c r="AF128" i="5"/>
  <c r="AE128" i="5"/>
  <c r="AC128" i="5"/>
  <c r="AB128" i="5"/>
  <c r="AA128" i="5"/>
  <c r="Z128" i="5"/>
  <c r="X128" i="5"/>
  <c r="W128" i="5"/>
  <c r="V128" i="5"/>
  <c r="U128" i="5"/>
  <c r="S128" i="5"/>
  <c r="R128" i="5"/>
  <c r="Q128" i="5"/>
  <c r="O128" i="5"/>
  <c r="N128" i="5"/>
  <c r="L128" i="5"/>
  <c r="K128" i="5"/>
  <c r="J128" i="5"/>
  <c r="I128" i="5"/>
  <c r="H128" i="5"/>
  <c r="F128" i="5"/>
  <c r="E128" i="5"/>
  <c r="D128" i="5"/>
  <c r="C128" i="5"/>
  <c r="B128" i="5"/>
  <c r="A128" i="5"/>
  <c r="W79" i="5"/>
  <c r="U79" i="5"/>
  <c r="S79" i="5"/>
  <c r="Q79" i="5"/>
  <c r="J79" i="5"/>
  <c r="H79" i="5"/>
  <c r="F79" i="5"/>
  <c r="D79" i="5"/>
  <c r="W78" i="5"/>
  <c r="U78" i="5"/>
  <c r="S78" i="5"/>
  <c r="Q78" i="5"/>
  <c r="J78" i="5"/>
  <c r="H78" i="5"/>
  <c r="F78" i="5"/>
  <c r="D78" i="5"/>
  <c r="W77" i="5"/>
  <c r="U77" i="5"/>
  <c r="S77" i="5"/>
  <c r="Q77" i="5"/>
  <c r="J77" i="5"/>
  <c r="H77" i="5"/>
  <c r="F77" i="5"/>
  <c r="D77" i="5"/>
  <c r="W76" i="5"/>
  <c r="U76" i="5"/>
  <c r="S76" i="5"/>
  <c r="Q76" i="5"/>
  <c r="J76" i="5"/>
  <c r="H76" i="5"/>
  <c r="F76" i="5"/>
  <c r="D76" i="5"/>
  <c r="W75" i="5"/>
  <c r="U75" i="5"/>
  <c r="S75" i="5"/>
  <c r="Q75" i="5"/>
  <c r="J75" i="5"/>
  <c r="H75" i="5"/>
  <c r="F75" i="5"/>
  <c r="D75" i="5"/>
  <c r="W74" i="5"/>
  <c r="U74" i="5"/>
  <c r="S74" i="5"/>
  <c r="Q74" i="5"/>
  <c r="J74" i="5"/>
  <c r="H74" i="5"/>
  <c r="F74" i="5"/>
  <c r="D74" i="5"/>
  <c r="W73" i="5"/>
  <c r="U73" i="5"/>
  <c r="S73" i="5"/>
  <c r="Q73" i="5"/>
  <c r="J73" i="5"/>
  <c r="H73" i="5"/>
  <c r="F73" i="5"/>
  <c r="D73" i="5"/>
  <c r="W72" i="5"/>
  <c r="U72" i="5"/>
  <c r="S72" i="5"/>
  <c r="Q72" i="5"/>
  <c r="J72" i="5"/>
  <c r="H72" i="5"/>
  <c r="F72" i="5"/>
  <c r="D72" i="5"/>
  <c r="W71" i="5"/>
  <c r="U71" i="5"/>
  <c r="S71" i="5"/>
  <c r="Q71" i="5"/>
  <c r="J71" i="5"/>
  <c r="H71" i="5"/>
  <c r="F71" i="5"/>
  <c r="D71" i="5"/>
  <c r="W70" i="5"/>
  <c r="U70" i="5"/>
  <c r="S70" i="5"/>
  <c r="Q70" i="5"/>
  <c r="J70" i="5"/>
  <c r="H70" i="5"/>
  <c r="F70" i="5"/>
  <c r="D70" i="5"/>
  <c r="W69" i="5"/>
  <c r="U69" i="5"/>
  <c r="S69" i="5"/>
  <c r="Q69" i="5"/>
  <c r="J69" i="5"/>
  <c r="H69" i="5"/>
  <c r="F69" i="5"/>
  <c r="D69" i="5"/>
  <c r="W68" i="5"/>
  <c r="U68" i="5"/>
  <c r="S68" i="5"/>
  <c r="Q68" i="5"/>
  <c r="J68" i="5"/>
  <c r="H68" i="5"/>
  <c r="F68" i="5"/>
  <c r="D68" i="5"/>
  <c r="BC144" i="4"/>
  <c r="BB144" i="4"/>
  <c r="BA144" i="4"/>
  <c r="AZ144" i="4"/>
  <c r="AY144" i="4"/>
  <c r="AW144" i="4"/>
  <c r="AV144" i="4"/>
  <c r="AU144" i="4"/>
  <c r="AT144" i="4"/>
  <c r="AX144" i="4" s="1"/>
  <c r="AS144" i="4"/>
  <c r="AR144" i="4"/>
  <c r="AQ144" i="4"/>
  <c r="AP144" i="4"/>
  <c r="AO144" i="4"/>
  <c r="AM144" i="4"/>
  <c r="AL144" i="4"/>
  <c r="AK144" i="4"/>
  <c r="AJ144" i="4"/>
  <c r="AN144" i="4" s="1"/>
  <c r="AI144" i="4"/>
  <c r="AH144" i="4"/>
  <c r="AG144" i="4"/>
  <c r="AF144" i="4"/>
  <c r="AE144" i="4"/>
  <c r="AD144" i="4"/>
  <c r="AC144" i="4"/>
  <c r="AB144" i="4"/>
  <c r="AA144" i="4"/>
  <c r="Z144" i="4"/>
  <c r="X144" i="4"/>
  <c r="W144" i="4"/>
  <c r="V144" i="4"/>
  <c r="U144" i="4"/>
  <c r="Y144" i="4" s="1"/>
  <c r="S144" i="4"/>
  <c r="T144" i="4" s="1"/>
  <c r="R144" i="4"/>
  <c r="Q144" i="4"/>
  <c r="O144" i="4"/>
  <c r="N144" i="4"/>
  <c r="P144" i="4" s="1"/>
  <c r="L144" i="4"/>
  <c r="K144" i="4"/>
  <c r="J144" i="4"/>
  <c r="I144" i="4"/>
  <c r="H144" i="4"/>
  <c r="M144" i="4" s="1"/>
  <c r="G144" i="4"/>
  <c r="F144" i="4"/>
  <c r="E144" i="4"/>
  <c r="D144" i="4"/>
  <c r="C144" i="4"/>
  <c r="B144" i="4"/>
  <c r="A144" i="4"/>
  <c r="BB143" i="4"/>
  <c r="BA143" i="4"/>
  <c r="AZ143" i="4"/>
  <c r="AY143" i="4"/>
  <c r="BC143" i="4" s="1"/>
  <c r="AX143" i="4"/>
  <c r="AW143" i="4"/>
  <c r="AV143" i="4"/>
  <c r="AU143" i="4"/>
  <c r="AT143" i="4"/>
  <c r="AR143" i="4"/>
  <c r="AQ143" i="4"/>
  <c r="AP143" i="4"/>
  <c r="AO143" i="4"/>
  <c r="AS143" i="4" s="1"/>
  <c r="AN143" i="4"/>
  <c r="AM143" i="4"/>
  <c r="AL143" i="4"/>
  <c r="AK143" i="4"/>
  <c r="AJ143" i="4"/>
  <c r="AH143" i="4"/>
  <c r="AG143" i="4"/>
  <c r="AF143" i="4"/>
  <c r="AE143" i="4"/>
  <c r="AI143" i="4" s="1"/>
  <c r="AD143" i="4"/>
  <c r="AC143" i="4"/>
  <c r="AB143" i="4"/>
  <c r="AA143" i="4"/>
  <c r="Z143" i="4"/>
  <c r="Y143" i="4"/>
  <c r="X143" i="4"/>
  <c r="W143" i="4"/>
  <c r="V143" i="4"/>
  <c r="U143" i="4"/>
  <c r="S143" i="4"/>
  <c r="R143" i="4"/>
  <c r="Q143" i="4"/>
  <c r="P143" i="4"/>
  <c r="O143" i="4"/>
  <c r="N143" i="4"/>
  <c r="T143" i="4" s="1"/>
  <c r="M143" i="4"/>
  <c r="L143" i="4"/>
  <c r="K143" i="4"/>
  <c r="J143" i="4"/>
  <c r="I143" i="4"/>
  <c r="H143" i="4"/>
  <c r="F143" i="4"/>
  <c r="E143" i="4"/>
  <c r="D143" i="4"/>
  <c r="C143" i="4"/>
  <c r="B143" i="4"/>
  <c r="G143" i="4" s="1"/>
  <c r="A143" i="4"/>
  <c r="BC142" i="4"/>
  <c r="BB142" i="4"/>
  <c r="BA142" i="4"/>
  <c r="AZ142" i="4"/>
  <c r="AY142" i="4"/>
  <c r="AW142" i="4"/>
  <c r="AV142" i="4"/>
  <c r="AU142" i="4"/>
  <c r="AT142" i="4"/>
  <c r="AX142" i="4" s="1"/>
  <c r="AS142" i="4"/>
  <c r="AR142" i="4"/>
  <c r="AQ142" i="4"/>
  <c r="AP142" i="4"/>
  <c r="AO142" i="4"/>
  <c r="AM142" i="4"/>
  <c r="AL142" i="4"/>
  <c r="AK142" i="4"/>
  <c r="AJ142" i="4"/>
  <c r="AN142" i="4" s="1"/>
  <c r="AI142" i="4"/>
  <c r="AH142" i="4"/>
  <c r="AG142" i="4"/>
  <c r="AF142" i="4"/>
  <c r="AE142" i="4"/>
  <c r="AC142" i="4"/>
  <c r="AB142" i="4"/>
  <c r="AA142" i="4"/>
  <c r="Z142" i="4"/>
  <c r="AD142" i="4" s="1"/>
  <c r="Y142" i="4"/>
  <c r="X142" i="4"/>
  <c r="W142" i="4"/>
  <c r="V142" i="4"/>
  <c r="U142" i="4"/>
  <c r="T142" i="4"/>
  <c r="S142" i="4"/>
  <c r="R142" i="4"/>
  <c r="Q142" i="4"/>
  <c r="O142" i="4"/>
  <c r="N142" i="4"/>
  <c r="P142" i="4" s="1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BB141" i="4"/>
  <c r="BC141" i="4" s="1"/>
  <c r="BA141" i="4"/>
  <c r="AZ141" i="4"/>
  <c r="AY141" i="4"/>
  <c r="AX141" i="4"/>
  <c r="AW141" i="4"/>
  <c r="AV141" i="4"/>
  <c r="AU141" i="4"/>
  <c r="AT141" i="4"/>
  <c r="AR141" i="4"/>
  <c r="AQ141" i="4"/>
  <c r="AP141" i="4"/>
  <c r="AO141" i="4"/>
  <c r="AS141" i="4" s="1"/>
  <c r="AN141" i="4"/>
  <c r="AM141" i="4"/>
  <c r="AL141" i="4"/>
  <c r="AK141" i="4"/>
  <c r="AJ141" i="4"/>
  <c r="AH141" i="4"/>
  <c r="AG141" i="4"/>
  <c r="AF141" i="4"/>
  <c r="AE141" i="4"/>
  <c r="AI141" i="4" s="1"/>
  <c r="AD141" i="4"/>
  <c r="AC141" i="4"/>
  <c r="AB141" i="4"/>
  <c r="AA141" i="4"/>
  <c r="Z141" i="4"/>
  <c r="X141" i="4"/>
  <c r="W141" i="4"/>
  <c r="V141" i="4"/>
  <c r="U141" i="4"/>
  <c r="Y141" i="4" s="1"/>
  <c r="T141" i="4"/>
  <c r="S141" i="4"/>
  <c r="P141" i="4" s="1"/>
  <c r="R141" i="4"/>
  <c r="Q141" i="4"/>
  <c r="O141" i="4"/>
  <c r="N141" i="4"/>
  <c r="L141" i="4"/>
  <c r="K141" i="4"/>
  <c r="J141" i="4"/>
  <c r="I141" i="4"/>
  <c r="H141" i="4"/>
  <c r="M141" i="4" s="1"/>
  <c r="F141" i="4"/>
  <c r="G141" i="4" s="1"/>
  <c r="E141" i="4"/>
  <c r="D141" i="4"/>
  <c r="C141" i="4"/>
  <c r="B141" i="4"/>
  <c r="A141" i="4"/>
  <c r="BB140" i="4"/>
  <c r="BA140" i="4"/>
  <c r="AZ140" i="4"/>
  <c r="AY140" i="4"/>
  <c r="BC140" i="4" s="1"/>
  <c r="AX140" i="4"/>
  <c r="AW140" i="4"/>
  <c r="AV140" i="4"/>
  <c r="AU140" i="4"/>
  <c r="AT140" i="4"/>
  <c r="AS140" i="4"/>
  <c r="AR140" i="4"/>
  <c r="AQ140" i="4"/>
  <c r="AP140" i="4"/>
  <c r="AO140" i="4"/>
  <c r="AM140" i="4"/>
  <c r="AL140" i="4"/>
  <c r="AK140" i="4"/>
  <c r="AJ140" i="4"/>
  <c r="AN140" i="4" s="1"/>
  <c r="AI140" i="4"/>
  <c r="AH140" i="4"/>
  <c r="AG140" i="4"/>
  <c r="AF140" i="4"/>
  <c r="AE140" i="4"/>
  <c r="AC140" i="4"/>
  <c r="AB140" i="4"/>
  <c r="AA140" i="4"/>
  <c r="Z140" i="4"/>
  <c r="AD140" i="4" s="1"/>
  <c r="Y140" i="4"/>
  <c r="X140" i="4"/>
  <c r="W140" i="4"/>
  <c r="V140" i="4"/>
  <c r="U140" i="4"/>
  <c r="S140" i="4"/>
  <c r="R140" i="4"/>
  <c r="Q140" i="4"/>
  <c r="O140" i="4"/>
  <c r="N140" i="4"/>
  <c r="T140" i="4" s="1"/>
  <c r="M140" i="4"/>
  <c r="L140" i="4"/>
  <c r="K140" i="4"/>
  <c r="J140" i="4"/>
  <c r="I140" i="4"/>
  <c r="H140" i="4"/>
  <c r="F140" i="4"/>
  <c r="E140" i="4"/>
  <c r="D140" i="4"/>
  <c r="C140" i="4"/>
  <c r="B140" i="4"/>
  <c r="G140" i="4" s="1"/>
  <c r="A140" i="4"/>
  <c r="BB139" i="4"/>
  <c r="BA139" i="4"/>
  <c r="BC139" i="4" s="1"/>
  <c r="AZ139" i="4"/>
  <c r="AY139" i="4"/>
  <c r="AW139" i="4"/>
  <c r="AV139" i="4"/>
  <c r="AU139" i="4"/>
  <c r="AT139" i="4"/>
  <c r="AX139" i="4" s="1"/>
  <c r="AR139" i="4"/>
  <c r="AS139" i="4" s="1"/>
  <c r="AQ139" i="4"/>
  <c r="AP139" i="4"/>
  <c r="AO139" i="4"/>
  <c r="AN139" i="4"/>
  <c r="AM139" i="4"/>
  <c r="AL139" i="4"/>
  <c r="AK139" i="4"/>
  <c r="AJ139" i="4"/>
  <c r="AH139" i="4"/>
  <c r="AG139" i="4"/>
  <c r="AF139" i="4"/>
  <c r="AE139" i="4"/>
  <c r="AI139" i="4" s="1"/>
  <c r="AD139" i="4"/>
  <c r="AC139" i="4"/>
  <c r="AB139" i="4"/>
  <c r="AA139" i="4"/>
  <c r="Z139" i="4"/>
  <c r="X139" i="4"/>
  <c r="W139" i="4"/>
  <c r="V139" i="4"/>
  <c r="U139" i="4"/>
  <c r="Y139" i="4" s="1"/>
  <c r="T139" i="4"/>
  <c r="S139" i="4"/>
  <c r="P139" i="4" s="1"/>
  <c r="R139" i="4"/>
  <c r="Q139" i="4"/>
  <c r="O139" i="4"/>
  <c r="N139" i="4"/>
  <c r="L139" i="4"/>
  <c r="K139" i="4"/>
  <c r="J139" i="4"/>
  <c r="I139" i="4"/>
  <c r="H139" i="4"/>
  <c r="M139" i="4" s="1"/>
  <c r="F139" i="4"/>
  <c r="E139" i="4"/>
  <c r="G139" i="4" s="1"/>
  <c r="D139" i="4"/>
  <c r="C139" i="4"/>
  <c r="B139" i="4"/>
  <c r="A139" i="4"/>
  <c r="BB138" i="4"/>
  <c r="BA138" i="4"/>
  <c r="AZ138" i="4"/>
  <c r="AY138" i="4"/>
  <c r="BC138" i="4" s="1"/>
  <c r="AW138" i="4"/>
  <c r="AV138" i="4"/>
  <c r="AX138" i="4" s="1"/>
  <c r="AU138" i="4"/>
  <c r="AT138" i="4"/>
  <c r="AR138" i="4"/>
  <c r="AQ138" i="4"/>
  <c r="AP138" i="4"/>
  <c r="AO138" i="4"/>
  <c r="AS138" i="4" s="1"/>
  <c r="AM138" i="4"/>
  <c r="AN138" i="4" s="1"/>
  <c r="AL138" i="4"/>
  <c r="AK138" i="4"/>
  <c r="AJ138" i="4"/>
  <c r="AI138" i="4"/>
  <c r="AH138" i="4"/>
  <c r="AG138" i="4"/>
  <c r="AF138" i="4"/>
  <c r="AE138" i="4"/>
  <c r="AC138" i="4"/>
  <c r="AB138" i="4"/>
  <c r="AA138" i="4"/>
  <c r="Z138" i="4"/>
  <c r="AD138" i="4" s="1"/>
  <c r="Y138" i="4"/>
  <c r="X138" i="4"/>
  <c r="W138" i="4"/>
  <c r="V138" i="4"/>
  <c r="U138" i="4"/>
  <c r="S138" i="4"/>
  <c r="R138" i="4"/>
  <c r="Q138" i="4"/>
  <c r="O138" i="4"/>
  <c r="P138" i="4" s="1"/>
  <c r="N138" i="4"/>
  <c r="T138" i="4" s="1"/>
  <c r="M138" i="4"/>
  <c r="L138" i="4"/>
  <c r="K138" i="4"/>
  <c r="J138" i="4"/>
  <c r="I138" i="4"/>
  <c r="H138" i="4"/>
  <c r="F138" i="4"/>
  <c r="E138" i="4"/>
  <c r="D138" i="4"/>
  <c r="C138" i="4"/>
  <c r="B138" i="4"/>
  <c r="G138" i="4" s="1"/>
  <c r="A138" i="4"/>
  <c r="BC137" i="4"/>
  <c r="BB137" i="4"/>
  <c r="BA137" i="4"/>
  <c r="AZ137" i="4"/>
  <c r="AY137" i="4"/>
  <c r="AW137" i="4"/>
  <c r="AV137" i="4"/>
  <c r="AU137" i="4"/>
  <c r="AT137" i="4"/>
  <c r="AX137" i="4" s="1"/>
  <c r="AR137" i="4"/>
  <c r="AQ137" i="4"/>
  <c r="AS137" i="4" s="1"/>
  <c r="AP137" i="4"/>
  <c r="AO137" i="4"/>
  <c r="AM137" i="4"/>
  <c r="AL137" i="4"/>
  <c r="AK137" i="4"/>
  <c r="AJ137" i="4"/>
  <c r="AN137" i="4" s="1"/>
  <c r="AH137" i="4"/>
  <c r="AI137" i="4" s="1"/>
  <c r="AG137" i="4"/>
  <c r="AF137" i="4"/>
  <c r="AE137" i="4"/>
  <c r="AD137" i="4"/>
  <c r="AC137" i="4"/>
  <c r="AB137" i="4"/>
  <c r="AA137" i="4"/>
  <c r="Z137" i="4"/>
  <c r="X137" i="4"/>
  <c r="W137" i="4"/>
  <c r="V137" i="4"/>
  <c r="U137" i="4"/>
  <c r="Y137" i="4" s="1"/>
  <c r="T137" i="4"/>
  <c r="S137" i="4"/>
  <c r="P137" i="4" s="1"/>
  <c r="R137" i="4"/>
  <c r="Q137" i="4"/>
  <c r="O137" i="4"/>
  <c r="N137" i="4"/>
  <c r="L137" i="4"/>
  <c r="K137" i="4"/>
  <c r="J137" i="4"/>
  <c r="I137" i="4"/>
  <c r="H137" i="4"/>
  <c r="M137" i="4" s="1"/>
  <c r="G137" i="4"/>
  <c r="F137" i="4"/>
  <c r="E137" i="4"/>
  <c r="D137" i="4"/>
  <c r="C137" i="4"/>
  <c r="B137" i="4"/>
  <c r="A137" i="4"/>
  <c r="BC136" i="4"/>
  <c r="BB136" i="4"/>
  <c r="BA136" i="4"/>
  <c r="AZ136" i="4"/>
  <c r="AY136" i="4"/>
  <c r="AX136" i="4"/>
  <c r="AW136" i="4"/>
  <c r="AV136" i="4"/>
  <c r="AU136" i="4"/>
  <c r="AT136" i="4"/>
  <c r="AR136" i="4"/>
  <c r="AQ136" i="4"/>
  <c r="AP136" i="4"/>
  <c r="AO136" i="4"/>
  <c r="AS136" i="4" s="1"/>
  <c r="AM136" i="4"/>
  <c r="AL136" i="4"/>
  <c r="AN136" i="4" s="1"/>
  <c r="AK136" i="4"/>
  <c r="AJ136" i="4"/>
  <c r="AH136" i="4"/>
  <c r="AG136" i="4"/>
  <c r="AF136" i="4"/>
  <c r="AE136" i="4"/>
  <c r="AI136" i="4" s="1"/>
  <c r="AC136" i="4"/>
  <c r="AD136" i="4" s="1"/>
  <c r="AB136" i="4"/>
  <c r="AA136" i="4"/>
  <c r="Z136" i="4"/>
  <c r="Y136" i="4"/>
  <c r="X136" i="4"/>
  <c r="W136" i="4"/>
  <c r="V136" i="4"/>
  <c r="U136" i="4"/>
  <c r="S136" i="4"/>
  <c r="R136" i="4"/>
  <c r="Q136" i="4"/>
  <c r="O136" i="4"/>
  <c r="N136" i="4"/>
  <c r="T136" i="4" s="1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BB135" i="4"/>
  <c r="BC135" i="4" s="1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M135" i="4"/>
  <c r="AL135" i="4"/>
  <c r="AK135" i="4"/>
  <c r="AJ135" i="4"/>
  <c r="AN135" i="4" s="1"/>
  <c r="AH135" i="4"/>
  <c r="AG135" i="4"/>
  <c r="AF135" i="4"/>
  <c r="AI135" i="4" s="1"/>
  <c r="AE135" i="4"/>
  <c r="AC135" i="4"/>
  <c r="AB135" i="4"/>
  <c r="AA135" i="4"/>
  <c r="Z135" i="4"/>
  <c r="AD135" i="4" s="1"/>
  <c r="X135" i="4"/>
  <c r="Y135" i="4" s="1"/>
  <c r="W135" i="4"/>
  <c r="V135" i="4"/>
  <c r="U135" i="4"/>
  <c r="S135" i="4"/>
  <c r="R135" i="4"/>
  <c r="Q135" i="4"/>
  <c r="O135" i="4"/>
  <c r="N135" i="4"/>
  <c r="T135" i="4" s="1"/>
  <c r="L135" i="4"/>
  <c r="M135" i="4" s="1"/>
  <c r="K135" i="4"/>
  <c r="J135" i="4"/>
  <c r="I135" i="4"/>
  <c r="H135" i="4"/>
  <c r="F135" i="4"/>
  <c r="E135" i="4"/>
  <c r="D135" i="4"/>
  <c r="C135" i="4"/>
  <c r="B135" i="4"/>
  <c r="G135" i="4" s="1"/>
  <c r="A135" i="4"/>
  <c r="BC134" i="4"/>
  <c r="BB134" i="4"/>
  <c r="BA134" i="4"/>
  <c r="AZ134" i="4"/>
  <c r="AY134" i="4"/>
  <c r="AW134" i="4"/>
  <c r="AX134" i="4" s="1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H134" i="4"/>
  <c r="AG134" i="4"/>
  <c r="AF134" i="4"/>
  <c r="AE134" i="4"/>
  <c r="AI134" i="4" s="1"/>
  <c r="AC134" i="4"/>
  <c r="AB134" i="4"/>
  <c r="AA134" i="4"/>
  <c r="AD134" i="4" s="1"/>
  <c r="Z134" i="4"/>
  <c r="X134" i="4"/>
  <c r="W134" i="4"/>
  <c r="V134" i="4"/>
  <c r="U134" i="4"/>
  <c r="Y134" i="4" s="1"/>
  <c r="S134" i="4"/>
  <c r="P134" i="4" s="1"/>
  <c r="R134" i="4"/>
  <c r="Q134" i="4"/>
  <c r="O134" i="4"/>
  <c r="N134" i="4"/>
  <c r="L134" i="4"/>
  <c r="K134" i="4"/>
  <c r="J134" i="4"/>
  <c r="I134" i="4"/>
  <c r="H134" i="4"/>
  <c r="M134" i="4" s="1"/>
  <c r="G134" i="4"/>
  <c r="F134" i="4"/>
  <c r="E134" i="4"/>
  <c r="D134" i="4"/>
  <c r="C134" i="4"/>
  <c r="B134" i="4"/>
  <c r="A134" i="4"/>
  <c r="BB133" i="4"/>
  <c r="BA133" i="4"/>
  <c r="AZ133" i="4"/>
  <c r="AY133" i="4"/>
  <c r="BC133" i="4" s="1"/>
  <c r="AX133" i="4"/>
  <c r="AW133" i="4"/>
  <c r="AV133" i="4"/>
  <c r="AU133" i="4"/>
  <c r="AT133" i="4"/>
  <c r="AR133" i="4"/>
  <c r="AS133" i="4" s="1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C133" i="4"/>
  <c r="AB133" i="4"/>
  <c r="AA133" i="4"/>
  <c r="Z133" i="4"/>
  <c r="AD133" i="4" s="1"/>
  <c r="X133" i="4"/>
  <c r="W133" i="4"/>
  <c r="Y133" i="4" s="1"/>
  <c r="V133" i="4"/>
  <c r="U133" i="4"/>
  <c r="S133" i="4"/>
  <c r="R133" i="4"/>
  <c r="Q133" i="4"/>
  <c r="P133" i="4"/>
  <c r="O133" i="4"/>
  <c r="N133" i="4"/>
  <c r="T133" i="4" s="1"/>
  <c r="L133" i="4"/>
  <c r="K133" i="4"/>
  <c r="M133" i="4" s="1"/>
  <c r="J133" i="4"/>
  <c r="I133" i="4"/>
  <c r="H133" i="4"/>
  <c r="F133" i="4"/>
  <c r="E133" i="4"/>
  <c r="D133" i="4"/>
  <c r="C133" i="4"/>
  <c r="B133" i="4"/>
  <c r="G133" i="4" s="1"/>
  <c r="A133" i="4"/>
  <c r="BC132" i="4"/>
  <c r="BB132" i="4"/>
  <c r="BA132" i="4"/>
  <c r="AZ132" i="4"/>
  <c r="AY132" i="4"/>
  <c r="AW132" i="4"/>
  <c r="AV132" i="4"/>
  <c r="AU132" i="4"/>
  <c r="AT132" i="4"/>
  <c r="AX132" i="4" s="1"/>
  <c r="AS132" i="4"/>
  <c r="AR132" i="4"/>
  <c r="AQ132" i="4"/>
  <c r="AP132" i="4"/>
  <c r="AO132" i="4"/>
  <c r="AM132" i="4"/>
  <c r="AL132" i="4"/>
  <c r="AK132" i="4"/>
  <c r="AJ132" i="4"/>
  <c r="AN132" i="4" s="1"/>
  <c r="AI132" i="4"/>
  <c r="AH132" i="4"/>
  <c r="AG132" i="4"/>
  <c r="AF132" i="4"/>
  <c r="AE132" i="4"/>
  <c r="AD132" i="4"/>
  <c r="AC132" i="4"/>
  <c r="AB132" i="4"/>
  <c r="AA132" i="4"/>
  <c r="Z132" i="4"/>
  <c r="X132" i="4"/>
  <c r="W132" i="4"/>
  <c r="V132" i="4"/>
  <c r="U132" i="4"/>
  <c r="Y132" i="4" s="1"/>
  <c r="S132" i="4"/>
  <c r="T132" i="4" s="1"/>
  <c r="R132" i="4"/>
  <c r="Q132" i="4"/>
  <c r="O132" i="4"/>
  <c r="N132" i="4"/>
  <c r="P132" i="4" s="1"/>
  <c r="L132" i="4"/>
  <c r="K132" i="4"/>
  <c r="J132" i="4"/>
  <c r="I132" i="4"/>
  <c r="H132" i="4"/>
  <c r="M132" i="4" s="1"/>
  <c r="G132" i="4"/>
  <c r="F132" i="4"/>
  <c r="E132" i="4"/>
  <c r="D132" i="4"/>
  <c r="C132" i="4"/>
  <c r="B132" i="4"/>
  <c r="A132" i="4"/>
  <c r="BB131" i="4"/>
  <c r="BA131" i="4"/>
  <c r="AZ131" i="4"/>
  <c r="AY131" i="4"/>
  <c r="BC131" i="4" s="1"/>
  <c r="AX131" i="4"/>
  <c r="AW131" i="4"/>
  <c r="AV131" i="4"/>
  <c r="AU131" i="4"/>
  <c r="AT131" i="4"/>
  <c r="AR131" i="4"/>
  <c r="AQ131" i="4"/>
  <c r="AP131" i="4"/>
  <c r="AO131" i="4"/>
  <c r="AS131" i="4" s="1"/>
  <c r="AM131" i="4"/>
  <c r="AL131" i="4"/>
  <c r="AN131" i="4" s="1"/>
  <c r="AK131" i="4"/>
  <c r="AJ131" i="4"/>
  <c r="AH131" i="4"/>
  <c r="AG131" i="4"/>
  <c r="AF131" i="4"/>
  <c r="AE131" i="4"/>
  <c r="AI131" i="4" s="1"/>
  <c r="AD131" i="4"/>
  <c r="AC131" i="4"/>
  <c r="AB131" i="4"/>
  <c r="AA131" i="4"/>
  <c r="Z131" i="4"/>
  <c r="Y131" i="4"/>
  <c r="X131" i="4"/>
  <c r="W131" i="4"/>
  <c r="V131" i="4"/>
  <c r="U131" i="4"/>
  <c r="S131" i="4"/>
  <c r="R131" i="4"/>
  <c r="Q131" i="4"/>
  <c r="O131" i="4"/>
  <c r="N131" i="4"/>
  <c r="T131" i="4" s="1"/>
  <c r="M131" i="4"/>
  <c r="L131" i="4"/>
  <c r="K131" i="4"/>
  <c r="J131" i="4"/>
  <c r="I131" i="4"/>
  <c r="H131" i="4"/>
  <c r="F131" i="4"/>
  <c r="E131" i="4"/>
  <c r="D131" i="4"/>
  <c r="C131" i="4"/>
  <c r="B131" i="4"/>
  <c r="G131" i="4" s="1"/>
  <c r="A131" i="4"/>
  <c r="BC130" i="4"/>
  <c r="BB130" i="4"/>
  <c r="BA130" i="4"/>
  <c r="AZ130" i="4"/>
  <c r="AY130" i="4"/>
  <c r="AW130" i="4"/>
  <c r="AV130" i="4"/>
  <c r="AU130" i="4"/>
  <c r="AT130" i="4"/>
  <c r="AX130" i="4" s="1"/>
  <c r="AS130" i="4"/>
  <c r="AR130" i="4"/>
  <c r="AQ130" i="4"/>
  <c r="AP130" i="4"/>
  <c r="AO130" i="4"/>
  <c r="AM130" i="4"/>
  <c r="AL130" i="4"/>
  <c r="AK130" i="4"/>
  <c r="AJ130" i="4"/>
  <c r="AN130" i="4" s="1"/>
  <c r="AH130" i="4"/>
  <c r="AG130" i="4"/>
  <c r="AI130" i="4" s="1"/>
  <c r="AF130" i="4"/>
  <c r="AE130" i="4"/>
  <c r="AC130" i="4"/>
  <c r="AD130" i="4" s="1"/>
  <c r="AB130" i="4"/>
  <c r="AA130" i="4"/>
  <c r="Z130" i="4"/>
  <c r="Y130" i="4"/>
  <c r="X130" i="4"/>
  <c r="W130" i="4"/>
  <c r="V130" i="4"/>
  <c r="U130" i="4"/>
  <c r="T130" i="4"/>
  <c r="S130" i="4"/>
  <c r="R130" i="4"/>
  <c r="Q130" i="4"/>
  <c r="O130" i="4"/>
  <c r="N130" i="4"/>
  <c r="P130" i="4" s="1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BB129" i="4"/>
  <c r="BA129" i="4"/>
  <c r="AZ129" i="4"/>
  <c r="BC129" i="4" s="1"/>
  <c r="AY129" i="4"/>
  <c r="AX129" i="4"/>
  <c r="AW129" i="4"/>
  <c r="AV129" i="4"/>
  <c r="AU129" i="4"/>
  <c r="AT129" i="4"/>
  <c r="AR129" i="4"/>
  <c r="AQ129" i="4"/>
  <c r="AP129" i="4"/>
  <c r="AO129" i="4"/>
  <c r="AS129" i="4" s="1"/>
  <c r="AN129" i="4"/>
  <c r="AM129" i="4"/>
  <c r="AL129" i="4"/>
  <c r="AK129" i="4"/>
  <c r="AJ129" i="4"/>
  <c r="AH129" i="4"/>
  <c r="AG129" i="4"/>
  <c r="AF129" i="4"/>
  <c r="AE129" i="4"/>
  <c r="AI129" i="4" s="1"/>
  <c r="AC129" i="4"/>
  <c r="AB129" i="4"/>
  <c r="AD129" i="4" s="1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L129" i="4"/>
  <c r="K129" i="4"/>
  <c r="J129" i="4"/>
  <c r="I129" i="4"/>
  <c r="H129" i="4"/>
  <c r="M129" i="4" s="1"/>
  <c r="F129" i="4"/>
  <c r="E129" i="4"/>
  <c r="D129" i="4"/>
  <c r="G129" i="4" s="1"/>
  <c r="C129" i="4"/>
  <c r="B129" i="4"/>
  <c r="A129" i="4"/>
  <c r="BB128" i="4"/>
  <c r="BA128" i="4"/>
  <c r="AZ128" i="4"/>
  <c r="AY128" i="4"/>
  <c r="AW128" i="4"/>
  <c r="AV128" i="4"/>
  <c r="AU128" i="4"/>
  <c r="AT128" i="4"/>
  <c r="AR128" i="4"/>
  <c r="AQ128" i="4"/>
  <c r="AP128" i="4"/>
  <c r="AO128" i="4"/>
  <c r="AM128" i="4"/>
  <c r="AL128" i="4"/>
  <c r="AK128" i="4"/>
  <c r="AJ128" i="4"/>
  <c r="AH128" i="4"/>
  <c r="AG128" i="4"/>
  <c r="AF128" i="4"/>
  <c r="AE128" i="4"/>
  <c r="AC128" i="4"/>
  <c r="AB128" i="4"/>
  <c r="AA128" i="4"/>
  <c r="Z128" i="4"/>
  <c r="X128" i="4"/>
  <c r="W128" i="4"/>
  <c r="V128" i="4"/>
  <c r="U128" i="4"/>
  <c r="S128" i="4"/>
  <c r="R128" i="4"/>
  <c r="Q128" i="4"/>
  <c r="O128" i="4"/>
  <c r="N128" i="4"/>
  <c r="L128" i="4"/>
  <c r="K128" i="4"/>
  <c r="J128" i="4"/>
  <c r="I128" i="4"/>
  <c r="H128" i="4"/>
  <c r="F128" i="4"/>
  <c r="E128" i="4"/>
  <c r="D128" i="4"/>
  <c r="C128" i="4"/>
  <c r="B128" i="4"/>
  <c r="A128" i="4"/>
  <c r="W79" i="4"/>
  <c r="U79" i="4"/>
  <c r="S79" i="4"/>
  <c r="Q79" i="4"/>
  <c r="J79" i="4"/>
  <c r="H79" i="4"/>
  <c r="F79" i="4"/>
  <c r="D79" i="4"/>
  <c r="W78" i="4"/>
  <c r="U78" i="4"/>
  <c r="S78" i="4"/>
  <c r="Q78" i="4"/>
  <c r="J78" i="4"/>
  <c r="H78" i="4"/>
  <c r="F78" i="4"/>
  <c r="D78" i="4"/>
  <c r="W77" i="4"/>
  <c r="U77" i="4"/>
  <c r="S77" i="4"/>
  <c r="Q77" i="4"/>
  <c r="J77" i="4"/>
  <c r="H77" i="4"/>
  <c r="F77" i="4"/>
  <c r="D77" i="4"/>
  <c r="W76" i="4"/>
  <c r="U76" i="4"/>
  <c r="S76" i="4"/>
  <c r="Q76" i="4"/>
  <c r="J76" i="4"/>
  <c r="H76" i="4"/>
  <c r="F76" i="4"/>
  <c r="D76" i="4"/>
  <c r="W75" i="4"/>
  <c r="U75" i="4"/>
  <c r="S75" i="4"/>
  <c r="Q75" i="4"/>
  <c r="J75" i="4"/>
  <c r="H75" i="4"/>
  <c r="F75" i="4"/>
  <c r="D75" i="4"/>
  <c r="W74" i="4"/>
  <c r="U74" i="4"/>
  <c r="S74" i="4"/>
  <c r="Q74" i="4"/>
  <c r="J74" i="4"/>
  <c r="H74" i="4"/>
  <c r="F74" i="4"/>
  <c r="D74" i="4"/>
  <c r="W73" i="4"/>
  <c r="U73" i="4"/>
  <c r="S73" i="4"/>
  <c r="Q73" i="4"/>
  <c r="J73" i="4"/>
  <c r="H73" i="4"/>
  <c r="F73" i="4"/>
  <c r="D73" i="4"/>
  <c r="W72" i="4"/>
  <c r="U72" i="4"/>
  <c r="S72" i="4"/>
  <c r="Q72" i="4"/>
  <c r="J72" i="4"/>
  <c r="H72" i="4"/>
  <c r="F72" i="4"/>
  <c r="D72" i="4"/>
  <c r="W71" i="4"/>
  <c r="U71" i="4"/>
  <c r="S71" i="4"/>
  <c r="Q71" i="4"/>
  <c r="J71" i="4"/>
  <c r="H71" i="4"/>
  <c r="F71" i="4"/>
  <c r="D71" i="4"/>
  <c r="W70" i="4"/>
  <c r="U70" i="4"/>
  <c r="S70" i="4"/>
  <c r="Q70" i="4"/>
  <c r="J70" i="4"/>
  <c r="H70" i="4"/>
  <c r="F70" i="4"/>
  <c r="D70" i="4"/>
  <c r="W69" i="4"/>
  <c r="U69" i="4"/>
  <c r="S69" i="4"/>
  <c r="Q69" i="4"/>
  <c r="J69" i="4"/>
  <c r="H69" i="4"/>
  <c r="F69" i="4"/>
  <c r="D69" i="4"/>
  <c r="W68" i="4"/>
  <c r="U68" i="4"/>
  <c r="S68" i="4"/>
  <c r="Q68" i="4"/>
  <c r="J68" i="4"/>
  <c r="H68" i="4"/>
  <c r="F68" i="4"/>
  <c r="D68" i="4"/>
  <c r="BC144" i="3"/>
  <c r="BB144" i="3"/>
  <c r="BA144" i="3"/>
  <c r="AZ144" i="3"/>
  <c r="AY144" i="3"/>
  <c r="AW144" i="3"/>
  <c r="AV144" i="3"/>
  <c r="AU144" i="3"/>
  <c r="AT144" i="3"/>
  <c r="AX144" i="3" s="1"/>
  <c r="AR144" i="3"/>
  <c r="AQ144" i="3"/>
  <c r="AS144" i="3" s="1"/>
  <c r="AP144" i="3"/>
  <c r="AO144" i="3"/>
  <c r="AM144" i="3"/>
  <c r="AL144" i="3"/>
  <c r="AK144" i="3"/>
  <c r="AJ144" i="3"/>
  <c r="AN144" i="3" s="1"/>
  <c r="AI144" i="3"/>
  <c r="AH144" i="3"/>
  <c r="AG144" i="3"/>
  <c r="AF144" i="3"/>
  <c r="AE144" i="3"/>
  <c r="AD144" i="3"/>
  <c r="AC144" i="3"/>
  <c r="AB144" i="3"/>
  <c r="AA144" i="3"/>
  <c r="Z144" i="3"/>
  <c r="X144" i="3"/>
  <c r="W144" i="3"/>
  <c r="V144" i="3"/>
  <c r="U144" i="3"/>
  <c r="Y144" i="3" s="1"/>
  <c r="S144" i="3"/>
  <c r="T144" i="3" s="1"/>
  <c r="R144" i="3"/>
  <c r="Q144" i="3"/>
  <c r="O144" i="3"/>
  <c r="N144" i="3"/>
  <c r="P144" i="3" s="1"/>
  <c r="L144" i="3"/>
  <c r="K144" i="3"/>
  <c r="J144" i="3"/>
  <c r="I144" i="3"/>
  <c r="H144" i="3"/>
  <c r="M144" i="3" s="1"/>
  <c r="G144" i="3"/>
  <c r="F144" i="3"/>
  <c r="E144" i="3"/>
  <c r="D144" i="3"/>
  <c r="C144" i="3"/>
  <c r="B144" i="3"/>
  <c r="A144" i="3"/>
  <c r="BB143" i="3"/>
  <c r="BA143" i="3"/>
  <c r="AZ143" i="3"/>
  <c r="BC143" i="3" s="1"/>
  <c r="AY143" i="3"/>
  <c r="AX143" i="3"/>
  <c r="AW143" i="3"/>
  <c r="AV143" i="3"/>
  <c r="AU143" i="3"/>
  <c r="AT143" i="3"/>
  <c r="AR143" i="3"/>
  <c r="AQ143" i="3"/>
  <c r="AP143" i="3"/>
  <c r="AO143" i="3"/>
  <c r="AS143" i="3" s="1"/>
  <c r="AM143" i="3"/>
  <c r="AL143" i="3"/>
  <c r="AN143" i="3" s="1"/>
  <c r="AK143" i="3"/>
  <c r="AJ143" i="3"/>
  <c r="AH143" i="3"/>
  <c r="AG143" i="3"/>
  <c r="AF143" i="3"/>
  <c r="AE143" i="3"/>
  <c r="AI143" i="3" s="1"/>
  <c r="AD143" i="3"/>
  <c r="AC143" i="3"/>
  <c r="AB143" i="3"/>
  <c r="AA143" i="3"/>
  <c r="Z143" i="3"/>
  <c r="Y143" i="3"/>
  <c r="X143" i="3"/>
  <c r="W143" i="3"/>
  <c r="V143" i="3"/>
  <c r="U143" i="3"/>
  <c r="S143" i="3"/>
  <c r="R143" i="3"/>
  <c r="Q143" i="3"/>
  <c r="O143" i="3"/>
  <c r="N143" i="3"/>
  <c r="T143" i="3" s="1"/>
  <c r="M143" i="3"/>
  <c r="L143" i="3"/>
  <c r="K143" i="3"/>
  <c r="J143" i="3"/>
  <c r="I143" i="3"/>
  <c r="H143" i="3"/>
  <c r="F143" i="3"/>
  <c r="E143" i="3"/>
  <c r="D143" i="3"/>
  <c r="C143" i="3"/>
  <c r="B143" i="3"/>
  <c r="G143" i="3" s="1"/>
  <c r="A143" i="3"/>
  <c r="BC142" i="3"/>
  <c r="BB142" i="3"/>
  <c r="BA142" i="3"/>
  <c r="AZ142" i="3"/>
  <c r="AY142" i="3"/>
  <c r="AW142" i="3"/>
  <c r="AV142" i="3"/>
  <c r="AU142" i="3"/>
  <c r="AX142" i="3" s="1"/>
  <c r="AT142" i="3"/>
  <c r="AS142" i="3"/>
  <c r="AR142" i="3"/>
  <c r="AQ142" i="3"/>
  <c r="AP142" i="3"/>
  <c r="AO142" i="3"/>
  <c r="AM142" i="3"/>
  <c r="AL142" i="3"/>
  <c r="AK142" i="3"/>
  <c r="AJ142" i="3"/>
  <c r="AN142" i="3" s="1"/>
  <c r="AH142" i="3"/>
  <c r="AG142" i="3"/>
  <c r="AI142" i="3" s="1"/>
  <c r="AF142" i="3"/>
  <c r="AE142" i="3"/>
  <c r="AC142" i="3"/>
  <c r="AB142" i="3"/>
  <c r="AA142" i="3"/>
  <c r="Z142" i="3"/>
  <c r="AD142" i="3" s="1"/>
  <c r="Y142" i="3"/>
  <c r="X142" i="3"/>
  <c r="W142" i="3"/>
  <c r="V142" i="3"/>
  <c r="U142" i="3"/>
  <c r="T142" i="3"/>
  <c r="S142" i="3"/>
  <c r="R142" i="3"/>
  <c r="Q142" i="3"/>
  <c r="O142" i="3"/>
  <c r="N142" i="3"/>
  <c r="P142" i="3" s="1"/>
  <c r="M142" i="3"/>
  <c r="L142" i="3"/>
  <c r="K142" i="3"/>
  <c r="J142" i="3"/>
  <c r="I142" i="3"/>
  <c r="H142" i="3"/>
  <c r="F142" i="3"/>
  <c r="E142" i="3"/>
  <c r="D142" i="3"/>
  <c r="C142" i="3"/>
  <c r="B142" i="3"/>
  <c r="G142" i="3" s="1"/>
  <c r="A142" i="3"/>
  <c r="BB141" i="3"/>
  <c r="BA141" i="3"/>
  <c r="AZ141" i="3"/>
  <c r="AY141" i="3"/>
  <c r="BC141" i="3" s="1"/>
  <c r="AX141" i="3"/>
  <c r="AW141" i="3"/>
  <c r="AV141" i="3"/>
  <c r="AU141" i="3"/>
  <c r="AT141" i="3"/>
  <c r="AR141" i="3"/>
  <c r="AQ141" i="3"/>
  <c r="AP141" i="3"/>
  <c r="AS141" i="3" s="1"/>
  <c r="AO141" i="3"/>
  <c r="AN141" i="3"/>
  <c r="AM141" i="3"/>
  <c r="AL141" i="3"/>
  <c r="AK141" i="3"/>
  <c r="AJ141" i="3"/>
  <c r="AH141" i="3"/>
  <c r="AG141" i="3"/>
  <c r="AF141" i="3"/>
  <c r="AE141" i="3"/>
  <c r="AI141" i="3" s="1"/>
  <c r="AC141" i="3"/>
  <c r="AB141" i="3"/>
  <c r="AD141" i="3" s="1"/>
  <c r="AA141" i="3"/>
  <c r="Z141" i="3"/>
  <c r="X141" i="3"/>
  <c r="W141" i="3"/>
  <c r="V141" i="3"/>
  <c r="U141" i="3"/>
  <c r="Y141" i="3" s="1"/>
  <c r="T141" i="3"/>
  <c r="S141" i="3"/>
  <c r="R141" i="3"/>
  <c r="Q141" i="3"/>
  <c r="P141" i="3"/>
  <c r="O141" i="3"/>
  <c r="N141" i="3"/>
  <c r="L141" i="3"/>
  <c r="K141" i="3"/>
  <c r="J141" i="3"/>
  <c r="I141" i="3"/>
  <c r="H141" i="3"/>
  <c r="M141" i="3" s="1"/>
  <c r="F141" i="3"/>
  <c r="E141" i="3"/>
  <c r="D141" i="3"/>
  <c r="G141" i="3" s="1"/>
  <c r="C141" i="3"/>
  <c r="B141" i="3"/>
  <c r="A141" i="3"/>
  <c r="BB140" i="3"/>
  <c r="BA140" i="3"/>
  <c r="AZ140" i="3"/>
  <c r="AY140" i="3"/>
  <c r="BC140" i="3" s="1"/>
  <c r="AW140" i="3"/>
  <c r="AV140" i="3"/>
  <c r="AU140" i="3"/>
  <c r="AT140" i="3"/>
  <c r="AX140" i="3" s="1"/>
  <c r="AS140" i="3"/>
  <c r="AR140" i="3"/>
  <c r="AQ140" i="3"/>
  <c r="AP140" i="3"/>
  <c r="AO140" i="3"/>
  <c r="AM140" i="3"/>
  <c r="AL140" i="3"/>
  <c r="AK140" i="3"/>
  <c r="AN140" i="3" s="1"/>
  <c r="AJ140" i="3"/>
  <c r="AI140" i="3"/>
  <c r="AH140" i="3"/>
  <c r="AG140" i="3"/>
  <c r="AF140" i="3"/>
  <c r="AE140" i="3"/>
  <c r="AC140" i="3"/>
  <c r="AB140" i="3"/>
  <c r="AA140" i="3"/>
  <c r="Z140" i="3"/>
  <c r="AD140" i="3" s="1"/>
  <c r="X140" i="3"/>
  <c r="W140" i="3"/>
  <c r="Y140" i="3" s="1"/>
  <c r="V140" i="3"/>
  <c r="U140" i="3"/>
  <c r="S140" i="3"/>
  <c r="R140" i="3"/>
  <c r="Q140" i="3"/>
  <c r="O140" i="3"/>
  <c r="N140" i="3"/>
  <c r="T140" i="3" s="1"/>
  <c r="L140" i="3"/>
  <c r="K140" i="3"/>
  <c r="M140" i="3" s="1"/>
  <c r="J140" i="3"/>
  <c r="I140" i="3"/>
  <c r="H140" i="3"/>
  <c r="F140" i="3"/>
  <c r="E140" i="3"/>
  <c r="D140" i="3"/>
  <c r="C140" i="3"/>
  <c r="B140" i="3"/>
  <c r="G140" i="3" s="1"/>
  <c r="A140" i="3"/>
  <c r="BB139" i="3"/>
  <c r="BA139" i="3"/>
  <c r="AZ139" i="3"/>
  <c r="BC139" i="3" s="1"/>
  <c r="AY139" i="3"/>
  <c r="AW139" i="3"/>
  <c r="AV139" i="3"/>
  <c r="AU139" i="3"/>
  <c r="AT139" i="3"/>
  <c r="AX139" i="3" s="1"/>
  <c r="AR139" i="3"/>
  <c r="AQ139" i="3"/>
  <c r="AP139" i="3"/>
  <c r="AO139" i="3"/>
  <c r="AS139" i="3" s="1"/>
  <c r="AN139" i="3"/>
  <c r="AM139" i="3"/>
  <c r="AL139" i="3"/>
  <c r="AK139" i="3"/>
  <c r="AJ139" i="3"/>
  <c r="AH139" i="3"/>
  <c r="AG139" i="3"/>
  <c r="AF139" i="3"/>
  <c r="AI139" i="3" s="1"/>
  <c r="AE139" i="3"/>
  <c r="AD139" i="3"/>
  <c r="AC139" i="3"/>
  <c r="AB139" i="3"/>
  <c r="AA139" i="3"/>
  <c r="Z139" i="3"/>
  <c r="X139" i="3"/>
  <c r="W139" i="3"/>
  <c r="V139" i="3"/>
  <c r="U139" i="3"/>
  <c r="Y139" i="3" s="1"/>
  <c r="T139" i="3"/>
  <c r="S139" i="3"/>
  <c r="R139" i="3"/>
  <c r="Q139" i="3"/>
  <c r="P139" i="3"/>
  <c r="O139" i="3"/>
  <c r="N139" i="3"/>
  <c r="L139" i="3"/>
  <c r="K139" i="3"/>
  <c r="J139" i="3"/>
  <c r="I139" i="3"/>
  <c r="H139" i="3"/>
  <c r="M139" i="3" s="1"/>
  <c r="F139" i="3"/>
  <c r="E139" i="3"/>
  <c r="D139" i="3"/>
  <c r="G139" i="3" s="1"/>
  <c r="C139" i="3"/>
  <c r="B139" i="3"/>
  <c r="A139" i="3"/>
  <c r="BB138" i="3"/>
  <c r="BA138" i="3"/>
  <c r="AZ138" i="3"/>
  <c r="AY138" i="3"/>
  <c r="BC138" i="3" s="1"/>
  <c r="AW138" i="3"/>
  <c r="AV138" i="3"/>
  <c r="AU138" i="3"/>
  <c r="AX138" i="3" s="1"/>
  <c r="AT138" i="3"/>
  <c r="AR138" i="3"/>
  <c r="AQ138" i="3"/>
  <c r="AP138" i="3"/>
  <c r="AO138" i="3"/>
  <c r="AS138" i="3" s="1"/>
  <c r="AM138" i="3"/>
  <c r="AL138" i="3"/>
  <c r="AK138" i="3"/>
  <c r="AJ138" i="3"/>
  <c r="AN138" i="3" s="1"/>
  <c r="AI138" i="3"/>
  <c r="AH138" i="3"/>
  <c r="AG138" i="3"/>
  <c r="AF138" i="3"/>
  <c r="AE138" i="3"/>
  <c r="AC138" i="3"/>
  <c r="AB138" i="3"/>
  <c r="AA138" i="3"/>
  <c r="AD138" i="3" s="1"/>
  <c r="Z138" i="3"/>
  <c r="Y138" i="3"/>
  <c r="X138" i="3"/>
  <c r="W138" i="3"/>
  <c r="V138" i="3"/>
  <c r="U138" i="3"/>
  <c r="S138" i="3"/>
  <c r="R138" i="3"/>
  <c r="Q138" i="3"/>
  <c r="O138" i="3"/>
  <c r="P138" i="3" s="1"/>
  <c r="N138" i="3"/>
  <c r="T138" i="3" s="1"/>
  <c r="M138" i="3"/>
  <c r="L138" i="3"/>
  <c r="K138" i="3"/>
  <c r="J138" i="3"/>
  <c r="I138" i="3"/>
  <c r="H138" i="3"/>
  <c r="F138" i="3"/>
  <c r="E138" i="3"/>
  <c r="D138" i="3"/>
  <c r="C138" i="3"/>
  <c r="B138" i="3"/>
  <c r="G138" i="3" s="1"/>
  <c r="A138" i="3"/>
  <c r="BC137" i="3"/>
  <c r="BB137" i="3"/>
  <c r="BA137" i="3"/>
  <c r="AZ137" i="3"/>
  <c r="AY137" i="3"/>
  <c r="AW137" i="3"/>
  <c r="AV137" i="3"/>
  <c r="AU137" i="3"/>
  <c r="AT137" i="3"/>
  <c r="AX137" i="3" s="1"/>
  <c r="AR137" i="3"/>
  <c r="AQ137" i="3"/>
  <c r="AP137" i="3"/>
  <c r="AS137" i="3" s="1"/>
  <c r="AO137" i="3"/>
  <c r="AM137" i="3"/>
  <c r="AL137" i="3"/>
  <c r="AK137" i="3"/>
  <c r="AJ137" i="3"/>
  <c r="AN137" i="3" s="1"/>
  <c r="AH137" i="3"/>
  <c r="AG137" i="3"/>
  <c r="AF137" i="3"/>
  <c r="AE137" i="3"/>
  <c r="AI137" i="3" s="1"/>
  <c r="AD137" i="3"/>
  <c r="AC137" i="3"/>
  <c r="AB137" i="3"/>
  <c r="AA137" i="3"/>
  <c r="Z137" i="3"/>
  <c r="X137" i="3"/>
  <c r="W137" i="3"/>
  <c r="V137" i="3"/>
  <c r="Y137" i="3" s="1"/>
  <c r="U137" i="3"/>
  <c r="T137" i="3"/>
  <c r="S137" i="3"/>
  <c r="R137" i="3"/>
  <c r="Q137" i="3"/>
  <c r="O137" i="3"/>
  <c r="P137" i="3" s="1"/>
  <c r="N137" i="3"/>
  <c r="L137" i="3"/>
  <c r="K137" i="3"/>
  <c r="J137" i="3"/>
  <c r="I137" i="3"/>
  <c r="H137" i="3"/>
  <c r="M137" i="3" s="1"/>
  <c r="G137" i="3"/>
  <c r="F137" i="3"/>
  <c r="E137" i="3"/>
  <c r="D137" i="3"/>
  <c r="C137" i="3"/>
  <c r="B137" i="3"/>
  <c r="A137" i="3"/>
  <c r="BC136" i="3"/>
  <c r="BB136" i="3"/>
  <c r="BA136" i="3"/>
  <c r="AZ136" i="3"/>
  <c r="AY136" i="3"/>
  <c r="AX136" i="3"/>
  <c r="AW136" i="3"/>
  <c r="AV136" i="3"/>
  <c r="AU136" i="3"/>
  <c r="AT136" i="3"/>
  <c r="AR136" i="3"/>
  <c r="AQ136" i="3"/>
  <c r="AP136" i="3"/>
  <c r="AO136" i="3"/>
  <c r="AS136" i="3" s="1"/>
  <c r="AM136" i="3"/>
  <c r="AL136" i="3"/>
  <c r="AK136" i="3"/>
  <c r="AN136" i="3" s="1"/>
  <c r="AJ136" i="3"/>
  <c r="AH136" i="3"/>
  <c r="AG136" i="3"/>
  <c r="AF136" i="3"/>
  <c r="AE136" i="3"/>
  <c r="AI136" i="3" s="1"/>
  <c r="AC136" i="3"/>
  <c r="AB136" i="3"/>
  <c r="AA136" i="3"/>
  <c r="Z136" i="3"/>
  <c r="AD136" i="3" s="1"/>
  <c r="Y136" i="3"/>
  <c r="X136" i="3"/>
  <c r="W136" i="3"/>
  <c r="V136" i="3"/>
  <c r="U136" i="3"/>
  <c r="S136" i="3"/>
  <c r="R136" i="3"/>
  <c r="Q136" i="3"/>
  <c r="O136" i="3"/>
  <c r="N136" i="3"/>
  <c r="T136" i="3" s="1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BB135" i="3"/>
  <c r="BA135" i="3"/>
  <c r="AZ135" i="3"/>
  <c r="AY135" i="3"/>
  <c r="BC135" i="3" s="1"/>
  <c r="AX135" i="3"/>
  <c r="AW135" i="3"/>
  <c r="AV135" i="3"/>
  <c r="AU135" i="3"/>
  <c r="AT135" i="3"/>
  <c r="AS135" i="3"/>
  <c r="AR135" i="3"/>
  <c r="AQ135" i="3"/>
  <c r="AP135" i="3"/>
  <c r="AO135" i="3"/>
  <c r="AM135" i="3"/>
  <c r="AL135" i="3"/>
  <c r="AK135" i="3"/>
  <c r="AJ135" i="3"/>
  <c r="AN135" i="3" s="1"/>
  <c r="AH135" i="3"/>
  <c r="AG135" i="3"/>
  <c r="AF135" i="3"/>
  <c r="AI135" i="3" s="1"/>
  <c r="AE135" i="3"/>
  <c r="AC135" i="3"/>
  <c r="AB135" i="3"/>
  <c r="AA135" i="3"/>
  <c r="Z135" i="3"/>
  <c r="AD135" i="3" s="1"/>
  <c r="X135" i="3"/>
  <c r="W135" i="3"/>
  <c r="V135" i="3"/>
  <c r="U135" i="3"/>
  <c r="Y135" i="3" s="1"/>
  <c r="S135" i="3"/>
  <c r="R135" i="3"/>
  <c r="Q135" i="3"/>
  <c r="O135" i="3"/>
  <c r="N135" i="3"/>
  <c r="T135" i="3" s="1"/>
  <c r="L135" i="3"/>
  <c r="K135" i="3"/>
  <c r="J135" i="3"/>
  <c r="I135" i="3"/>
  <c r="M135" i="3" s="1"/>
  <c r="H135" i="3"/>
  <c r="F135" i="3"/>
  <c r="E135" i="3"/>
  <c r="D135" i="3"/>
  <c r="C135" i="3"/>
  <c r="B135" i="3"/>
  <c r="G135" i="3" s="1"/>
  <c r="A135" i="3"/>
  <c r="BC134" i="3"/>
  <c r="BB134" i="3"/>
  <c r="BA134" i="3"/>
  <c r="AZ134" i="3"/>
  <c r="AY134" i="3"/>
  <c r="AW134" i="3"/>
  <c r="AV134" i="3"/>
  <c r="AU134" i="3"/>
  <c r="AT134" i="3"/>
  <c r="AX134" i="3" s="1"/>
  <c r="AS134" i="3"/>
  <c r="AR134" i="3"/>
  <c r="AQ134" i="3"/>
  <c r="AP134" i="3"/>
  <c r="AO134" i="3"/>
  <c r="AN134" i="3"/>
  <c r="AM134" i="3"/>
  <c r="AL134" i="3"/>
  <c r="AK134" i="3"/>
  <c r="AJ134" i="3"/>
  <c r="AH134" i="3"/>
  <c r="AG134" i="3"/>
  <c r="AF134" i="3"/>
  <c r="AE134" i="3"/>
  <c r="AI134" i="3" s="1"/>
  <c r="AC134" i="3"/>
  <c r="AB134" i="3"/>
  <c r="AA134" i="3"/>
  <c r="AD134" i="3" s="1"/>
  <c r="Z134" i="3"/>
  <c r="X134" i="3"/>
  <c r="W134" i="3"/>
  <c r="V134" i="3"/>
  <c r="U134" i="3"/>
  <c r="Y134" i="3" s="1"/>
  <c r="S134" i="3"/>
  <c r="P134" i="3" s="1"/>
  <c r="R134" i="3"/>
  <c r="Q134" i="3"/>
  <c r="O134" i="3"/>
  <c r="N134" i="3"/>
  <c r="L134" i="3"/>
  <c r="K134" i="3"/>
  <c r="J134" i="3"/>
  <c r="I134" i="3"/>
  <c r="H134" i="3"/>
  <c r="M134" i="3" s="1"/>
  <c r="G134" i="3"/>
  <c r="F134" i="3"/>
  <c r="E134" i="3"/>
  <c r="D134" i="3"/>
  <c r="C134" i="3"/>
  <c r="B134" i="3"/>
  <c r="A134" i="3"/>
  <c r="BB133" i="3"/>
  <c r="BA133" i="3"/>
  <c r="AZ133" i="3"/>
  <c r="AY133" i="3"/>
  <c r="BC133" i="3" s="1"/>
  <c r="AX133" i="3"/>
  <c r="AW133" i="3"/>
  <c r="AV133" i="3"/>
  <c r="AU133" i="3"/>
  <c r="AT133" i="3"/>
  <c r="AR133" i="3"/>
  <c r="AQ133" i="3"/>
  <c r="AP133" i="3"/>
  <c r="AO133" i="3"/>
  <c r="AS133" i="3" s="1"/>
  <c r="AN133" i="3"/>
  <c r="AM133" i="3"/>
  <c r="AL133" i="3"/>
  <c r="AK133" i="3"/>
  <c r="AJ133" i="3"/>
  <c r="AI133" i="3"/>
  <c r="AH133" i="3"/>
  <c r="AG133" i="3"/>
  <c r="AF133" i="3"/>
  <c r="AE133" i="3"/>
  <c r="AC133" i="3"/>
  <c r="AB133" i="3"/>
  <c r="AA133" i="3"/>
  <c r="Z133" i="3"/>
  <c r="AD133" i="3" s="1"/>
  <c r="X133" i="3"/>
  <c r="W133" i="3"/>
  <c r="V133" i="3"/>
  <c r="Y133" i="3" s="1"/>
  <c r="U133" i="3"/>
  <c r="S133" i="3"/>
  <c r="R133" i="3"/>
  <c r="Q133" i="3"/>
  <c r="P133" i="3"/>
  <c r="O133" i="3"/>
  <c r="N133" i="3"/>
  <c r="T133" i="3" s="1"/>
  <c r="L133" i="3"/>
  <c r="K133" i="3"/>
  <c r="J133" i="3"/>
  <c r="M133" i="3" s="1"/>
  <c r="I133" i="3"/>
  <c r="H133" i="3"/>
  <c r="F133" i="3"/>
  <c r="E133" i="3"/>
  <c r="D133" i="3"/>
  <c r="C133" i="3"/>
  <c r="B133" i="3"/>
  <c r="G133" i="3" s="1"/>
  <c r="A133" i="3"/>
  <c r="BB132" i="3"/>
  <c r="BC132" i="3" s="1"/>
  <c r="BA132" i="3"/>
  <c r="AZ132" i="3"/>
  <c r="AY132" i="3"/>
  <c r="AW132" i="3"/>
  <c r="AV132" i="3"/>
  <c r="AU132" i="3"/>
  <c r="AT132" i="3"/>
  <c r="AX132" i="3" s="1"/>
  <c r="AS132" i="3"/>
  <c r="AR132" i="3"/>
  <c r="AQ132" i="3"/>
  <c r="AP132" i="3"/>
  <c r="AO132" i="3"/>
  <c r="AM132" i="3"/>
  <c r="AL132" i="3"/>
  <c r="AK132" i="3"/>
  <c r="AJ132" i="3"/>
  <c r="AN132" i="3" s="1"/>
  <c r="AI132" i="3"/>
  <c r="AH132" i="3"/>
  <c r="AG132" i="3"/>
  <c r="AF132" i="3"/>
  <c r="AE132" i="3"/>
  <c r="AD132" i="3"/>
  <c r="AC132" i="3"/>
  <c r="AB132" i="3"/>
  <c r="AA132" i="3"/>
  <c r="Z132" i="3"/>
  <c r="X132" i="3"/>
  <c r="W132" i="3"/>
  <c r="V132" i="3"/>
  <c r="U132" i="3"/>
  <c r="Y132" i="3" s="1"/>
  <c r="S132" i="3"/>
  <c r="T132" i="3" s="1"/>
  <c r="R132" i="3"/>
  <c r="Q132" i="3"/>
  <c r="O132" i="3"/>
  <c r="N132" i="3"/>
  <c r="P132" i="3" s="1"/>
  <c r="L132" i="3"/>
  <c r="K132" i="3"/>
  <c r="J132" i="3"/>
  <c r="I132" i="3"/>
  <c r="H132" i="3"/>
  <c r="M132" i="3" s="1"/>
  <c r="F132" i="3"/>
  <c r="G132" i="3" s="1"/>
  <c r="E132" i="3"/>
  <c r="D132" i="3"/>
  <c r="C132" i="3"/>
  <c r="B132" i="3"/>
  <c r="A132" i="3"/>
  <c r="BB131" i="3"/>
  <c r="BA131" i="3"/>
  <c r="AZ131" i="3"/>
  <c r="BC131" i="3" s="1"/>
  <c r="AY131" i="3"/>
  <c r="AW131" i="3"/>
  <c r="AX131" i="3" s="1"/>
  <c r="AV131" i="3"/>
  <c r="AU131" i="3"/>
  <c r="AT131" i="3"/>
  <c r="AR131" i="3"/>
  <c r="AQ131" i="3"/>
  <c r="AP131" i="3"/>
  <c r="AO131" i="3"/>
  <c r="AS131" i="3" s="1"/>
  <c r="AN131" i="3"/>
  <c r="AM131" i="3"/>
  <c r="AL131" i="3"/>
  <c r="AK131" i="3"/>
  <c r="AJ131" i="3"/>
  <c r="AH131" i="3"/>
  <c r="AG131" i="3"/>
  <c r="AF131" i="3"/>
  <c r="AE131" i="3"/>
  <c r="AI131" i="3" s="1"/>
  <c r="AD131" i="3"/>
  <c r="AC131" i="3"/>
  <c r="AB131" i="3"/>
  <c r="AA131" i="3"/>
  <c r="Z131" i="3"/>
  <c r="Y131" i="3"/>
  <c r="X131" i="3"/>
  <c r="W131" i="3"/>
  <c r="V131" i="3"/>
  <c r="U131" i="3"/>
  <c r="S131" i="3"/>
  <c r="R131" i="3"/>
  <c r="Q131" i="3"/>
  <c r="P131" i="3"/>
  <c r="O131" i="3"/>
  <c r="N131" i="3"/>
  <c r="T131" i="3" s="1"/>
  <c r="M131" i="3"/>
  <c r="L131" i="3"/>
  <c r="K131" i="3"/>
  <c r="J131" i="3"/>
  <c r="I131" i="3"/>
  <c r="H131" i="3"/>
  <c r="F131" i="3"/>
  <c r="E131" i="3"/>
  <c r="D131" i="3"/>
  <c r="C131" i="3"/>
  <c r="B131" i="3"/>
  <c r="G131" i="3" s="1"/>
  <c r="A131" i="3"/>
  <c r="BC130" i="3"/>
  <c r="BB130" i="3"/>
  <c r="BA130" i="3"/>
  <c r="AZ130" i="3"/>
  <c r="AY130" i="3"/>
  <c r="AW130" i="3"/>
  <c r="AV130" i="3"/>
  <c r="AU130" i="3"/>
  <c r="AX130" i="3" s="1"/>
  <c r="AT130" i="3"/>
  <c r="AR130" i="3"/>
  <c r="AS130" i="3" s="1"/>
  <c r="AQ130" i="3"/>
  <c r="AP130" i="3"/>
  <c r="AO130" i="3"/>
  <c r="AM130" i="3"/>
  <c r="AL130" i="3"/>
  <c r="AK130" i="3"/>
  <c r="AJ130" i="3"/>
  <c r="AN130" i="3" s="1"/>
  <c r="AI130" i="3"/>
  <c r="AH130" i="3"/>
  <c r="AG130" i="3"/>
  <c r="AF130" i="3"/>
  <c r="AE130" i="3"/>
  <c r="AC130" i="3"/>
  <c r="AB130" i="3"/>
  <c r="AA130" i="3"/>
  <c r="Z130" i="3"/>
  <c r="AD130" i="3" s="1"/>
  <c r="Y130" i="3"/>
  <c r="X130" i="3"/>
  <c r="W130" i="3"/>
  <c r="V130" i="3"/>
  <c r="U130" i="3"/>
  <c r="T130" i="3"/>
  <c r="S130" i="3"/>
  <c r="R130" i="3"/>
  <c r="Q130" i="3"/>
  <c r="O130" i="3"/>
  <c r="N130" i="3"/>
  <c r="P130" i="3" s="1"/>
  <c r="M130" i="3"/>
  <c r="L130" i="3"/>
  <c r="K130" i="3"/>
  <c r="J130" i="3"/>
  <c r="I130" i="3"/>
  <c r="H130" i="3"/>
  <c r="F130" i="3"/>
  <c r="E130" i="3"/>
  <c r="D130" i="3"/>
  <c r="C130" i="3"/>
  <c r="B130" i="3"/>
  <c r="G130" i="3" s="1"/>
  <c r="A130" i="3"/>
  <c r="BB129" i="3"/>
  <c r="BA129" i="3"/>
  <c r="AZ129" i="3"/>
  <c r="AY129" i="3"/>
  <c r="BC129" i="3" s="1"/>
  <c r="AX129" i="3"/>
  <c r="AW129" i="3"/>
  <c r="AV129" i="3"/>
  <c r="AU129" i="3"/>
  <c r="AT129" i="3"/>
  <c r="AR129" i="3"/>
  <c r="AQ129" i="3"/>
  <c r="AP129" i="3"/>
  <c r="AS129" i="3" s="1"/>
  <c r="AO129" i="3"/>
  <c r="AM129" i="3"/>
  <c r="AN129" i="3" s="1"/>
  <c r="AL129" i="3"/>
  <c r="AK129" i="3"/>
  <c r="AJ129" i="3"/>
  <c r="AH129" i="3"/>
  <c r="AG129" i="3"/>
  <c r="AF129" i="3"/>
  <c r="AE129" i="3"/>
  <c r="AI129" i="3" s="1"/>
  <c r="AD129" i="3"/>
  <c r="AC129" i="3"/>
  <c r="AB129" i="3"/>
  <c r="AA129" i="3"/>
  <c r="Z129" i="3"/>
  <c r="X129" i="3"/>
  <c r="W129" i="3"/>
  <c r="V129" i="3"/>
  <c r="U129" i="3"/>
  <c r="Y129" i="3" s="1"/>
  <c r="T129" i="3"/>
  <c r="S129" i="3"/>
  <c r="R129" i="3"/>
  <c r="Q129" i="3"/>
  <c r="O129" i="3"/>
  <c r="P129" i="3" s="1"/>
  <c r="N129" i="3"/>
  <c r="L129" i="3"/>
  <c r="K129" i="3"/>
  <c r="J129" i="3"/>
  <c r="I129" i="3"/>
  <c r="H129" i="3"/>
  <c r="M129" i="3" s="1"/>
  <c r="F129" i="3"/>
  <c r="E129" i="3"/>
  <c r="D129" i="3"/>
  <c r="G129" i="3" s="1"/>
  <c r="C129" i="3"/>
  <c r="B129" i="3"/>
  <c r="A129" i="3"/>
  <c r="BB128" i="3"/>
  <c r="BA128" i="3"/>
  <c r="AZ128" i="3"/>
  <c r="AY128" i="3"/>
  <c r="AW128" i="3"/>
  <c r="AV128" i="3"/>
  <c r="AU128" i="3"/>
  <c r="AT128" i="3"/>
  <c r="AR128" i="3"/>
  <c r="AQ128" i="3"/>
  <c r="AP128" i="3"/>
  <c r="AO128" i="3"/>
  <c r="AM128" i="3"/>
  <c r="AL128" i="3"/>
  <c r="AK128" i="3"/>
  <c r="AJ128" i="3"/>
  <c r="AH128" i="3"/>
  <c r="AG128" i="3"/>
  <c r="AF128" i="3"/>
  <c r="AE128" i="3"/>
  <c r="AC128" i="3"/>
  <c r="AB128" i="3"/>
  <c r="AA128" i="3"/>
  <c r="Z128" i="3"/>
  <c r="X128" i="3"/>
  <c r="W128" i="3"/>
  <c r="V128" i="3"/>
  <c r="U128" i="3"/>
  <c r="S128" i="3"/>
  <c r="R128" i="3"/>
  <c r="Q128" i="3"/>
  <c r="O128" i="3"/>
  <c r="N128" i="3"/>
  <c r="L128" i="3"/>
  <c r="K128" i="3"/>
  <c r="J128" i="3"/>
  <c r="I128" i="3"/>
  <c r="H128" i="3"/>
  <c r="F128" i="3"/>
  <c r="E128" i="3"/>
  <c r="D128" i="3"/>
  <c r="C128" i="3"/>
  <c r="B128" i="3"/>
  <c r="A128" i="3"/>
  <c r="W79" i="3"/>
  <c r="U79" i="3"/>
  <c r="S79" i="3"/>
  <c r="Q79" i="3"/>
  <c r="J79" i="3"/>
  <c r="H79" i="3"/>
  <c r="F79" i="3"/>
  <c r="D79" i="3"/>
  <c r="W78" i="3"/>
  <c r="U78" i="3"/>
  <c r="S78" i="3"/>
  <c r="Q78" i="3"/>
  <c r="J78" i="3"/>
  <c r="H78" i="3"/>
  <c r="F78" i="3"/>
  <c r="D78" i="3"/>
  <c r="W77" i="3"/>
  <c r="U77" i="3"/>
  <c r="S77" i="3"/>
  <c r="Q77" i="3"/>
  <c r="J77" i="3"/>
  <c r="H77" i="3"/>
  <c r="F77" i="3"/>
  <c r="D77" i="3"/>
  <c r="W76" i="3"/>
  <c r="U76" i="3"/>
  <c r="S76" i="3"/>
  <c r="Q76" i="3"/>
  <c r="J76" i="3"/>
  <c r="H76" i="3"/>
  <c r="F76" i="3"/>
  <c r="D76" i="3"/>
  <c r="W75" i="3"/>
  <c r="U75" i="3"/>
  <c r="S75" i="3"/>
  <c r="Q75" i="3"/>
  <c r="J75" i="3"/>
  <c r="H75" i="3"/>
  <c r="F75" i="3"/>
  <c r="D75" i="3"/>
  <c r="W74" i="3"/>
  <c r="U74" i="3"/>
  <c r="S74" i="3"/>
  <c r="Q74" i="3"/>
  <c r="J74" i="3"/>
  <c r="H74" i="3"/>
  <c r="F74" i="3"/>
  <c r="D74" i="3"/>
  <c r="W73" i="3"/>
  <c r="U73" i="3"/>
  <c r="S73" i="3"/>
  <c r="Q73" i="3"/>
  <c r="J73" i="3"/>
  <c r="H73" i="3"/>
  <c r="F73" i="3"/>
  <c r="D73" i="3"/>
  <c r="W72" i="3"/>
  <c r="U72" i="3"/>
  <c r="S72" i="3"/>
  <c r="Q72" i="3"/>
  <c r="J72" i="3"/>
  <c r="H72" i="3"/>
  <c r="F72" i="3"/>
  <c r="D72" i="3"/>
  <c r="W71" i="3"/>
  <c r="U71" i="3"/>
  <c r="S71" i="3"/>
  <c r="Q71" i="3"/>
  <c r="J71" i="3"/>
  <c r="H71" i="3"/>
  <c r="F71" i="3"/>
  <c r="D71" i="3"/>
  <c r="W70" i="3"/>
  <c r="U70" i="3"/>
  <c r="S70" i="3"/>
  <c r="Q70" i="3"/>
  <c r="J70" i="3"/>
  <c r="H70" i="3"/>
  <c r="F70" i="3"/>
  <c r="D70" i="3"/>
  <c r="W69" i="3"/>
  <c r="U69" i="3"/>
  <c r="S69" i="3"/>
  <c r="Q69" i="3"/>
  <c r="J69" i="3"/>
  <c r="H69" i="3"/>
  <c r="F69" i="3"/>
  <c r="D69" i="3"/>
  <c r="W68" i="3"/>
  <c r="U68" i="3"/>
  <c r="S68" i="3"/>
  <c r="Q68" i="3"/>
  <c r="J68" i="3"/>
  <c r="H68" i="3"/>
  <c r="F68" i="3"/>
  <c r="D68" i="3"/>
  <c r="BB144" i="2"/>
  <c r="BC144" i="2" s="1"/>
  <c r="BA144" i="2"/>
  <c r="AZ144" i="2"/>
  <c r="AY144" i="2"/>
  <c r="AW144" i="2"/>
  <c r="AV144" i="2"/>
  <c r="AU144" i="2"/>
  <c r="AT144" i="2"/>
  <c r="AX144" i="2" s="1"/>
  <c r="AS144" i="2"/>
  <c r="AR144" i="2"/>
  <c r="AQ144" i="2"/>
  <c r="AP144" i="2"/>
  <c r="AO144" i="2"/>
  <c r="AM144" i="2"/>
  <c r="AL144" i="2"/>
  <c r="AK144" i="2"/>
  <c r="AJ144" i="2"/>
  <c r="AN144" i="2" s="1"/>
  <c r="AI144" i="2"/>
  <c r="AH144" i="2"/>
  <c r="AG144" i="2"/>
  <c r="AF144" i="2"/>
  <c r="AE144" i="2"/>
  <c r="AD144" i="2"/>
  <c r="AC144" i="2"/>
  <c r="AB144" i="2"/>
  <c r="AA144" i="2"/>
  <c r="Z144" i="2"/>
  <c r="X144" i="2"/>
  <c r="W144" i="2"/>
  <c r="V144" i="2"/>
  <c r="U144" i="2"/>
  <c r="Y144" i="2" s="1"/>
  <c r="S144" i="2"/>
  <c r="T144" i="2" s="1"/>
  <c r="R144" i="2"/>
  <c r="Q144" i="2"/>
  <c r="O144" i="2"/>
  <c r="N144" i="2"/>
  <c r="P144" i="2" s="1"/>
  <c r="L144" i="2"/>
  <c r="K144" i="2"/>
  <c r="J144" i="2"/>
  <c r="I144" i="2"/>
  <c r="H144" i="2"/>
  <c r="M144" i="2" s="1"/>
  <c r="F144" i="2"/>
  <c r="G144" i="2" s="1"/>
  <c r="E144" i="2"/>
  <c r="D144" i="2"/>
  <c r="C144" i="2"/>
  <c r="B144" i="2"/>
  <c r="A144" i="2"/>
  <c r="BB143" i="2"/>
  <c r="BA143" i="2"/>
  <c r="AZ143" i="2"/>
  <c r="BC143" i="2" s="1"/>
  <c r="AY143" i="2"/>
  <c r="AW143" i="2"/>
  <c r="AX143" i="2" s="1"/>
  <c r="AV143" i="2"/>
  <c r="AU143" i="2"/>
  <c r="AT143" i="2"/>
  <c r="AR143" i="2"/>
  <c r="AQ143" i="2"/>
  <c r="AP143" i="2"/>
  <c r="AO143" i="2"/>
  <c r="AS143" i="2" s="1"/>
  <c r="AN143" i="2"/>
  <c r="AM143" i="2"/>
  <c r="AL143" i="2"/>
  <c r="AK143" i="2"/>
  <c r="AJ143" i="2"/>
  <c r="AH143" i="2"/>
  <c r="AG143" i="2"/>
  <c r="AF143" i="2"/>
  <c r="AE143" i="2"/>
  <c r="AI143" i="2" s="1"/>
  <c r="AD143" i="2"/>
  <c r="AC143" i="2"/>
  <c r="AB143" i="2"/>
  <c r="AA143" i="2"/>
  <c r="Z143" i="2"/>
  <c r="Y143" i="2"/>
  <c r="X143" i="2"/>
  <c r="W143" i="2"/>
  <c r="V143" i="2"/>
  <c r="U143" i="2"/>
  <c r="S143" i="2"/>
  <c r="R143" i="2"/>
  <c r="Q143" i="2"/>
  <c r="P143" i="2"/>
  <c r="O143" i="2"/>
  <c r="N143" i="2"/>
  <c r="T143" i="2" s="1"/>
  <c r="M143" i="2"/>
  <c r="L143" i="2"/>
  <c r="K143" i="2"/>
  <c r="J143" i="2"/>
  <c r="I143" i="2"/>
  <c r="H143" i="2"/>
  <c r="F143" i="2"/>
  <c r="E143" i="2"/>
  <c r="D143" i="2"/>
  <c r="C143" i="2"/>
  <c r="B143" i="2"/>
  <c r="G143" i="2" s="1"/>
  <c r="A143" i="2"/>
  <c r="BC142" i="2"/>
  <c r="BB142" i="2"/>
  <c r="BA142" i="2"/>
  <c r="AZ142" i="2"/>
  <c r="AY142" i="2"/>
  <c r="AW142" i="2"/>
  <c r="AV142" i="2"/>
  <c r="AU142" i="2"/>
  <c r="AT142" i="2"/>
  <c r="AX142" i="2" s="1"/>
  <c r="AR142" i="2"/>
  <c r="AS142" i="2" s="1"/>
  <c r="AQ142" i="2"/>
  <c r="AP142" i="2"/>
  <c r="AO142" i="2"/>
  <c r="AM142" i="2"/>
  <c r="AL142" i="2"/>
  <c r="AK142" i="2"/>
  <c r="AJ142" i="2"/>
  <c r="AN142" i="2" s="1"/>
  <c r="AI142" i="2"/>
  <c r="AH142" i="2"/>
  <c r="AG142" i="2"/>
  <c r="AF142" i="2"/>
  <c r="AE142" i="2"/>
  <c r="AC142" i="2"/>
  <c r="AB142" i="2"/>
  <c r="AA142" i="2"/>
  <c r="Z142" i="2"/>
  <c r="AD142" i="2" s="1"/>
  <c r="Y142" i="2"/>
  <c r="X142" i="2"/>
  <c r="W142" i="2"/>
  <c r="V142" i="2"/>
  <c r="U142" i="2"/>
  <c r="T142" i="2"/>
  <c r="S142" i="2"/>
  <c r="R142" i="2"/>
  <c r="Q142" i="2"/>
  <c r="O142" i="2"/>
  <c r="N142" i="2"/>
  <c r="P142" i="2" s="1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BB141" i="2"/>
  <c r="BA141" i="2"/>
  <c r="AZ141" i="2"/>
  <c r="AY141" i="2"/>
  <c r="BC141" i="2" s="1"/>
  <c r="AX141" i="2"/>
  <c r="AW141" i="2"/>
  <c r="AV141" i="2"/>
  <c r="AU141" i="2"/>
  <c r="AT141" i="2"/>
  <c r="AR141" i="2"/>
  <c r="AQ141" i="2"/>
  <c r="AP141" i="2"/>
  <c r="AO141" i="2"/>
  <c r="AS141" i="2" s="1"/>
  <c r="AM141" i="2"/>
  <c r="AN141" i="2" s="1"/>
  <c r="AL141" i="2"/>
  <c r="AK141" i="2"/>
  <c r="AJ141" i="2"/>
  <c r="AH141" i="2"/>
  <c r="AG141" i="2"/>
  <c r="AF141" i="2"/>
  <c r="AE141" i="2"/>
  <c r="AI141" i="2" s="1"/>
  <c r="AD141" i="2"/>
  <c r="AC141" i="2"/>
  <c r="AB141" i="2"/>
  <c r="AA141" i="2"/>
  <c r="Z141" i="2"/>
  <c r="X141" i="2"/>
  <c r="W141" i="2"/>
  <c r="V141" i="2"/>
  <c r="U141" i="2"/>
  <c r="Y141" i="2" s="1"/>
  <c r="T141" i="2"/>
  <c r="S141" i="2"/>
  <c r="R141" i="2"/>
  <c r="Q141" i="2"/>
  <c r="O141" i="2"/>
  <c r="P141" i="2" s="1"/>
  <c r="N141" i="2"/>
  <c r="L141" i="2"/>
  <c r="K141" i="2"/>
  <c r="J141" i="2"/>
  <c r="I141" i="2"/>
  <c r="H141" i="2"/>
  <c r="M141" i="2" s="1"/>
  <c r="F141" i="2"/>
  <c r="E141" i="2"/>
  <c r="D141" i="2"/>
  <c r="G141" i="2" s="1"/>
  <c r="C141" i="2"/>
  <c r="B141" i="2"/>
  <c r="A141" i="2"/>
  <c r="BB140" i="2"/>
  <c r="BA140" i="2"/>
  <c r="AZ140" i="2"/>
  <c r="AY140" i="2"/>
  <c r="BC140" i="2" s="1"/>
  <c r="AW140" i="2"/>
  <c r="AV140" i="2"/>
  <c r="AU140" i="2"/>
  <c r="AT140" i="2"/>
  <c r="AX140" i="2" s="1"/>
  <c r="AS140" i="2"/>
  <c r="AR140" i="2"/>
  <c r="AQ140" i="2"/>
  <c r="AP140" i="2"/>
  <c r="AO140" i="2"/>
  <c r="AM140" i="2"/>
  <c r="AL140" i="2"/>
  <c r="AK140" i="2"/>
  <c r="AJ140" i="2"/>
  <c r="AN140" i="2" s="1"/>
  <c r="AH140" i="2"/>
  <c r="AI140" i="2" s="1"/>
  <c r="AG140" i="2"/>
  <c r="AF140" i="2"/>
  <c r="AE140" i="2"/>
  <c r="AC140" i="2"/>
  <c r="AB140" i="2"/>
  <c r="AA140" i="2"/>
  <c r="Z140" i="2"/>
  <c r="AD140" i="2" s="1"/>
  <c r="Y140" i="2"/>
  <c r="X140" i="2"/>
  <c r="W140" i="2"/>
  <c r="V140" i="2"/>
  <c r="U140" i="2"/>
  <c r="S140" i="2"/>
  <c r="R140" i="2"/>
  <c r="Q140" i="2"/>
  <c r="O140" i="2"/>
  <c r="N140" i="2"/>
  <c r="T140" i="2" s="1"/>
  <c r="M140" i="2"/>
  <c r="L140" i="2"/>
  <c r="K140" i="2"/>
  <c r="J140" i="2"/>
  <c r="I140" i="2"/>
  <c r="H140" i="2"/>
  <c r="F140" i="2"/>
  <c r="E140" i="2"/>
  <c r="D140" i="2"/>
  <c r="C140" i="2"/>
  <c r="B140" i="2"/>
  <c r="G140" i="2" s="1"/>
  <c r="A140" i="2"/>
  <c r="BB139" i="2"/>
  <c r="BA139" i="2"/>
  <c r="AZ139" i="2"/>
  <c r="BC139" i="2" s="1"/>
  <c r="AY139" i="2"/>
  <c r="AW139" i="2"/>
  <c r="AV139" i="2"/>
  <c r="AU139" i="2"/>
  <c r="AT139" i="2"/>
  <c r="AX139" i="2" s="1"/>
  <c r="AR139" i="2"/>
  <c r="AQ139" i="2"/>
  <c r="AP139" i="2"/>
  <c r="AO139" i="2"/>
  <c r="AS139" i="2" s="1"/>
  <c r="AN139" i="2"/>
  <c r="AM139" i="2"/>
  <c r="AL139" i="2"/>
  <c r="AK139" i="2"/>
  <c r="AJ139" i="2"/>
  <c r="AH139" i="2"/>
  <c r="AG139" i="2"/>
  <c r="AF139" i="2"/>
  <c r="AE139" i="2"/>
  <c r="AI139" i="2" s="1"/>
  <c r="AC139" i="2"/>
  <c r="AD139" i="2" s="1"/>
  <c r="AB139" i="2"/>
  <c r="AA139" i="2"/>
  <c r="Z139" i="2"/>
  <c r="X139" i="2"/>
  <c r="W139" i="2"/>
  <c r="V139" i="2"/>
  <c r="U139" i="2"/>
  <c r="Y139" i="2" s="1"/>
  <c r="T139" i="2"/>
  <c r="S139" i="2"/>
  <c r="R139" i="2"/>
  <c r="Q139" i="2"/>
  <c r="P139" i="2"/>
  <c r="O139" i="2"/>
  <c r="N139" i="2"/>
  <c r="L139" i="2"/>
  <c r="K139" i="2"/>
  <c r="J139" i="2"/>
  <c r="I139" i="2"/>
  <c r="H139" i="2"/>
  <c r="M139" i="2" s="1"/>
  <c r="F139" i="2"/>
  <c r="E139" i="2"/>
  <c r="D139" i="2"/>
  <c r="G139" i="2" s="1"/>
  <c r="C139" i="2"/>
  <c r="B139" i="2"/>
  <c r="A139" i="2"/>
  <c r="BB138" i="2"/>
  <c r="BA138" i="2"/>
  <c r="AZ138" i="2"/>
  <c r="AY138" i="2"/>
  <c r="BC138" i="2" s="1"/>
  <c r="AW138" i="2"/>
  <c r="AV138" i="2"/>
  <c r="AU138" i="2"/>
  <c r="AX138" i="2" s="1"/>
  <c r="AT138" i="2"/>
  <c r="AR138" i="2"/>
  <c r="AQ138" i="2"/>
  <c r="AP138" i="2"/>
  <c r="AO138" i="2"/>
  <c r="AS138" i="2" s="1"/>
  <c r="AM138" i="2"/>
  <c r="AL138" i="2"/>
  <c r="AK138" i="2"/>
  <c r="AJ138" i="2"/>
  <c r="AN138" i="2" s="1"/>
  <c r="AI138" i="2"/>
  <c r="AH138" i="2"/>
  <c r="AG138" i="2"/>
  <c r="AF138" i="2"/>
  <c r="AE138" i="2"/>
  <c r="AC138" i="2"/>
  <c r="AB138" i="2"/>
  <c r="AA138" i="2"/>
  <c r="Z138" i="2"/>
  <c r="AD138" i="2" s="1"/>
  <c r="X138" i="2"/>
  <c r="Y138" i="2" s="1"/>
  <c r="W138" i="2"/>
  <c r="V138" i="2"/>
  <c r="U138" i="2"/>
  <c r="S138" i="2"/>
  <c r="R138" i="2"/>
  <c r="Q138" i="2"/>
  <c r="O138" i="2"/>
  <c r="P138" i="2" s="1"/>
  <c r="N138" i="2"/>
  <c r="T138" i="2" s="1"/>
  <c r="L138" i="2"/>
  <c r="M138" i="2" s="1"/>
  <c r="K138" i="2"/>
  <c r="J138" i="2"/>
  <c r="I138" i="2"/>
  <c r="H138" i="2"/>
  <c r="F138" i="2"/>
  <c r="E138" i="2"/>
  <c r="D138" i="2"/>
  <c r="C138" i="2"/>
  <c r="B138" i="2"/>
  <c r="G138" i="2" s="1"/>
  <c r="A138" i="2"/>
  <c r="BC137" i="2"/>
  <c r="BB137" i="2"/>
  <c r="BA137" i="2"/>
  <c r="AZ137" i="2"/>
  <c r="AY137" i="2"/>
  <c r="AW137" i="2"/>
  <c r="AV137" i="2"/>
  <c r="AU137" i="2"/>
  <c r="AT137" i="2"/>
  <c r="AX137" i="2" s="1"/>
  <c r="AR137" i="2"/>
  <c r="AQ137" i="2"/>
  <c r="AP137" i="2"/>
  <c r="AS137" i="2" s="1"/>
  <c r="AO137" i="2"/>
  <c r="AM137" i="2"/>
  <c r="AL137" i="2"/>
  <c r="AK137" i="2"/>
  <c r="AJ137" i="2"/>
  <c r="AN137" i="2" s="1"/>
  <c r="AH137" i="2"/>
  <c r="AG137" i="2"/>
  <c r="AF137" i="2"/>
  <c r="AE137" i="2"/>
  <c r="AI137" i="2" s="1"/>
  <c r="AD137" i="2"/>
  <c r="AC137" i="2"/>
  <c r="AB137" i="2"/>
  <c r="AA137" i="2"/>
  <c r="Z137" i="2"/>
  <c r="X137" i="2"/>
  <c r="W137" i="2"/>
  <c r="V137" i="2"/>
  <c r="U137" i="2"/>
  <c r="Y137" i="2" s="1"/>
  <c r="S137" i="2"/>
  <c r="T137" i="2" s="1"/>
  <c r="R137" i="2"/>
  <c r="Q137" i="2"/>
  <c r="O137" i="2"/>
  <c r="P137" i="2" s="1"/>
  <c r="N137" i="2"/>
  <c r="L137" i="2"/>
  <c r="K137" i="2"/>
  <c r="J137" i="2"/>
  <c r="I137" i="2"/>
  <c r="H137" i="2"/>
  <c r="M137" i="2" s="1"/>
  <c r="G137" i="2"/>
  <c r="F137" i="2"/>
  <c r="E137" i="2"/>
  <c r="D137" i="2"/>
  <c r="C137" i="2"/>
  <c r="B137" i="2"/>
  <c r="A137" i="2"/>
  <c r="BC136" i="2"/>
  <c r="BB136" i="2"/>
  <c r="BA136" i="2"/>
  <c r="AZ136" i="2"/>
  <c r="AY136" i="2"/>
  <c r="AX136" i="2"/>
  <c r="AW136" i="2"/>
  <c r="AV136" i="2"/>
  <c r="AU136" i="2"/>
  <c r="AT136" i="2"/>
  <c r="AR136" i="2"/>
  <c r="AQ136" i="2"/>
  <c r="AP136" i="2"/>
  <c r="AO136" i="2"/>
  <c r="AS136" i="2" s="1"/>
  <c r="AM136" i="2"/>
  <c r="AL136" i="2"/>
  <c r="AK136" i="2"/>
  <c r="AN136" i="2" s="1"/>
  <c r="AJ136" i="2"/>
  <c r="AH136" i="2"/>
  <c r="AG136" i="2"/>
  <c r="AF136" i="2"/>
  <c r="AE136" i="2"/>
  <c r="AI136" i="2" s="1"/>
  <c r="AC136" i="2"/>
  <c r="AB136" i="2"/>
  <c r="AA136" i="2"/>
  <c r="Z136" i="2"/>
  <c r="AD136" i="2" s="1"/>
  <c r="Y136" i="2"/>
  <c r="X136" i="2"/>
  <c r="W136" i="2"/>
  <c r="V136" i="2"/>
  <c r="U136" i="2"/>
  <c r="S136" i="2"/>
  <c r="R136" i="2"/>
  <c r="Q136" i="2"/>
  <c r="O136" i="2"/>
  <c r="N136" i="2"/>
  <c r="T136" i="2" s="1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BB135" i="2"/>
  <c r="BA135" i="2"/>
  <c r="AZ135" i="2"/>
  <c r="AY135" i="2"/>
  <c r="BC135" i="2" s="1"/>
  <c r="AX135" i="2"/>
  <c r="AW135" i="2"/>
  <c r="AV135" i="2"/>
  <c r="AU135" i="2"/>
  <c r="AT135" i="2"/>
  <c r="AS135" i="2"/>
  <c r="AR135" i="2"/>
  <c r="AQ135" i="2"/>
  <c r="AP135" i="2"/>
  <c r="AO135" i="2"/>
  <c r="AM135" i="2"/>
  <c r="AL135" i="2"/>
  <c r="AK135" i="2"/>
  <c r="AJ135" i="2"/>
  <c r="AN135" i="2" s="1"/>
  <c r="AH135" i="2"/>
  <c r="AG135" i="2"/>
  <c r="AF135" i="2"/>
  <c r="AI135" i="2" s="1"/>
  <c r="AE135" i="2"/>
  <c r="AC135" i="2"/>
  <c r="AB135" i="2"/>
  <c r="AA135" i="2"/>
  <c r="Z135" i="2"/>
  <c r="AD135" i="2" s="1"/>
  <c r="X135" i="2"/>
  <c r="W135" i="2"/>
  <c r="V135" i="2"/>
  <c r="U135" i="2"/>
  <c r="Y135" i="2" s="1"/>
  <c r="S135" i="2"/>
  <c r="R135" i="2"/>
  <c r="Q135" i="2"/>
  <c r="O135" i="2"/>
  <c r="N135" i="2"/>
  <c r="T135" i="2" s="1"/>
  <c r="L135" i="2"/>
  <c r="K135" i="2"/>
  <c r="J135" i="2"/>
  <c r="I135" i="2"/>
  <c r="M135" i="2" s="1"/>
  <c r="H135" i="2"/>
  <c r="F135" i="2"/>
  <c r="E135" i="2"/>
  <c r="D135" i="2"/>
  <c r="C135" i="2"/>
  <c r="B135" i="2"/>
  <c r="G135" i="2" s="1"/>
  <c r="A135" i="2"/>
  <c r="BC134" i="2"/>
  <c r="BB134" i="2"/>
  <c r="BA134" i="2"/>
  <c r="AZ134" i="2"/>
  <c r="AY134" i="2"/>
  <c r="AW134" i="2"/>
  <c r="AV134" i="2"/>
  <c r="AU134" i="2"/>
  <c r="AT134" i="2"/>
  <c r="AX134" i="2" s="1"/>
  <c r="AS134" i="2"/>
  <c r="AR134" i="2"/>
  <c r="AQ134" i="2"/>
  <c r="AP134" i="2"/>
  <c r="AO134" i="2"/>
  <c r="AN134" i="2"/>
  <c r="AM134" i="2"/>
  <c r="AL134" i="2"/>
  <c r="AK134" i="2"/>
  <c r="AJ134" i="2"/>
  <c r="AH134" i="2"/>
  <c r="AG134" i="2"/>
  <c r="AF134" i="2"/>
  <c r="AE134" i="2"/>
  <c r="AI134" i="2" s="1"/>
  <c r="AC134" i="2"/>
  <c r="AB134" i="2"/>
  <c r="AA134" i="2"/>
  <c r="AD134" i="2" s="1"/>
  <c r="Z134" i="2"/>
  <c r="X134" i="2"/>
  <c r="W134" i="2"/>
  <c r="V134" i="2"/>
  <c r="U134" i="2"/>
  <c r="Y134" i="2" s="1"/>
  <c r="S134" i="2"/>
  <c r="P134" i="2" s="1"/>
  <c r="R134" i="2"/>
  <c r="Q134" i="2"/>
  <c r="O134" i="2"/>
  <c r="N134" i="2"/>
  <c r="L134" i="2"/>
  <c r="K134" i="2"/>
  <c r="J134" i="2"/>
  <c r="I134" i="2"/>
  <c r="H134" i="2"/>
  <c r="M134" i="2" s="1"/>
  <c r="G134" i="2"/>
  <c r="F134" i="2"/>
  <c r="E134" i="2"/>
  <c r="D134" i="2"/>
  <c r="C134" i="2"/>
  <c r="B134" i="2"/>
  <c r="A134" i="2"/>
  <c r="BB133" i="2"/>
  <c r="BA133" i="2"/>
  <c r="AZ133" i="2"/>
  <c r="AY133" i="2"/>
  <c r="BC133" i="2" s="1"/>
  <c r="AX133" i="2"/>
  <c r="AW133" i="2"/>
  <c r="AV133" i="2"/>
  <c r="AU133" i="2"/>
  <c r="AT133" i="2"/>
  <c r="AR133" i="2"/>
  <c r="AQ133" i="2"/>
  <c r="AP133" i="2"/>
  <c r="AO133" i="2"/>
  <c r="AS133" i="2" s="1"/>
  <c r="AN133" i="2"/>
  <c r="AM133" i="2"/>
  <c r="AL133" i="2"/>
  <c r="AK133" i="2"/>
  <c r="AJ133" i="2"/>
  <c r="AI133" i="2"/>
  <c r="AH133" i="2"/>
  <c r="AG133" i="2"/>
  <c r="AF133" i="2"/>
  <c r="AE133" i="2"/>
  <c r="AC133" i="2"/>
  <c r="AB133" i="2"/>
  <c r="AA133" i="2"/>
  <c r="Z133" i="2"/>
  <c r="AD133" i="2" s="1"/>
  <c r="X133" i="2"/>
  <c r="W133" i="2"/>
  <c r="V133" i="2"/>
  <c r="Y133" i="2" s="1"/>
  <c r="U133" i="2"/>
  <c r="S133" i="2"/>
  <c r="R133" i="2"/>
  <c r="Q133" i="2"/>
  <c r="P133" i="2"/>
  <c r="O133" i="2"/>
  <c r="N133" i="2"/>
  <c r="T133" i="2" s="1"/>
  <c r="L133" i="2"/>
  <c r="K133" i="2"/>
  <c r="J133" i="2"/>
  <c r="M133" i="2" s="1"/>
  <c r="I133" i="2"/>
  <c r="H133" i="2"/>
  <c r="F133" i="2"/>
  <c r="E133" i="2"/>
  <c r="D133" i="2"/>
  <c r="C133" i="2"/>
  <c r="B133" i="2"/>
  <c r="G133" i="2" s="1"/>
  <c r="A133" i="2"/>
  <c r="BB132" i="2"/>
  <c r="BC132" i="2" s="1"/>
  <c r="BA132" i="2"/>
  <c r="AZ132" i="2"/>
  <c r="AY132" i="2"/>
  <c r="AW132" i="2"/>
  <c r="AV132" i="2"/>
  <c r="AU132" i="2"/>
  <c r="AT132" i="2"/>
  <c r="AX132" i="2" s="1"/>
  <c r="AS132" i="2"/>
  <c r="AR132" i="2"/>
  <c r="AQ132" i="2"/>
  <c r="AP132" i="2"/>
  <c r="AO132" i="2"/>
  <c r="AM132" i="2"/>
  <c r="AL132" i="2"/>
  <c r="AK132" i="2"/>
  <c r="AJ132" i="2"/>
  <c r="AN132" i="2" s="1"/>
  <c r="AI132" i="2"/>
  <c r="AH132" i="2"/>
  <c r="AG132" i="2"/>
  <c r="AF132" i="2"/>
  <c r="AE132" i="2"/>
  <c r="AD132" i="2"/>
  <c r="AC132" i="2"/>
  <c r="AB132" i="2"/>
  <c r="AA132" i="2"/>
  <c r="Z132" i="2"/>
  <c r="X132" i="2"/>
  <c r="W132" i="2"/>
  <c r="V132" i="2"/>
  <c r="U132" i="2"/>
  <c r="Y132" i="2" s="1"/>
  <c r="S132" i="2"/>
  <c r="T132" i="2" s="1"/>
  <c r="R132" i="2"/>
  <c r="Q132" i="2"/>
  <c r="O132" i="2"/>
  <c r="N132" i="2"/>
  <c r="P132" i="2" s="1"/>
  <c r="L132" i="2"/>
  <c r="K132" i="2"/>
  <c r="J132" i="2"/>
  <c r="I132" i="2"/>
  <c r="H132" i="2"/>
  <c r="M132" i="2" s="1"/>
  <c r="F132" i="2"/>
  <c r="G132" i="2" s="1"/>
  <c r="E132" i="2"/>
  <c r="D132" i="2"/>
  <c r="C132" i="2"/>
  <c r="B132" i="2"/>
  <c r="A132" i="2"/>
  <c r="BB131" i="2"/>
  <c r="BA131" i="2"/>
  <c r="AZ131" i="2"/>
  <c r="AY131" i="2"/>
  <c r="BC131" i="2" s="1"/>
  <c r="AW131" i="2"/>
  <c r="AX131" i="2" s="1"/>
  <c r="AV131" i="2"/>
  <c r="AU131" i="2"/>
  <c r="AT131" i="2"/>
  <c r="AR131" i="2"/>
  <c r="AQ131" i="2"/>
  <c r="AP131" i="2"/>
  <c r="AO131" i="2"/>
  <c r="AS131" i="2" s="1"/>
  <c r="AN131" i="2"/>
  <c r="AM131" i="2"/>
  <c r="AL131" i="2"/>
  <c r="AK131" i="2"/>
  <c r="AJ131" i="2"/>
  <c r="AH131" i="2"/>
  <c r="AG131" i="2"/>
  <c r="AF131" i="2"/>
  <c r="AE131" i="2"/>
  <c r="AI131" i="2" s="1"/>
  <c r="AD131" i="2"/>
  <c r="AC131" i="2"/>
  <c r="AB131" i="2"/>
  <c r="AA131" i="2"/>
  <c r="Z131" i="2"/>
  <c r="Y131" i="2"/>
  <c r="X131" i="2"/>
  <c r="W131" i="2"/>
  <c r="V131" i="2"/>
  <c r="U131" i="2"/>
  <c r="S131" i="2"/>
  <c r="R131" i="2"/>
  <c r="Q131" i="2"/>
  <c r="P131" i="2"/>
  <c r="O131" i="2"/>
  <c r="N131" i="2"/>
  <c r="T131" i="2" s="1"/>
  <c r="M131" i="2"/>
  <c r="L131" i="2"/>
  <c r="K131" i="2"/>
  <c r="J131" i="2"/>
  <c r="I131" i="2"/>
  <c r="H131" i="2"/>
  <c r="F131" i="2"/>
  <c r="E131" i="2"/>
  <c r="D131" i="2"/>
  <c r="C131" i="2"/>
  <c r="B131" i="2"/>
  <c r="G131" i="2" s="1"/>
  <c r="A131" i="2"/>
  <c r="BC130" i="2"/>
  <c r="BB130" i="2"/>
  <c r="BA130" i="2"/>
  <c r="AZ130" i="2"/>
  <c r="AY130" i="2"/>
  <c r="AW130" i="2"/>
  <c r="AV130" i="2"/>
  <c r="AU130" i="2"/>
  <c r="AT130" i="2"/>
  <c r="AX130" i="2" s="1"/>
  <c r="AR130" i="2"/>
  <c r="AS130" i="2" s="1"/>
  <c r="AQ130" i="2"/>
  <c r="AP130" i="2"/>
  <c r="AO130" i="2"/>
  <c r="AM130" i="2"/>
  <c r="AL130" i="2"/>
  <c r="AK130" i="2"/>
  <c r="AJ130" i="2"/>
  <c r="AN130" i="2" s="1"/>
  <c r="AI130" i="2"/>
  <c r="AH130" i="2"/>
  <c r="AG130" i="2"/>
  <c r="AF130" i="2"/>
  <c r="AE130" i="2"/>
  <c r="AC130" i="2"/>
  <c r="AB130" i="2"/>
  <c r="AA130" i="2"/>
  <c r="Z130" i="2"/>
  <c r="AD130" i="2" s="1"/>
  <c r="Y130" i="2"/>
  <c r="X130" i="2"/>
  <c r="W130" i="2"/>
  <c r="V130" i="2"/>
  <c r="U130" i="2"/>
  <c r="T130" i="2"/>
  <c r="S130" i="2"/>
  <c r="R130" i="2"/>
  <c r="Q130" i="2"/>
  <c r="O130" i="2"/>
  <c r="N130" i="2"/>
  <c r="P130" i="2" s="1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BB129" i="2"/>
  <c r="BA129" i="2"/>
  <c r="AZ129" i="2"/>
  <c r="AY129" i="2"/>
  <c r="BC129" i="2" s="1"/>
  <c r="AX129" i="2"/>
  <c r="AW129" i="2"/>
  <c r="AV129" i="2"/>
  <c r="AU129" i="2"/>
  <c r="AT129" i="2"/>
  <c r="AR129" i="2"/>
  <c r="AQ129" i="2"/>
  <c r="AP129" i="2"/>
  <c r="AO129" i="2"/>
  <c r="AS129" i="2" s="1"/>
  <c r="AM129" i="2"/>
  <c r="AN129" i="2" s="1"/>
  <c r="AL129" i="2"/>
  <c r="AK129" i="2"/>
  <c r="AJ129" i="2"/>
  <c r="AH129" i="2"/>
  <c r="AG129" i="2"/>
  <c r="AF129" i="2"/>
  <c r="AE129" i="2"/>
  <c r="AI129" i="2" s="1"/>
  <c r="AD129" i="2"/>
  <c r="AC129" i="2"/>
  <c r="AB129" i="2"/>
  <c r="AA129" i="2"/>
  <c r="Z129" i="2"/>
  <c r="X129" i="2"/>
  <c r="W129" i="2"/>
  <c r="V129" i="2"/>
  <c r="U129" i="2"/>
  <c r="Y129" i="2" s="1"/>
  <c r="T129" i="2"/>
  <c r="S129" i="2"/>
  <c r="R129" i="2"/>
  <c r="Q129" i="2"/>
  <c r="O129" i="2"/>
  <c r="P129" i="2" s="1"/>
  <c r="N129" i="2"/>
  <c r="L129" i="2"/>
  <c r="K129" i="2"/>
  <c r="J129" i="2"/>
  <c r="I129" i="2"/>
  <c r="H129" i="2"/>
  <c r="M129" i="2" s="1"/>
  <c r="F129" i="2"/>
  <c r="E129" i="2"/>
  <c r="D129" i="2"/>
  <c r="G129" i="2" s="1"/>
  <c r="C129" i="2"/>
  <c r="B129" i="2"/>
  <c r="A129" i="2"/>
  <c r="BB128" i="2"/>
  <c r="BA128" i="2"/>
  <c r="AZ128" i="2"/>
  <c r="AY128" i="2"/>
  <c r="AW128" i="2"/>
  <c r="AV128" i="2"/>
  <c r="AU128" i="2"/>
  <c r="AT128" i="2"/>
  <c r="AR128" i="2"/>
  <c r="AQ128" i="2"/>
  <c r="AP128" i="2"/>
  <c r="AO128" i="2"/>
  <c r="AM128" i="2"/>
  <c r="AL128" i="2"/>
  <c r="AK128" i="2"/>
  <c r="AJ128" i="2"/>
  <c r="AH128" i="2"/>
  <c r="AG128" i="2"/>
  <c r="AF128" i="2"/>
  <c r="AE128" i="2"/>
  <c r="AC128" i="2"/>
  <c r="AB128" i="2"/>
  <c r="AA128" i="2"/>
  <c r="Z128" i="2"/>
  <c r="X128" i="2"/>
  <c r="W128" i="2"/>
  <c r="V128" i="2"/>
  <c r="U128" i="2"/>
  <c r="S128" i="2"/>
  <c r="R128" i="2"/>
  <c r="Q128" i="2"/>
  <c r="O128" i="2"/>
  <c r="N128" i="2"/>
  <c r="L128" i="2"/>
  <c r="K128" i="2"/>
  <c r="J128" i="2"/>
  <c r="I128" i="2"/>
  <c r="H128" i="2"/>
  <c r="F128" i="2"/>
  <c r="E128" i="2"/>
  <c r="D128" i="2"/>
  <c r="C128" i="2"/>
  <c r="B128" i="2"/>
  <c r="A128" i="2"/>
  <c r="W79" i="2"/>
  <c r="U79" i="2"/>
  <c r="S79" i="2"/>
  <c r="Q79" i="2"/>
  <c r="J79" i="2"/>
  <c r="H79" i="2"/>
  <c r="F79" i="2"/>
  <c r="D79" i="2"/>
  <c r="W78" i="2"/>
  <c r="U78" i="2"/>
  <c r="S78" i="2"/>
  <c r="Q78" i="2"/>
  <c r="J78" i="2"/>
  <c r="H78" i="2"/>
  <c r="F78" i="2"/>
  <c r="D78" i="2"/>
  <c r="W77" i="2"/>
  <c r="U77" i="2"/>
  <c r="S77" i="2"/>
  <c r="Q77" i="2"/>
  <c r="J77" i="2"/>
  <c r="H77" i="2"/>
  <c r="F77" i="2"/>
  <c r="D77" i="2"/>
  <c r="W76" i="2"/>
  <c r="U76" i="2"/>
  <c r="S76" i="2"/>
  <c r="Q76" i="2"/>
  <c r="J76" i="2"/>
  <c r="H76" i="2"/>
  <c r="F76" i="2"/>
  <c r="D76" i="2"/>
  <c r="W75" i="2"/>
  <c r="U75" i="2"/>
  <c r="S75" i="2"/>
  <c r="Q75" i="2"/>
  <c r="J75" i="2"/>
  <c r="H75" i="2"/>
  <c r="F75" i="2"/>
  <c r="D75" i="2"/>
  <c r="W74" i="2"/>
  <c r="U74" i="2"/>
  <c r="S74" i="2"/>
  <c r="Q74" i="2"/>
  <c r="J74" i="2"/>
  <c r="H74" i="2"/>
  <c r="F74" i="2"/>
  <c r="D74" i="2"/>
  <c r="W73" i="2"/>
  <c r="U73" i="2"/>
  <c r="S73" i="2"/>
  <c r="Q73" i="2"/>
  <c r="J73" i="2"/>
  <c r="H73" i="2"/>
  <c r="F73" i="2"/>
  <c r="D73" i="2"/>
  <c r="W72" i="2"/>
  <c r="U72" i="2"/>
  <c r="S72" i="2"/>
  <c r="Q72" i="2"/>
  <c r="J72" i="2"/>
  <c r="H72" i="2"/>
  <c r="F72" i="2"/>
  <c r="D72" i="2"/>
  <c r="W71" i="2"/>
  <c r="U71" i="2"/>
  <c r="S71" i="2"/>
  <c r="Q71" i="2"/>
  <c r="J71" i="2"/>
  <c r="H71" i="2"/>
  <c r="F71" i="2"/>
  <c r="D71" i="2"/>
  <c r="W70" i="2"/>
  <c r="U70" i="2"/>
  <c r="S70" i="2"/>
  <c r="Q70" i="2"/>
  <c r="J70" i="2"/>
  <c r="H70" i="2"/>
  <c r="F70" i="2"/>
  <c r="D70" i="2"/>
  <c r="W69" i="2"/>
  <c r="U69" i="2"/>
  <c r="S69" i="2"/>
  <c r="Q69" i="2"/>
  <c r="J69" i="2"/>
  <c r="H69" i="2"/>
  <c r="F69" i="2"/>
  <c r="D69" i="2"/>
  <c r="W68" i="2"/>
  <c r="U68" i="2"/>
  <c r="S68" i="2"/>
  <c r="Q68" i="2"/>
  <c r="J68" i="2"/>
  <c r="H68" i="2"/>
  <c r="F68" i="2"/>
  <c r="D68" i="2"/>
  <c r="P136" i="2" l="1"/>
  <c r="P136" i="3"/>
  <c r="P136" i="4"/>
  <c r="P136" i="5"/>
  <c r="P143" i="3"/>
  <c r="P131" i="4"/>
  <c r="P143" i="5"/>
  <c r="T134" i="2"/>
  <c r="T134" i="3"/>
  <c r="T134" i="4"/>
  <c r="P140" i="3"/>
  <c r="P140" i="4"/>
  <c r="P140" i="5"/>
  <c r="P135" i="2"/>
  <c r="P135" i="3"/>
  <c r="P135" i="4"/>
  <c r="P135" i="5"/>
  <c r="P140" i="2"/>
</calcChain>
</file>

<file path=xl/sharedStrings.xml><?xml version="1.0" encoding="utf-8"?>
<sst xmlns="http://schemas.openxmlformats.org/spreadsheetml/2006/main" count="7802" uniqueCount="244">
  <si>
    <t>GUÍA — CASL_Entrenamientos.xlsx</t>
  </si>
  <si>
    <t>ESTRUCTURA</t>
  </si>
  <si>
    <t>Cada partido tiene su propia solapa — misma estructura que la hoja CASLA del GamePlan</t>
  </si>
  <si>
    <t>PEGAR</t>
  </si>
  <si>
    <t>Copiás y pegás desde Data Volley exactamente en las mismas celdas de siempre</t>
  </si>
  <si>
    <t>ATAQUES</t>
  </si>
  <si>
    <t>Pegá en celda A4 (rango A4:BH17)</t>
  </si>
  <si>
    <t>SAQUES</t>
  </si>
  <si>
    <t>Pegá en celda A21 (rango A21:BB33)</t>
  </si>
  <si>
    <t>STATS</t>
  </si>
  <si>
    <t>Pegá en celda A36 (rango A36:AW64)</t>
  </si>
  <si>
    <t>ARMADOR</t>
  </si>
  <si>
    <t>Pegá en celda A67</t>
  </si>
  <si>
    <t>RECEPCION</t>
  </si>
  <si>
    <t>Pegá en celda A89</t>
  </si>
  <si>
    <t>FLUJO</t>
  </si>
  <si>
    <t>1. Abrís la solapa del partido (ej: VELEZ)</t>
  </si>
  <si>
    <t>2. Pegás cada rango en la celda correspondiente — igual que en la hoja CASLA</t>
  </si>
  <si>
    <t>3. Guardás y cerrás el Excel</t>
  </si>
  <si>
    <t>4. Doble click correr_partidos.bat → genera datos_partidos.js</t>
  </si>
  <si>
    <t>5. Subís datos_partidos.js a GitHub → todo se actualiza</t>
  </si>
  <si>
    <t>NUEVO</t>
  </si>
  <si>
    <t>Para partido nuevo: duplicás la solapa PRÓXIMO y la renombrás con el rival</t>
  </si>
  <si>
    <t>INDICE</t>
  </si>
  <si>
    <t>Actualizás el INDICE con fecha, rival, resultado y nombre de solapa</t>
  </si>
  <si>
    <t>CASLA ENTRENAMIENTOS — ÍNDICE</t>
  </si>
  <si>
    <t>#</t>
  </si>
  <si>
    <t>FECHA</t>
  </si>
  <si>
    <t>DESCRIPCION</t>
  </si>
  <si>
    <t>TIPO</t>
  </si>
  <si>
    <t>SETS C</t>
  </si>
  <si>
    <t>SETS R</t>
  </si>
  <si>
    <t>RESULTADO</t>
  </si>
  <si>
    <t>SOLAPA</t>
  </si>
  <si>
    <t>18/05/2026</t>
  </si>
  <si>
    <t>Entrenamiento</t>
  </si>
  <si>
    <t>E</t>
  </si>
  <si>
    <t>18-05</t>
  </si>
  <si>
    <t>19/05/2026</t>
  </si>
  <si>
    <t>19-05</t>
  </si>
  <si>
    <t>21/05/2026</t>
  </si>
  <si>
    <t>21-05</t>
  </si>
  <si>
    <t>CASLA VOLEY  ·  Entrenamiento 18-05</t>
  </si>
  <si>
    <t>⬇  ATAQUES  —  Pegar A4:BH17 del Data Volley  ·  18-05</t>
  </si>
  <si>
    <t>📋  INFORMACIÓN TÁCTICA  —  Completar manualmente</t>
  </si>
  <si>
    <t>JUGADOR</t>
  </si>
  <si>
    <t>POSICIÓN</t>
  </si>
  <si>
    <t>BLOQUEO / SISTEMA</t>
  </si>
  <si>
    <t>DEFENSA</t>
  </si>
  <si>
    <t>ROT 6</t>
  </si>
  <si>
    <t>ROT 5</t>
  </si>
  <si>
    <t>ROT 1</t>
  </si>
  <si>
    <t>NOTA TÁCTICA</t>
  </si>
  <si>
    <t>URL VIDEO</t>
  </si>
  <si>
    <t>5 Ramos I.</t>
  </si>
  <si>
    <t>ZONA</t>
  </si>
  <si>
    <t>ZONA1</t>
  </si>
  <si>
    <t>ZONA9</t>
  </si>
  <si>
    <t>ZONA 2</t>
  </si>
  <si>
    <t>ZONA6</t>
  </si>
  <si>
    <t>ZONA8</t>
  </si>
  <si>
    <t>ZONA5</t>
  </si>
  <si>
    <t>ZONA7</t>
  </si>
  <si>
    <t>ZONA4</t>
  </si>
  <si>
    <t>BLOCK OUT</t>
  </si>
  <si>
    <t>TOTALES</t>
  </si>
  <si>
    <t>18 Acosta W.</t>
  </si>
  <si>
    <t>15 Rotezzi R.</t>
  </si>
  <si>
    <t>2 Ojuez A.</t>
  </si>
  <si>
    <t>17 Herbsommer L.</t>
  </si>
  <si>
    <t>OPUESTO</t>
  </si>
  <si>
    <t>X5</t>
  </si>
  <si>
    <t>X1</t>
  </si>
  <si>
    <t>V5</t>
  </si>
  <si>
    <t>X7</t>
  </si>
  <si>
    <t>PUNTA</t>
  </si>
  <si>
    <t>X6</t>
  </si>
  <si>
    <t>XM</t>
  </si>
  <si>
    <t>CENTRAL</t>
  </si>
  <si>
    <t>V6</t>
  </si>
  <si>
    <t>----</t>
  </si>
  <si>
    <t>X2</t>
  </si>
  <si>
    <t>X8</t>
  </si>
  <si>
    <t>V8</t>
  </si>
  <si>
    <t>OUTSIDE HITTERS</t>
  </si>
  <si>
    <t>14 Nielson R.</t>
  </si>
  <si>
    <t>11 Durdos V.</t>
  </si>
  <si>
    <t>6 Villarruel J.</t>
  </si>
  <si>
    <t>13 Rojas Caruso M.</t>
  </si>
  <si>
    <t>21???</t>
  </si>
  <si>
    <t>XP</t>
  </si>
  <si>
    <t>🚀  GENERAR datos_gameplan.js  →  Alt+F8 → GenerarGamePlanJS</t>
  </si>
  <si>
    <t>⬇  SAQUES  —  Pegar A21:BB33 del Data Volley</t>
  </si>
  <si>
    <t>Z1</t>
  </si>
  <si>
    <t>9 Godoy M.</t>
  </si>
  <si>
    <t>Z6</t>
  </si>
  <si>
    <t>Z5</t>
  </si>
  <si>
    <t>4 Vazquez E.</t>
  </si>
  <si>
    <t>10 Viera M.</t>
  </si>
  <si>
    <t>⬇  STATS  —  Pegar A36:AW64 del Data Volley de CASLA</t>
  </si>
  <si>
    <t>SM</t>
  </si>
  <si>
    <t>EFF%</t>
  </si>
  <si>
    <t>TOT</t>
  </si>
  <si>
    <t>+</t>
  </si>
  <si>
    <t>/</t>
  </si>
  <si>
    <t>=</t>
  </si>
  <si>
    <t>#%</t>
  </si>
  <si>
    <t>BLOCK</t>
  </si>
  <si>
    <t>+%</t>
  </si>
  <si>
    <t>Club Atlético San L</t>
  </si>
  <si>
    <t>19 Diaz Bolli S.</t>
  </si>
  <si>
    <t>SQ</t>
  </si>
  <si>
    <t>TRAN</t>
  </si>
  <si>
    <t>ATQ SO</t>
  </si>
  <si>
    <t>📋  DATOS DEL ARMADOR — Pegar datos del Data Volley de CASLA</t>
  </si>
  <si>
    <t>📋  ARMADOR SUPLENTE — Misma estructura</t>
  </si>
  <si>
    <t>#P4</t>
  </si>
  <si>
    <t>%P4</t>
  </si>
  <si>
    <t>#P3</t>
  </si>
  <si>
    <t>%P3</t>
  </si>
  <si>
    <t>#P2</t>
  </si>
  <si>
    <t>%P2</t>
  </si>
  <si>
    <t>#P6</t>
  </si>
  <si>
    <t>%P6</t>
  </si>
  <si>
    <t>P1</t>
  </si>
  <si>
    <t>/ %=</t>
  </si>
  <si>
    <t>SO</t>
  </si>
  <si>
    <t>P6</t>
  </si>
  <si>
    <t>REC #</t>
  </si>
  <si>
    <t>REC +</t>
  </si>
  <si>
    <t>P5</t>
  </si>
  <si>
    <t>REC !</t>
  </si>
  <si>
    <t>P4</t>
  </si>
  <si>
    <t>REC -</t>
  </si>
  <si>
    <t>P3</t>
  </si>
  <si>
    <t>TRANS</t>
  </si>
  <si>
    <t>P2</t>
  </si>
  <si>
    <t>SD</t>
  </si>
  <si>
    <t>TR</t>
  </si>
  <si>
    <t>SIDE OUT</t>
  </si>
  <si>
    <t>TRANSITION</t>
  </si>
  <si>
    <t>📋  DATOS PARA RECEPCION — Pegar datos del Data Volley de CASLA</t>
  </si>
  <si>
    <t>SERVE</t>
  </si>
  <si>
    <t>EFF</t>
  </si>
  <si>
    <t>12 Zanotti J.</t>
  </si>
  <si>
    <t>SM TO 1</t>
  </si>
  <si>
    <t>3 Romeo Winer A.</t>
  </si>
  <si>
    <t>SM TO 6</t>
  </si>
  <si>
    <t>SM TO 5</t>
  </si>
  <si>
    <t>SQ TO 1</t>
  </si>
  <si>
    <t>SQ TO 6</t>
  </si>
  <si>
    <t>SQ TO 5</t>
  </si>
  <si>
    <t>TOTAL SM</t>
  </si>
  <si>
    <t>TOTAL RM</t>
  </si>
  <si>
    <t>TOTAL SQ</t>
  </si>
  <si>
    <t>TOTAL RQ</t>
  </si>
  <si>
    <t>FLOAT</t>
  </si>
  <si>
    <t>SM FROM POS 1</t>
  </si>
  <si>
    <t>SM FROM POS 1 TO POS 1</t>
  </si>
  <si>
    <t>SM FROM POS 1 TO POS 6</t>
  </si>
  <si>
    <t>SM FROM POS 1 TO POS 5</t>
  </si>
  <si>
    <t>SM FROM POS 6</t>
  </si>
  <si>
    <t>SM FROM POS 6 TO POS 1</t>
  </si>
  <si>
    <t>SM FROM POS 6 TO POS 6</t>
  </si>
  <si>
    <t>SM FROM POS 6 TO POS 5</t>
  </si>
  <si>
    <t>SM FROM POS 5</t>
  </si>
  <si>
    <t>SM FROM POS 5 TO POS 1</t>
  </si>
  <si>
    <t>SM FROM POS 5 TO POS 6</t>
  </si>
  <si>
    <t>SM FROM POS 5 TO POS 5</t>
  </si>
  <si>
    <t>SPIN</t>
  </si>
  <si>
    <t>SQ FROM POS 1</t>
  </si>
  <si>
    <t>SQ FROM POS 1 TO POS 1</t>
  </si>
  <si>
    <t>SQ FROM POS 1 TO POS 6</t>
  </si>
  <si>
    <t>SQ FROM POS 1 TO POS 5</t>
  </si>
  <si>
    <t>SQ FROM POS 6</t>
  </si>
  <si>
    <t>SQ FROM POS 6 TO POS 1</t>
  </si>
  <si>
    <t>SQ FROM POS 6 TO POS 6</t>
  </si>
  <si>
    <t>SQ FROM POS 6 TO POS 5</t>
  </si>
  <si>
    <t>SQ FROM POS 5</t>
  </si>
  <si>
    <t>SQ FROM POS 5 TO POS 1</t>
  </si>
  <si>
    <t>SQ FROM POS 5 TO POS 6</t>
  </si>
  <si>
    <t>SQ FROM POS 5 TO POS 5</t>
  </si>
  <si>
    <t>TABLA AUTOMATICA "NO TOCAR"</t>
  </si>
  <si>
    <t>% SQ</t>
  </si>
  <si>
    <t>% REC</t>
  </si>
  <si>
    <t xml:space="preserve">% BQ POS </t>
  </si>
  <si>
    <t>% PUNTOS</t>
  </si>
  <si>
    <t>% ATQ Q</t>
  </si>
  <si>
    <t>% ATQ HB</t>
  </si>
  <si>
    <t>% ATQ X</t>
  </si>
  <si>
    <t>% ATQ R#+</t>
  </si>
  <si>
    <t>% At R!</t>
  </si>
  <si>
    <t>% At R-</t>
  </si>
  <si>
    <t>% ATQ TR</t>
  </si>
  <si>
    <t>📋  DATOS PARA OBJETIVOS — Pegar datos del Data Volley de CASLA</t>
  </si>
  <si>
    <t>SQ #</t>
  </si>
  <si>
    <t>SQ +</t>
  </si>
  <si>
    <t>SQ /</t>
  </si>
  <si>
    <t>SQ =</t>
  </si>
  <si>
    <t>SQ TOT</t>
  </si>
  <si>
    <t>REC /</t>
  </si>
  <si>
    <t>REC =</t>
  </si>
  <si>
    <t>REC TOT</t>
  </si>
  <si>
    <t>BLQ #</t>
  </si>
  <si>
    <t>BLQ +</t>
  </si>
  <si>
    <t>BLQ =</t>
  </si>
  <si>
    <t>BLQ /</t>
  </si>
  <si>
    <t>BLQ TOT</t>
  </si>
  <si>
    <t>ATQ Q #</t>
  </si>
  <si>
    <t>ATQ Q /</t>
  </si>
  <si>
    <t>ATQ Q =</t>
  </si>
  <si>
    <t>ATQ Q TOT</t>
  </si>
  <si>
    <t>ATQ V #</t>
  </si>
  <si>
    <t>ATQ V /</t>
  </si>
  <si>
    <t>ATQ V =</t>
  </si>
  <si>
    <t>ATQ V TOT</t>
  </si>
  <si>
    <t>ATQ X #</t>
  </si>
  <si>
    <t>ATQ X /</t>
  </si>
  <si>
    <t>ATQ X =</t>
  </si>
  <si>
    <t>ATQ X TOT</t>
  </si>
  <si>
    <t>ATQ R# #</t>
  </si>
  <si>
    <t>ATQ R# /</t>
  </si>
  <si>
    <t>ATQ R# =</t>
  </si>
  <si>
    <t>ATQ R# TOT</t>
  </si>
  <si>
    <t>ATQ R! #</t>
  </si>
  <si>
    <t>ATQ R! /</t>
  </si>
  <si>
    <t>ATQ R! =</t>
  </si>
  <si>
    <t>ATQ R! TOT</t>
  </si>
  <si>
    <t>ATQ R- #</t>
  </si>
  <si>
    <t>ATQ R- /</t>
  </si>
  <si>
    <t>ATQ R- =</t>
  </si>
  <si>
    <t>ATQ R- TOT</t>
  </si>
  <si>
    <t>ATQ TR #</t>
  </si>
  <si>
    <t>ATQ TR /</t>
  </si>
  <si>
    <t>ATQ TR =</t>
  </si>
  <si>
    <t>ATQ TR TOT</t>
  </si>
  <si>
    <t>CASLA VOLEY  ·  Entrenamiento 19-05</t>
  </si>
  <si>
    <t>⬇  ATAQUES  —  Pegar A4:BH17 del Data Volley  ·  19-05</t>
  </si>
  <si>
    <t>CASLA VOLEY  ·  Entrenamiento 21-05</t>
  </si>
  <si>
    <t>⬇  ATAQUES  —  Pegar A4:BH17 del Data Volley  ·  21-05</t>
  </si>
  <si>
    <t>CASLA VOLEY  ·  ACUMULADO ENTRENAMIENTOS</t>
  </si>
  <si>
    <t>⬇  ATAQUES  —  Acumulado de todos los entrenamientos</t>
  </si>
  <si>
    <t>CASLA VOLEY  ·  PRÓXIMO ENTRENAMIENTO</t>
  </si>
  <si>
    <t>⬇  ATAQUES  —  Pegar A4:BH17 del Data Volley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</si>
</sst>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;\-0"/>
    <numFmt numFmtId="166" formatCode="0.00;\-0.00"/>
    <numFmt numFmtId="167" formatCode="0%;\-0%"/>
  </numFmts>
  <fonts count="46" x14ac:knownFonts="1">
    <font>
      <sz val="11"/>
      <color theme="1"/>
      <name val="Calibri"/>
      <family val="2"/>
      <charset val="1"/>
    </font>
    <font>
      <b/>
      <sz val="12"/>
      <color rgb="FFE2E8F0"/>
      <name val="Arial"/>
      <family val="2"/>
      <charset val="1"/>
    </font>
    <font>
      <b/>
      <sz val="9"/>
      <color rgb="FFF59E0B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B050"/>
      <name val="Arial"/>
      <family val="2"/>
      <charset val="1"/>
    </font>
    <font>
      <sz val="11"/>
      <color theme="0"/>
      <name val="Calibri"/>
      <family val="2"/>
      <charset val="1"/>
    </font>
    <font>
      <sz val="11"/>
      <color rgb="FFC00000"/>
      <name val="Calibri"/>
      <family val="2"/>
      <charset val="1"/>
    </font>
    <font>
      <b/>
      <sz val="11"/>
      <color rgb="FFE2E8F0"/>
      <name val="Arial"/>
      <family val="2"/>
      <charset val="1"/>
    </font>
    <font>
      <i/>
      <sz val="9"/>
      <color rgb="FF818CF8"/>
      <name val="Arial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rgb="FFF59E0B"/>
      <name val="Calibri"/>
      <family val="2"/>
      <charset val="1"/>
    </font>
    <font>
      <sz val="8"/>
      <color rgb="FF000000"/>
      <name val="Segoe UI"/>
      <family val="2"/>
      <charset val="1"/>
    </font>
    <font>
      <sz val="8"/>
      <color rgb="FFFFFFFF"/>
      <name val="Segoe UI"/>
      <family val="2"/>
      <charset val="1"/>
    </font>
    <font>
      <b/>
      <sz val="8"/>
      <color rgb="FFFFFFFF"/>
      <name val="Segoe UI"/>
      <family val="2"/>
      <charset val="1"/>
    </font>
    <font>
      <b/>
      <sz val="12"/>
      <color rgb="FF818CF8"/>
      <name val="Calibri"/>
      <family val="2"/>
      <charset val="1"/>
    </font>
    <font>
      <b/>
      <sz val="11"/>
      <color rgb="FFE2E8F0"/>
      <name val="Calibri"/>
      <family val="2"/>
      <charset val="1"/>
    </font>
    <font>
      <b/>
      <sz val="11"/>
      <color rgb="FF818CF8"/>
      <name val="Calibri"/>
      <family val="2"/>
      <charset val="1"/>
    </font>
    <font>
      <sz val="11"/>
      <color rgb="FFCBD5E1"/>
      <name val="Calibri"/>
      <family val="2"/>
      <charset val="1"/>
    </font>
    <font>
      <sz val="10"/>
      <color rgb="FF818CF8"/>
      <name val="Calibri"/>
      <family val="2"/>
      <charset val="1"/>
    </font>
    <font>
      <sz val="1"/>
      <color rgb="FF000000"/>
      <name val="Segoe UI"/>
      <family val="2"/>
      <charset val="1"/>
    </font>
    <font>
      <b/>
      <sz val="12"/>
      <color rgb="FF22C55E"/>
      <name val="Calibri"/>
      <family val="2"/>
      <charset val="1"/>
    </font>
    <font>
      <b/>
      <sz val="11"/>
      <color rgb="FF22C55E"/>
      <name val="Calibri"/>
      <family val="2"/>
      <charset val="1"/>
    </font>
    <font>
      <b/>
      <sz val="12"/>
      <color rgb="FFF97316"/>
      <name val="Calibri"/>
      <family val="2"/>
      <charset val="1"/>
    </font>
    <font>
      <b/>
      <sz val="11"/>
      <color rgb="FFF97316"/>
      <name val="Calibri"/>
      <family val="2"/>
      <charset val="1"/>
    </font>
    <font>
      <b/>
      <sz val="12"/>
      <color rgb="FFF59E0B"/>
      <name val="Calibri"/>
      <family val="2"/>
      <charset val="1"/>
    </font>
    <font>
      <b/>
      <sz val="11"/>
      <color rgb="FFF59E0B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3"/>
      <color rgb="FF818CF8"/>
      <name val="Calibri"/>
      <family val="2"/>
      <charset val="1"/>
    </font>
    <font>
      <sz val="10"/>
      <color rgb="FF94A3B8"/>
      <name val="Calibri"/>
      <family val="2"/>
      <charset val="1"/>
    </font>
    <font>
      <sz val="10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color rgb="FF22C55E"/>
      <name val="Calibri"/>
      <family val="2"/>
      <charset val="1"/>
    </font>
    <font>
      <b/>
      <sz val="8"/>
      <color rgb="FF000000"/>
      <name val="Segoe UI"/>
      <family val="2"/>
      <charset val="1"/>
    </font>
    <font>
      <b/>
      <sz val="8"/>
      <color rgb="FF0000A0"/>
      <name val="Segoe UI"/>
      <family val="2"/>
      <charset val="1"/>
    </font>
    <font>
      <b/>
      <sz val="10"/>
      <color theme="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Segoe UI"/>
      <family val="2"/>
    </font>
    <font>
      <b/>
      <sz val="8"/>
      <color rgb="FF000000"/>
      <name val="@Malgun Gothic"/>
      <charset val="1"/>
    </font>
    <font>
      <sz val="8"/>
      <color rgb="FF000000"/>
      <name val="Segoe UI"/>
      <family val="2"/>
    </font>
    <font>
      <sz val="7"/>
      <color rgb="FF000000"/>
      <name val="Segoe UI"/>
      <family val="2"/>
    </font>
    <font>
      <sz val="8"/>
      <name val="Segoe UI"/>
      <family val="2"/>
      <charset val="1"/>
    </font>
    <font>
      <sz val="7"/>
      <color rgb="FF000000"/>
      <name val="Segoe UI"/>
      <family val="2"/>
      <charset val="1"/>
    </font>
    <font>
      <b/>
      <sz val="10"/>
      <color rgb="FFF59E0B"/>
      <name val="Arial"/>
      <family val="2"/>
      <charset val="1"/>
    </font>
    <font>
      <sz val="9"/>
      <color rgb="FFE2E8F0"/>
      <name val="Arial"/>
      <family val="2"/>
      <charset val="1"/>
    </font>
    <font>
      <sz val="10"/>
      <color rgb="FFE2E8F0"/>
      <name val="Arial"/>
      <family val="2"/>
    </font>
    <font>
      <sz val="11"/>
      <color theme="1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E8192C"/>
        <bgColor rgb="FFC00000"/>
      </patternFill>
    </fill>
    <fill>
      <patternFill patternType="solid">
        <fgColor rgb="FF07080F"/>
        <bgColor rgb="FF090A14"/>
      </patternFill>
    </fill>
    <fill>
      <patternFill patternType="solid">
        <fgColor rgb="FF12132A"/>
        <bgColor rgb="FF111220"/>
      </patternFill>
    </fill>
    <fill>
      <patternFill patternType="solid">
        <fgColor rgb="FF0D0E1A"/>
        <bgColor rgb="FF0A0B18"/>
      </patternFill>
    </fill>
    <fill>
      <patternFill patternType="solid">
        <fgColor rgb="FF1A2F5E"/>
        <bgColor rgb="FF1E2030"/>
      </patternFill>
    </fill>
    <fill>
      <patternFill patternType="solid">
        <fgColor rgb="FF091209"/>
        <bgColor rgb="FF120E00"/>
      </patternFill>
    </fill>
    <fill>
      <patternFill patternType="solid">
        <fgColor rgb="FF111220"/>
        <bgColor rgb="FF12132A"/>
      </patternFill>
    </fill>
    <fill>
      <patternFill patternType="solid">
        <fgColor rgb="FF0080C0"/>
        <bgColor rgb="FF008080"/>
      </patternFill>
    </fill>
    <fill>
      <patternFill patternType="solid">
        <fgColor rgb="FF0A0B18"/>
        <bgColor rgb="FF0A0A18"/>
      </patternFill>
    </fill>
    <fill>
      <patternFill patternType="solid">
        <fgColor rgb="FFFFFFFF"/>
        <bgColor rgb="FFFFFFCC"/>
      </patternFill>
    </fill>
    <fill>
      <patternFill patternType="solid">
        <fgColor rgb="FF120E00"/>
        <bgColor rgb="FF091209"/>
      </patternFill>
    </fill>
    <fill>
      <patternFill patternType="solid">
        <fgColor rgb="FF0A0A18"/>
        <bgColor rgb="FF0A0B18"/>
      </patternFill>
    </fill>
    <fill>
      <patternFill patternType="solid">
        <fgColor rgb="FF0A0A1E"/>
        <bgColor rgb="FF0A0A18"/>
      </patternFill>
    </fill>
    <fill>
      <patternFill patternType="solid">
        <fgColor rgb="FF090A14"/>
        <bgColor rgb="FF0A0A18"/>
      </patternFill>
    </fill>
    <fill>
      <patternFill patternType="solid">
        <fgColor rgb="FFFFFF80"/>
        <bgColor rgb="FFFFFFCC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BD5E1"/>
      </patternFill>
    </fill>
    <fill>
      <patternFill patternType="solid">
        <fgColor rgb="FF00B050"/>
        <bgColor rgb="FF22C55E"/>
      </patternFill>
    </fill>
    <fill>
      <patternFill patternType="solid">
        <fgColor theme="6" tint="0.59987182226020086"/>
        <bgColor rgb="FFCBD5E1"/>
      </patternFill>
    </fill>
    <fill>
      <patternFill patternType="solid">
        <fgColor rgb="FFFFFF00"/>
        <bgColor rgb="FFFFFF00"/>
      </patternFill>
    </fill>
    <fill>
      <patternFill patternType="solid">
        <fgColor rgb="FF13D56A"/>
        <bgColor rgb="FF22C55E"/>
      </patternFill>
    </fill>
    <fill>
      <patternFill patternType="solid">
        <fgColor rgb="FF80FF80"/>
        <bgColor rgb="FFD7E4BD"/>
      </patternFill>
    </fill>
    <fill>
      <patternFill patternType="solid">
        <fgColor rgb="FF0D0E1A"/>
      </patternFill>
    </fill>
  </fills>
  <borders count="36">
    <border>
      <left/>
      <right/>
      <top/>
      <bottom/>
      <diagonal/>
    </border>
    <border>
      <left style="thin">
        <color rgb="FF1E2030"/>
      </left>
      <right style="thin">
        <color rgb="FF1E2030"/>
      </right>
      <top style="thin">
        <color rgb="FF1E2030"/>
      </top>
      <bottom style="thin">
        <color rgb="FF1E203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E2030"/>
      </left>
      <right style="thin">
        <color rgb="FF1E2030"/>
      </right>
      <top style="thin">
        <color rgb="FF1E2030"/>
      </top>
      <bottom/>
      <diagonal/>
    </border>
    <border>
      <left style="thin">
        <color rgb="FF1E2030"/>
      </left>
      <right/>
      <top/>
      <bottom style="thin">
        <color theme="0"/>
      </bottom>
      <diagonal/>
    </border>
    <border>
      <left style="thin">
        <color theme="0"/>
      </left>
      <right style="thin">
        <color rgb="FF1E2030"/>
      </right>
      <top style="thin">
        <color theme="0"/>
      </top>
      <bottom style="thin">
        <color rgb="FF1E2030"/>
      </bottom>
      <diagonal/>
    </border>
    <border>
      <left style="thin">
        <color rgb="FF1E2030"/>
      </left>
      <right style="thin">
        <color theme="0"/>
      </right>
      <top style="thin">
        <color theme="0"/>
      </top>
      <bottom style="thin">
        <color rgb="FF1E2030"/>
      </bottom>
      <diagonal/>
    </border>
    <border>
      <left/>
      <right style="thin">
        <color rgb="FF1E2030"/>
      </right>
      <top style="thin">
        <color theme="0"/>
      </top>
      <bottom style="thin">
        <color rgb="FF1E2030"/>
      </bottom>
      <diagonal/>
    </border>
    <border>
      <left style="thin">
        <color theme="0"/>
      </left>
      <right style="thin">
        <color rgb="FF1E2030"/>
      </right>
      <top style="thin">
        <color rgb="FF1E2030"/>
      </top>
      <bottom style="thin">
        <color theme="0"/>
      </bottom>
      <diagonal/>
    </border>
    <border>
      <left style="thin">
        <color rgb="FF1E2030"/>
      </left>
      <right style="thin">
        <color theme="0"/>
      </right>
      <top style="thin">
        <color rgb="FF1E2030"/>
      </top>
      <bottom style="thin">
        <color theme="0"/>
      </bottom>
      <diagonal/>
    </border>
    <border>
      <left/>
      <right style="thin">
        <color rgb="FF1E2030"/>
      </right>
      <top style="thin">
        <color rgb="FF1E203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rgb="FF1E2030"/>
      </bottom>
      <diagonal/>
    </border>
    <border>
      <left/>
      <right style="thin">
        <color theme="0"/>
      </right>
      <top style="thin">
        <color theme="0"/>
      </top>
      <bottom style="thin">
        <color rgb="FF1E2030"/>
      </bottom>
      <diagonal/>
    </border>
    <border>
      <left/>
      <right style="thin">
        <color rgb="FF1E2030"/>
      </right>
      <top/>
      <bottom style="thin">
        <color rgb="FF1E2030"/>
      </bottom>
      <diagonal/>
    </border>
    <border>
      <left style="thin">
        <color rgb="FF1E2030"/>
      </left>
      <right/>
      <top/>
      <bottom style="thin">
        <color rgb="FF1E2030"/>
      </bottom>
      <diagonal/>
    </border>
    <border>
      <left style="thin">
        <color theme="0"/>
      </left>
      <right style="thin">
        <color theme="1"/>
      </right>
      <top style="thin">
        <color rgb="FF1E2030"/>
      </top>
      <bottom style="thin">
        <color rgb="FF1E2030"/>
      </bottom>
      <diagonal/>
    </border>
    <border>
      <left/>
      <right style="thin">
        <color theme="0"/>
      </right>
      <top style="thin">
        <color rgb="FF1E2030"/>
      </top>
      <bottom style="thin">
        <color rgb="FF1E2030"/>
      </bottom>
      <diagonal/>
    </border>
    <border>
      <left/>
      <right style="thin">
        <color rgb="FF1E2030"/>
      </right>
      <top style="thin">
        <color rgb="FF1E2030"/>
      </top>
      <bottom style="thin">
        <color rgb="FF1E2030"/>
      </bottom>
      <diagonal/>
    </border>
    <border>
      <left style="thin">
        <color rgb="FF1E2030"/>
      </left>
      <right style="thin">
        <color theme="0"/>
      </right>
      <top style="thin">
        <color rgb="FF1E2030"/>
      </top>
      <bottom style="thin">
        <color rgb="FF1E2030"/>
      </bottom>
      <diagonal/>
    </border>
    <border>
      <left style="thin">
        <color rgb="FF1E2030"/>
      </left>
      <right/>
      <top style="thin">
        <color rgb="FF1E2030"/>
      </top>
      <bottom style="thin">
        <color rgb="FF1E203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1E2030"/>
      </top>
      <bottom/>
      <diagonal/>
    </border>
    <border>
      <left/>
      <right style="thin">
        <color rgb="FF1E2030"/>
      </right>
      <top style="thin">
        <color rgb="FF1E2030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9" fontId="45" fillId="0" borderId="0"/>
  </cellStyleXfs>
  <cellXfs count="171">
    <xf numFmtId="0" fontId="0" fillId="0" borderId="0" xfId="0"/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5" fontId="19" fillId="0" borderId="3" xfId="0" applyNumberFormat="1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11" borderId="0" xfId="0" applyFont="1" applyFill="1" applyAlignment="1">
      <alignment horizontal="left" vertical="top" wrapText="1"/>
    </xf>
    <xf numFmtId="0" fontId="13" fillId="9" borderId="4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left" vertical="top"/>
    </xf>
    <xf numFmtId="165" fontId="11" fillId="0" borderId="5" xfId="0" applyNumberFormat="1" applyFont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3" fillId="9" borderId="2" xfId="0" applyFont="1" applyFill="1" applyBorder="1" applyAlignment="1">
      <alignment horizontal="center" vertical="top"/>
    </xf>
    <xf numFmtId="165" fontId="11" fillId="0" borderId="3" xfId="0" applyNumberFormat="1" applyFont="1" applyBorder="1" applyAlignment="1">
      <alignment horizontal="center" vertical="top"/>
    </xf>
    <xf numFmtId="0" fontId="13" fillId="9" borderId="4" xfId="0" applyFont="1" applyFill="1" applyBorder="1" applyAlignment="1">
      <alignment horizontal="center" vertical="top"/>
    </xf>
    <xf numFmtId="165" fontId="11" fillId="0" borderId="5" xfId="0" applyNumberFormat="1" applyFont="1" applyBorder="1" applyAlignment="1">
      <alignment horizontal="center" vertical="top"/>
    </xf>
    <xf numFmtId="0" fontId="12" fillId="9" borderId="3" xfId="0" applyFont="1" applyFill="1" applyBorder="1" applyAlignment="1">
      <alignment horizontal="center" vertical="center"/>
    </xf>
    <xf numFmtId="166" fontId="11" fillId="0" borderId="3" xfId="0" applyNumberFormat="1" applyFont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9" fontId="31" fillId="15" borderId="1" xfId="0" applyNumberFormat="1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5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9" fontId="5" fillId="15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9" fontId="28" fillId="5" borderId="1" xfId="0" applyNumberFormat="1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5" fillId="15" borderId="14" xfId="0" applyFont="1" applyFill="1" applyBorder="1" applyAlignment="1">
      <alignment horizontal="center" vertical="center"/>
    </xf>
    <xf numFmtId="0" fontId="5" fillId="15" borderId="15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5" fillId="15" borderId="17" xfId="0" applyFont="1" applyFill="1" applyBorder="1" applyAlignment="1">
      <alignment horizontal="center" vertical="center"/>
    </xf>
    <xf numFmtId="0" fontId="5" fillId="15" borderId="18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5" fillId="15" borderId="20" xfId="0" applyFont="1" applyFill="1" applyBorder="1" applyAlignment="1">
      <alignment horizontal="center" vertical="center"/>
    </xf>
    <xf numFmtId="0" fontId="5" fillId="15" borderId="21" xfId="0" applyFont="1" applyFill="1" applyBorder="1" applyAlignment="1">
      <alignment horizontal="center" vertical="center"/>
    </xf>
    <xf numFmtId="0" fontId="5" fillId="15" borderId="22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3" fillId="9" borderId="26" xfId="0" applyFont="1" applyFill="1" applyBorder="1" applyAlignment="1">
      <alignment horizontal="center" vertical="center"/>
    </xf>
    <xf numFmtId="0" fontId="13" fillId="9" borderId="27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0" borderId="28" xfId="0" applyNumberFormat="1" applyFont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5" fontId="11" fillId="0" borderId="25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0" fontId="32" fillId="16" borderId="25" xfId="0" applyFont="1" applyFill="1" applyBorder="1" applyAlignment="1">
      <alignment horizontal="center" vertical="center"/>
    </xf>
    <xf numFmtId="0" fontId="32" fillId="16" borderId="0" xfId="0" applyFont="1" applyFill="1" applyAlignment="1">
      <alignment horizontal="center" vertical="center"/>
    </xf>
    <xf numFmtId="165" fontId="32" fillId="16" borderId="0" xfId="0" applyNumberFormat="1" applyFont="1" applyFill="1" applyAlignment="1">
      <alignment horizontal="center" vertical="center"/>
    </xf>
    <xf numFmtId="165" fontId="32" fillId="16" borderId="25" xfId="0" applyNumberFormat="1" applyFont="1" applyFill="1" applyBorder="1" applyAlignment="1">
      <alignment horizontal="center" vertical="center"/>
    </xf>
    <xf numFmtId="166" fontId="32" fillId="16" borderId="0" xfId="0" applyNumberFormat="1" applyFont="1" applyFill="1" applyAlignment="1">
      <alignment horizontal="center" vertical="center"/>
    </xf>
    <xf numFmtId="165" fontId="32" fillId="16" borderId="28" xfId="0" applyNumberFormat="1" applyFont="1" applyFill="1" applyBorder="1" applyAlignment="1">
      <alignment horizontal="center" vertical="center"/>
    </xf>
    <xf numFmtId="0" fontId="32" fillId="17" borderId="29" xfId="0" applyFont="1" applyFill="1" applyBorder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165" fontId="11" fillId="17" borderId="0" xfId="0" applyNumberFormat="1" applyFont="1" applyFill="1" applyAlignment="1">
      <alignment horizontal="center" vertical="center"/>
    </xf>
    <xf numFmtId="0" fontId="32" fillId="17" borderId="0" xfId="0" applyFont="1" applyFill="1" applyAlignment="1">
      <alignment horizontal="center" vertical="center"/>
    </xf>
    <xf numFmtId="165" fontId="32" fillId="17" borderId="0" xfId="0" applyNumberFormat="1" applyFont="1" applyFill="1" applyAlignment="1">
      <alignment horizontal="center" vertical="center"/>
    </xf>
    <xf numFmtId="165" fontId="32" fillId="17" borderId="25" xfId="0" applyNumberFormat="1" applyFont="1" applyFill="1" applyBorder="1" applyAlignment="1">
      <alignment horizontal="center" vertical="center"/>
    </xf>
    <xf numFmtId="166" fontId="32" fillId="17" borderId="0" xfId="0" applyNumberFormat="1" applyFont="1" applyFill="1" applyAlignment="1">
      <alignment horizontal="center" vertical="center"/>
    </xf>
    <xf numFmtId="0" fontId="11" fillId="17" borderId="30" xfId="0" applyFont="1" applyFill="1" applyBorder="1" applyAlignment="1">
      <alignment horizontal="center" vertical="center"/>
    </xf>
    <xf numFmtId="165" fontId="11" fillId="17" borderId="30" xfId="0" applyNumberFormat="1" applyFont="1" applyFill="1" applyBorder="1" applyAlignment="1">
      <alignment horizontal="center" vertical="center"/>
    </xf>
    <xf numFmtId="165" fontId="32" fillId="17" borderId="30" xfId="0" applyNumberFormat="1" applyFont="1" applyFill="1" applyBorder="1" applyAlignment="1">
      <alignment horizontal="center" vertical="center"/>
    </xf>
    <xf numFmtId="165" fontId="32" fillId="17" borderId="3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18" borderId="26" xfId="0" applyFont="1" applyFill="1" applyBorder="1" applyAlignment="1">
      <alignment horizontal="center" vertical="center"/>
    </xf>
    <xf numFmtId="0" fontId="33" fillId="18" borderId="27" xfId="0" applyFont="1" applyFill="1" applyBorder="1" applyAlignment="1">
      <alignment horizontal="center" vertical="center"/>
    </xf>
    <xf numFmtId="0" fontId="33" fillId="18" borderId="3" xfId="0" applyFont="1" applyFill="1" applyBorder="1" applyAlignment="1">
      <alignment horizontal="center" vertical="center"/>
    </xf>
    <xf numFmtId="0" fontId="11" fillId="17" borderId="26" xfId="0" applyFont="1" applyFill="1" applyBorder="1" applyAlignment="1">
      <alignment horizontal="center" vertical="center"/>
    </xf>
    <xf numFmtId="165" fontId="11" fillId="17" borderId="27" xfId="0" applyNumberFormat="1" applyFont="1" applyFill="1" applyBorder="1" applyAlignment="1">
      <alignment horizontal="center" vertical="center"/>
    </xf>
    <xf numFmtId="0" fontId="11" fillId="17" borderId="27" xfId="0" applyFont="1" applyFill="1" applyBorder="1" applyAlignment="1">
      <alignment horizontal="center" vertical="center"/>
    </xf>
    <xf numFmtId="165" fontId="11" fillId="17" borderId="3" xfId="0" applyNumberFormat="1" applyFont="1" applyFill="1" applyBorder="1" applyAlignment="1">
      <alignment horizontal="center" vertical="center"/>
    </xf>
    <xf numFmtId="0" fontId="11" fillId="17" borderId="25" xfId="0" applyFont="1" applyFill="1" applyBorder="1" applyAlignment="1">
      <alignment horizontal="center" vertical="center"/>
    </xf>
    <xf numFmtId="166" fontId="11" fillId="17" borderId="27" xfId="0" applyNumberFormat="1" applyFont="1" applyFill="1" applyBorder="1" applyAlignment="1">
      <alignment horizontal="center" vertical="center"/>
    </xf>
    <xf numFmtId="165" fontId="11" fillId="17" borderId="28" xfId="0" applyNumberFormat="1" applyFont="1" applyFill="1" applyBorder="1" applyAlignment="1">
      <alignment horizontal="center" vertical="center"/>
    </xf>
    <xf numFmtId="166" fontId="11" fillId="17" borderId="0" xfId="0" applyNumberFormat="1" applyFont="1" applyFill="1" applyAlignment="1">
      <alignment horizontal="center" vertical="center"/>
    </xf>
    <xf numFmtId="165" fontId="11" fillId="0" borderId="31" xfId="0" applyNumberFormat="1" applyFont="1" applyBorder="1" applyAlignment="1">
      <alignment horizontal="center" vertical="center"/>
    </xf>
    <xf numFmtId="166" fontId="11" fillId="0" borderId="30" xfId="0" applyNumberFormat="1" applyFont="1" applyBorder="1" applyAlignment="1">
      <alignment horizontal="center" vertical="center"/>
    </xf>
    <xf numFmtId="0" fontId="34" fillId="19" borderId="4" xfId="0" applyFont="1" applyFill="1" applyBorder="1" applyAlignment="1">
      <alignment horizontal="center" vertical="center"/>
    </xf>
    <xf numFmtId="165" fontId="35" fillId="20" borderId="4" xfId="0" applyNumberFormat="1" applyFont="1" applyFill="1" applyBorder="1" applyAlignment="1">
      <alignment horizontal="center" vertical="center"/>
    </xf>
    <xf numFmtId="9" fontId="35" fillId="21" borderId="4" xfId="0" applyNumberFormat="1" applyFont="1" applyFill="1" applyBorder="1" applyAlignment="1">
      <alignment horizontal="center" vertical="center"/>
    </xf>
    <xf numFmtId="165" fontId="0" fillId="11" borderId="4" xfId="0" applyNumberFormat="1" applyFill="1" applyBorder="1" applyAlignment="1">
      <alignment horizontal="center" vertical="center"/>
    </xf>
    <xf numFmtId="9" fontId="35" fillId="20" borderId="4" xfId="0" applyNumberFormat="1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36" fillId="22" borderId="5" xfId="0" applyFont="1" applyFill="1" applyBorder="1" applyAlignment="1">
      <alignment horizontal="center" vertical="top"/>
    </xf>
    <xf numFmtId="0" fontId="36" fillId="16" borderId="5" xfId="0" applyFont="1" applyFill="1" applyBorder="1" applyAlignment="1">
      <alignment horizontal="center" vertical="top"/>
    </xf>
    <xf numFmtId="0" fontId="36" fillId="23" borderId="5" xfId="0" applyFont="1" applyFill="1" applyBorder="1" applyAlignment="1">
      <alignment horizontal="center" vertical="top"/>
    </xf>
    <xf numFmtId="0" fontId="37" fillId="23" borderId="5" xfId="0" applyFont="1" applyFill="1" applyBorder="1" applyAlignment="1">
      <alignment horizontal="center" vertical="top"/>
    </xf>
    <xf numFmtId="0" fontId="37" fillId="16" borderId="5" xfId="0" applyFont="1" applyFill="1" applyBorder="1" applyAlignment="1">
      <alignment horizontal="center" vertical="top"/>
    </xf>
    <xf numFmtId="0" fontId="38" fillId="22" borderId="3" xfId="0" applyFont="1" applyFill="1" applyBorder="1" applyAlignment="1">
      <alignment horizontal="center" vertical="center"/>
    </xf>
    <xf numFmtId="165" fontId="38" fillId="0" borderId="3" xfId="0" applyNumberFormat="1" applyFont="1" applyBorder="1" applyAlignment="1">
      <alignment horizontal="center" vertical="center"/>
    </xf>
    <xf numFmtId="165" fontId="36" fillId="16" borderId="3" xfId="0" applyNumberFormat="1" applyFont="1" applyFill="1" applyBorder="1" applyAlignment="1">
      <alignment horizontal="center" vertical="center"/>
    </xf>
    <xf numFmtId="165" fontId="36" fillId="23" borderId="3" xfId="0" applyNumberFormat="1" applyFont="1" applyFill="1" applyBorder="1" applyAlignment="1">
      <alignment horizontal="center" vertical="center"/>
    </xf>
    <xf numFmtId="0" fontId="39" fillId="22" borderId="3" xfId="0" applyFont="1" applyFill="1" applyBorder="1" applyAlignment="1">
      <alignment horizontal="center" vertical="center"/>
    </xf>
    <xf numFmtId="0" fontId="39" fillId="22" borderId="5" xfId="0" applyFont="1" applyFill="1" applyBorder="1" applyAlignment="1">
      <alignment horizontal="center" vertical="center"/>
    </xf>
    <xf numFmtId="165" fontId="38" fillId="0" borderId="5" xfId="0" applyNumberFormat="1" applyFont="1" applyBorder="1" applyAlignment="1">
      <alignment horizontal="center" vertical="center"/>
    </xf>
    <xf numFmtId="165" fontId="36" fillId="16" borderId="5" xfId="0" applyNumberFormat="1" applyFont="1" applyFill="1" applyBorder="1" applyAlignment="1">
      <alignment horizontal="center" vertical="center"/>
    </xf>
    <xf numFmtId="165" fontId="36" fillId="23" borderId="5" xfId="0" applyNumberFormat="1" applyFont="1" applyFill="1" applyBorder="1" applyAlignment="1">
      <alignment horizontal="center" vertical="center"/>
    </xf>
    <xf numFmtId="165" fontId="40" fillId="0" borderId="3" xfId="0" applyNumberFormat="1" applyFont="1" applyBorder="1" applyAlignment="1">
      <alignment horizontal="center" vertical="center"/>
    </xf>
    <xf numFmtId="0" fontId="32" fillId="22" borderId="5" xfId="0" applyFont="1" applyFill="1" applyBorder="1" applyAlignment="1">
      <alignment horizontal="center" vertical="top"/>
    </xf>
    <xf numFmtId="0" fontId="32" fillId="16" borderId="5" xfId="0" applyFont="1" applyFill="1" applyBorder="1" applyAlignment="1">
      <alignment horizontal="center" vertical="top"/>
    </xf>
    <xf numFmtId="0" fontId="32" fillId="23" borderId="5" xfId="0" applyFont="1" applyFill="1" applyBorder="1" applyAlignment="1">
      <alignment horizontal="center" vertical="top"/>
    </xf>
    <xf numFmtId="0" fontId="11" fillId="22" borderId="3" xfId="0" applyFont="1" applyFill="1" applyBorder="1" applyAlignment="1">
      <alignment horizontal="center" vertical="center"/>
    </xf>
    <xf numFmtId="165" fontId="32" fillId="16" borderId="3" xfId="0" applyNumberFormat="1" applyFont="1" applyFill="1" applyBorder="1" applyAlignment="1">
      <alignment horizontal="center" vertical="center"/>
    </xf>
    <xf numFmtId="165" fontId="32" fillId="23" borderId="3" xfId="0" applyNumberFormat="1" applyFont="1" applyFill="1" applyBorder="1" applyAlignment="1">
      <alignment horizontal="center" vertical="center"/>
    </xf>
    <xf numFmtId="0" fontId="41" fillId="22" borderId="3" xfId="0" applyFont="1" applyFill="1" applyBorder="1" applyAlignment="1">
      <alignment horizontal="center" vertical="center"/>
    </xf>
    <xf numFmtId="0" fontId="41" fillId="22" borderId="5" xfId="0" applyFont="1" applyFill="1" applyBorder="1" applyAlignment="1">
      <alignment horizontal="center" vertical="center"/>
    </xf>
    <xf numFmtId="165" fontId="32" fillId="16" borderId="5" xfId="0" applyNumberFormat="1" applyFont="1" applyFill="1" applyBorder="1" applyAlignment="1">
      <alignment horizontal="center" vertical="center"/>
    </xf>
    <xf numFmtId="165" fontId="32" fillId="23" borderId="5" xfId="0" applyNumberFormat="1" applyFont="1" applyFill="1" applyBorder="1" applyAlignment="1">
      <alignment horizontal="center" vertical="center"/>
    </xf>
    <xf numFmtId="0" fontId="42" fillId="3" borderId="0" xfId="0" applyFont="1" applyFill="1"/>
    <xf numFmtId="0" fontId="43" fillId="3" borderId="0" xfId="0" applyFont="1" applyFill="1"/>
    <xf numFmtId="0" fontId="44" fillId="2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30" fillId="5" borderId="7" xfId="0" applyFont="1" applyFill="1" applyBorder="1" applyAlignment="1">
      <alignment horizontal="center" vertical="center"/>
    </xf>
    <xf numFmtId="0" fontId="0" fillId="0" borderId="35" xfId="0" applyBorder="1"/>
    <xf numFmtId="0" fontId="8" fillId="13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21" fillId="5" borderId="6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7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2" xfId="0" applyBorder="1"/>
    <xf numFmtId="0" fontId="11" fillId="0" borderId="28" xfId="0" applyFont="1" applyBorder="1" applyAlignment="1">
      <alignment horizontal="center" vertical="center"/>
    </xf>
    <xf numFmtId="0" fontId="0" fillId="0" borderId="28" xfId="0" applyBorder="1"/>
  </cellXfs>
  <cellStyles count="2">
    <cellStyle name="Normal" xfId="0" builtinId="0"/>
    <cellStyle name="Porcentaje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E8192C"/>
      <rgbColor rgb="FF00FF00"/>
      <rgbColor rgb="FF090A14"/>
      <rgbColor rgb="FFFFFF00"/>
      <rgbColor rgb="FFFF00FF"/>
      <rgbColor rgb="FF00FFFF"/>
      <rgbColor rgb="FFC00000"/>
      <rgbColor rgb="FF008000"/>
      <rgbColor rgb="FF0000A0"/>
      <rgbColor rgb="FF808000"/>
      <rgbColor rgb="FF0A0A18"/>
      <rgbColor rgb="FF008080"/>
      <rgbColor rgb="FFC0C0C0"/>
      <rgbColor rgb="FF808080"/>
      <rgbColor rgb="FF818CF8"/>
      <rgbColor rgb="FF993366"/>
      <rgbColor rgb="FFFFFFCC"/>
      <rgbColor rgb="FFE2E8F0"/>
      <rgbColor rgb="FF0A0A1E"/>
      <rgbColor rgb="FFFF8080"/>
      <rgbColor rgb="FF0080C0"/>
      <rgbColor rgb="FFCBD5E1"/>
      <rgbColor rgb="FF12132A"/>
      <rgbColor rgb="FFFF00FF"/>
      <rgbColor rgb="FFFFFF00"/>
      <rgbColor rgb="FF00FFFF"/>
      <rgbColor rgb="FF0A0B18"/>
      <rgbColor rgb="FF120E00"/>
      <rgbColor rgb="FF008080"/>
      <rgbColor rgb="FF07080F"/>
      <rgbColor rgb="FF22C55E"/>
      <rgbColor rgb="FFCCFFFF"/>
      <rgbColor rgb="FFD7E4BD"/>
      <rgbColor rgb="FFFFFF80"/>
      <rgbColor rgb="FF80FF80"/>
      <rgbColor rgb="FFFF99CC"/>
      <rgbColor rgb="FFCC99FF"/>
      <rgbColor rgb="FFFFCC99"/>
      <rgbColor rgb="FF3366FF"/>
      <rgbColor rgb="FF13D56A"/>
      <rgbColor rgb="FF99CC00"/>
      <rgbColor rgb="FFFFCC00"/>
      <rgbColor rgb="FFF59E0B"/>
      <rgbColor rgb="FFF97316"/>
      <rgbColor rgb="FF666699"/>
      <rgbColor rgb="FF94A3B8"/>
      <rgbColor rgb="FF1A2F5E"/>
      <rgbColor rgb="FF00B050"/>
      <rgbColor rgb="FF091209"/>
      <rgbColor rgb="FF111220"/>
      <rgbColor rgb="FF993300"/>
      <rgbColor rgb="FF993366"/>
      <rgbColor rgb="FF0D0E1A"/>
      <rgbColor rgb="FF1E2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zoomScaleNormal="100" workbookViewId="0">
      <selection activeCell="F20" sqref="F20"/>
    </sheetView>
  </sheetViews>
  <sheetFormatPr baseColWidth="10" defaultColWidth="8.6640625" defaultRowHeight="14.4" x14ac:dyDescent="0.3"/>
  <cols>
    <col min="1" max="1" width="5" customWidth="1"/>
    <col min="2" max="2" width="12" customWidth="1"/>
    <col min="3" max="3" width="18" customWidth="1"/>
    <col min="4" max="4" width="22" customWidth="1"/>
    <col min="5" max="7" width="9" customWidth="1"/>
    <col min="8" max="8" width="14" customWidth="1"/>
  </cols>
  <sheetData>
    <row r="1" spans="1:10" ht="27.75" customHeight="1" x14ac:dyDescent="0.3">
      <c r="A1" s="166" t="s">
        <v>25</v>
      </c>
      <c r="B1" s="151"/>
      <c r="C1" s="151"/>
      <c r="D1" s="151"/>
      <c r="E1" s="151"/>
      <c r="F1" s="151"/>
      <c r="G1" s="151"/>
      <c r="H1" s="151"/>
      <c r="I1" s="1"/>
      <c r="J1" s="1"/>
    </row>
    <row r="2" spans="1:10" ht="14.25" customHeight="1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1"/>
      <c r="J2" s="1"/>
    </row>
    <row r="3" spans="1:10" ht="14.25" customHeight="1" x14ac:dyDescent="0.3">
      <c r="A3" s="149">
        <v>1</v>
      </c>
      <c r="B3" s="149" t="s">
        <v>34</v>
      </c>
      <c r="C3" s="149" t="s">
        <v>35</v>
      </c>
      <c r="D3" s="149" t="s">
        <v>36</v>
      </c>
      <c r="E3" s="149"/>
      <c r="F3" s="149"/>
      <c r="G3" s="149"/>
      <c r="H3" s="149" t="s">
        <v>37</v>
      </c>
      <c r="I3" s="1"/>
      <c r="J3" s="1"/>
    </row>
    <row r="4" spans="1:10" ht="14.25" customHeight="1" x14ac:dyDescent="0.3">
      <c r="A4" s="149">
        <v>2</v>
      </c>
      <c r="B4" s="149" t="s">
        <v>38</v>
      </c>
      <c r="C4" s="149" t="s">
        <v>35</v>
      </c>
      <c r="D4" s="149" t="s">
        <v>36</v>
      </c>
      <c r="E4" s="149"/>
      <c r="F4" s="149"/>
      <c r="G4" s="149"/>
      <c r="H4" s="149" t="s">
        <v>39</v>
      </c>
      <c r="I4" s="1"/>
      <c r="J4" s="1"/>
    </row>
    <row r="5" spans="1:10" ht="14.25" customHeight="1" x14ac:dyDescent="0.3">
      <c r="A5" s="149">
        <v>3</v>
      </c>
      <c r="B5" s="149" t="s">
        <v>40</v>
      </c>
      <c r="C5" s="149" t="s">
        <v>35</v>
      </c>
      <c r="D5" s="149" t="s">
        <v>36</v>
      </c>
      <c r="E5" s="149"/>
      <c r="F5" s="149"/>
      <c r="G5" s="149"/>
      <c r="H5" s="149" t="s">
        <v>41</v>
      </c>
      <c r="I5" s="1"/>
      <c r="J5" s="1"/>
    </row>
    <row r="6" spans="1:10" ht="14.25" customHeight="1" x14ac:dyDescent="0.3">
      <c r="A6" s="3"/>
      <c r="B6" s="3"/>
      <c r="C6" s="3"/>
      <c r="D6" s="3"/>
      <c r="E6" s="3"/>
      <c r="F6" s="3"/>
      <c r="G6" s="4"/>
      <c r="H6" s="3"/>
      <c r="I6" s="1"/>
      <c r="J6" s="1"/>
    </row>
    <row r="7" spans="1:10" ht="14.25" customHeight="1" x14ac:dyDescent="0.3">
      <c r="A7" s="3"/>
      <c r="B7" s="3"/>
      <c r="C7" s="3"/>
      <c r="D7" s="3"/>
      <c r="E7" s="3"/>
      <c r="F7" s="3"/>
      <c r="G7" s="4"/>
      <c r="H7" s="3"/>
      <c r="I7" s="1"/>
      <c r="J7" s="1"/>
    </row>
    <row r="8" spans="1:10" ht="14.25" customHeight="1" x14ac:dyDescent="0.3">
      <c r="A8" s="5"/>
      <c r="B8" s="6"/>
      <c r="C8" s="5"/>
      <c r="D8" s="3"/>
      <c r="E8" s="5"/>
      <c r="F8" s="5"/>
      <c r="G8" s="7"/>
      <c r="H8" s="5"/>
      <c r="I8" s="1"/>
      <c r="J8" s="1"/>
    </row>
    <row r="9" spans="1:10" ht="14.25" customHeight="1" x14ac:dyDescent="0.3">
      <c r="A9" s="5"/>
      <c r="B9" s="5"/>
      <c r="C9" s="5"/>
      <c r="D9" s="3"/>
      <c r="E9" s="5"/>
      <c r="F9" s="5"/>
      <c r="G9" s="8"/>
      <c r="H9" s="5"/>
      <c r="I9" s="1"/>
      <c r="J9" s="1"/>
    </row>
    <row r="10" spans="1:10" ht="14.25" customHeight="1" x14ac:dyDescent="0.3">
      <c r="A10" s="5"/>
      <c r="B10" s="5"/>
      <c r="C10" s="5"/>
      <c r="D10" s="3"/>
      <c r="E10" s="5"/>
      <c r="F10" s="5"/>
      <c r="G10" s="8"/>
      <c r="H10" s="5"/>
      <c r="I10" s="1"/>
      <c r="J10" s="1"/>
    </row>
    <row r="11" spans="1:10" ht="14.25" customHeight="1" x14ac:dyDescent="0.3">
      <c r="A11" s="5"/>
      <c r="B11" s="5"/>
      <c r="C11" s="5"/>
      <c r="D11" s="3"/>
      <c r="E11" s="5"/>
      <c r="F11" s="5"/>
      <c r="G11" s="8"/>
      <c r="H11" s="5"/>
      <c r="I11" s="1"/>
      <c r="J11" s="1"/>
    </row>
    <row r="12" spans="1:10" ht="14.25" customHeight="1" x14ac:dyDescent="0.3">
      <c r="A12" s="5"/>
      <c r="B12" s="5"/>
      <c r="C12" s="5"/>
      <c r="D12" s="3"/>
      <c r="E12" s="5"/>
      <c r="F12" s="5"/>
      <c r="G12" s="8"/>
      <c r="H12" s="5"/>
      <c r="I12" s="1"/>
      <c r="J12" s="1"/>
    </row>
    <row r="13" spans="1:10" ht="14.25" customHeight="1" x14ac:dyDescent="0.3">
      <c r="A13" s="5"/>
      <c r="B13" s="5"/>
      <c r="C13" s="5"/>
      <c r="D13" s="3"/>
      <c r="E13" s="5"/>
      <c r="F13" s="5"/>
      <c r="G13" s="8"/>
      <c r="H13" s="5"/>
      <c r="I13" s="1"/>
      <c r="J13" s="1"/>
    </row>
    <row r="14" spans="1:10" ht="14.25" customHeight="1" x14ac:dyDescent="0.3">
      <c r="A14" s="5"/>
      <c r="B14" s="5"/>
      <c r="C14" s="5"/>
      <c r="D14" s="5"/>
      <c r="E14" s="5"/>
      <c r="F14" s="5"/>
      <c r="G14" s="8"/>
      <c r="H14" s="5"/>
      <c r="I14" s="1"/>
      <c r="J14" s="1"/>
    </row>
    <row r="15" spans="1:10" ht="14.25" customHeight="1" x14ac:dyDescent="0.3">
      <c r="A15" s="5"/>
      <c r="B15" s="5"/>
      <c r="C15" s="5"/>
      <c r="D15" s="5"/>
      <c r="E15" s="5"/>
      <c r="F15" s="5"/>
      <c r="G15" s="8"/>
      <c r="H15" s="5"/>
      <c r="I15" s="1"/>
      <c r="J15" s="1"/>
    </row>
    <row r="16" spans="1:10" ht="14.25" customHeight="1" x14ac:dyDescent="0.3">
      <c r="A16" s="5"/>
      <c r="B16" s="5"/>
      <c r="C16" s="5"/>
      <c r="D16" s="5"/>
      <c r="E16" s="5"/>
      <c r="F16" s="5"/>
      <c r="G16" s="8"/>
      <c r="H16" s="5"/>
      <c r="I16" s="1"/>
      <c r="J16" s="1"/>
    </row>
    <row r="17" spans="1:10" ht="14.25" customHeight="1" x14ac:dyDescent="0.3">
      <c r="A17" s="5"/>
      <c r="B17" s="5"/>
      <c r="C17" s="5"/>
      <c r="D17" s="5"/>
      <c r="E17" s="5"/>
      <c r="F17" s="5"/>
      <c r="G17" s="8"/>
      <c r="H17" s="5"/>
      <c r="I17" s="1"/>
      <c r="J17" s="1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1"/>
      <c r="J18" s="1"/>
    </row>
    <row r="19" spans="1:10" ht="14.25" customHeight="1" x14ac:dyDescent="0.3">
      <c r="A19" s="8"/>
      <c r="B19" s="8"/>
      <c r="C19" s="8"/>
      <c r="D19" s="8"/>
      <c r="E19" s="8"/>
      <c r="F19" s="8"/>
      <c r="G19" s="8"/>
      <c r="H19" s="8"/>
      <c r="I19" s="1"/>
      <c r="J19" s="1"/>
    </row>
    <row r="20" spans="1:10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63"/>
  <sheetViews>
    <sheetView topLeftCell="A126" zoomScaleNormal="100" workbookViewId="0">
      <selection activeCell="A147" sqref="A147"/>
    </sheetView>
  </sheetViews>
  <sheetFormatPr baseColWidth="10" defaultColWidth="10.77734375" defaultRowHeight="14.4" x14ac:dyDescent="0.3"/>
  <sheetData>
    <row r="1" spans="1:71" ht="36" customHeight="1" x14ac:dyDescent="0.3">
      <c r="A1" s="165" t="s">
        <v>42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1:71" ht="27.75" customHeight="1" x14ac:dyDescent="0.3">
      <c r="A2" s="156" t="s">
        <v>43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BJ2" s="150" t="s">
        <v>44</v>
      </c>
      <c r="BK2" s="151"/>
      <c r="BL2" s="151"/>
      <c r="BM2" s="151"/>
      <c r="BN2" s="151"/>
      <c r="BO2" s="151"/>
      <c r="BP2" s="151"/>
      <c r="BQ2" s="151"/>
      <c r="BR2" s="151"/>
      <c r="BS2" s="151"/>
    </row>
    <row r="3" spans="1:71" ht="24" customHeight="1" x14ac:dyDescent="0.3">
      <c r="BJ3" s="9" t="s">
        <v>26</v>
      </c>
      <c r="BK3" s="9" t="s">
        <v>45</v>
      </c>
      <c r="BL3" s="9" t="s">
        <v>46</v>
      </c>
      <c r="BM3" s="9" t="s">
        <v>47</v>
      </c>
      <c r="BN3" s="9" t="s">
        <v>48</v>
      </c>
      <c r="BO3" s="9" t="s">
        <v>49</v>
      </c>
      <c r="BP3" s="9" t="s">
        <v>50</v>
      </c>
      <c r="BQ3" s="9" t="s">
        <v>51</v>
      </c>
      <c r="BR3" s="9" t="s">
        <v>52</v>
      </c>
      <c r="BS3" s="9" t="s">
        <v>53</v>
      </c>
    </row>
    <row r="4" spans="1:71" ht="25.5" customHeight="1" x14ac:dyDescent="0.3">
      <c r="A4" s="152" t="s">
        <v>54</v>
      </c>
      <c r="B4" s="11" t="s">
        <v>55</v>
      </c>
      <c r="C4" s="12" t="s">
        <v>56</v>
      </c>
      <c r="D4" s="12" t="s">
        <v>57</v>
      </c>
      <c r="E4" s="12" t="s">
        <v>58</v>
      </c>
      <c r="F4" s="12" t="s">
        <v>59</v>
      </c>
      <c r="G4" s="12" t="s">
        <v>60</v>
      </c>
      <c r="H4" s="12" t="s">
        <v>61</v>
      </c>
      <c r="I4" s="12" t="s">
        <v>62</v>
      </c>
      <c r="J4" s="12" t="s">
        <v>63</v>
      </c>
      <c r="K4" s="12" t="s">
        <v>64</v>
      </c>
      <c r="L4" s="12" t="s">
        <v>65</v>
      </c>
      <c r="M4" s="161" t="s">
        <v>66</v>
      </c>
      <c r="N4" s="11" t="s">
        <v>55</v>
      </c>
      <c r="O4" s="12" t="s">
        <v>56</v>
      </c>
      <c r="P4" s="12" t="s">
        <v>57</v>
      </c>
      <c r="Q4" s="12" t="s">
        <v>58</v>
      </c>
      <c r="R4" s="12" t="s">
        <v>59</v>
      </c>
      <c r="S4" s="12" t="s">
        <v>60</v>
      </c>
      <c r="T4" s="12" t="s">
        <v>61</v>
      </c>
      <c r="U4" s="12" t="s">
        <v>62</v>
      </c>
      <c r="V4" s="12" t="s">
        <v>63</v>
      </c>
      <c r="W4" s="12" t="s">
        <v>64</v>
      </c>
      <c r="X4" s="12" t="s">
        <v>65</v>
      </c>
      <c r="Y4" s="152" t="s">
        <v>67</v>
      </c>
      <c r="Z4" s="11" t="s">
        <v>55</v>
      </c>
      <c r="AA4" s="12" t="s">
        <v>56</v>
      </c>
      <c r="AB4" s="12" t="s">
        <v>57</v>
      </c>
      <c r="AC4" s="12" t="s">
        <v>58</v>
      </c>
      <c r="AD4" s="12" t="s">
        <v>59</v>
      </c>
      <c r="AE4" s="12" t="s">
        <v>60</v>
      </c>
      <c r="AF4" s="12" t="s">
        <v>61</v>
      </c>
      <c r="AG4" s="12" t="s">
        <v>62</v>
      </c>
      <c r="AH4" s="12" t="s">
        <v>63</v>
      </c>
      <c r="AI4" s="12" t="s">
        <v>64</v>
      </c>
      <c r="AJ4" s="12" t="s">
        <v>65</v>
      </c>
      <c r="AK4" s="152" t="s">
        <v>68</v>
      </c>
      <c r="AL4" s="11" t="s">
        <v>55</v>
      </c>
      <c r="AM4" s="12" t="s">
        <v>56</v>
      </c>
      <c r="AN4" s="12" t="s">
        <v>57</v>
      </c>
      <c r="AO4" s="12" t="s">
        <v>58</v>
      </c>
      <c r="AP4" s="12" t="s">
        <v>59</v>
      </c>
      <c r="AQ4" s="12" t="s">
        <v>60</v>
      </c>
      <c r="AR4" s="12" t="s">
        <v>61</v>
      </c>
      <c r="AS4" s="12" t="s">
        <v>62</v>
      </c>
      <c r="AT4" s="12" t="s">
        <v>63</v>
      </c>
      <c r="AU4" s="12" t="s">
        <v>64</v>
      </c>
      <c r="AV4" s="12" t="s">
        <v>65</v>
      </c>
      <c r="AW4" s="161" t="s">
        <v>69</v>
      </c>
      <c r="AX4" s="11" t="s">
        <v>55</v>
      </c>
      <c r="AY4" s="12" t="s">
        <v>56</v>
      </c>
      <c r="AZ4" s="12" t="s">
        <v>57</v>
      </c>
      <c r="BA4" s="12" t="s">
        <v>58</v>
      </c>
      <c r="BB4" s="12" t="s">
        <v>59</v>
      </c>
      <c r="BC4" s="12" t="s">
        <v>60</v>
      </c>
      <c r="BD4" s="12" t="s">
        <v>61</v>
      </c>
      <c r="BE4" s="12" t="s">
        <v>62</v>
      </c>
      <c r="BF4" s="12" t="s">
        <v>63</v>
      </c>
      <c r="BG4" s="12" t="s">
        <v>64</v>
      </c>
      <c r="BH4" s="12" t="s">
        <v>65</v>
      </c>
      <c r="BJ4" s="13"/>
      <c r="BK4" s="14"/>
      <c r="BL4" s="15" t="s">
        <v>70</v>
      </c>
      <c r="BM4" s="16"/>
      <c r="BN4" s="16"/>
      <c r="BO4" s="16"/>
      <c r="BP4" s="16"/>
      <c r="BQ4" s="16"/>
      <c r="BR4" s="16"/>
      <c r="BS4" s="17"/>
    </row>
    <row r="5" spans="1:71" ht="25.5" customHeight="1" x14ac:dyDescent="0.3">
      <c r="A5" s="151"/>
      <c r="B5" s="18" t="s">
        <v>71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51"/>
      <c r="N5" s="18" t="s">
        <v>71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51"/>
      <c r="Z5" s="18" t="s">
        <v>72</v>
      </c>
      <c r="AA5" s="19">
        <v>1</v>
      </c>
      <c r="AB5" s="19">
        <v>2</v>
      </c>
      <c r="AC5" s="19">
        <v>0</v>
      </c>
      <c r="AD5" s="20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3</v>
      </c>
      <c r="AK5" s="151"/>
      <c r="AL5" s="18" t="s">
        <v>72</v>
      </c>
      <c r="AM5" s="19">
        <v>0</v>
      </c>
      <c r="AN5" s="19">
        <v>0</v>
      </c>
      <c r="AO5" s="19">
        <v>0</v>
      </c>
      <c r="AP5" s="20">
        <v>0</v>
      </c>
      <c r="AQ5" s="19">
        <v>1</v>
      </c>
      <c r="AR5" s="19">
        <v>0</v>
      </c>
      <c r="AS5" s="19">
        <v>0</v>
      </c>
      <c r="AT5" s="19">
        <v>0</v>
      </c>
      <c r="AU5" s="19">
        <v>0</v>
      </c>
      <c r="AV5" s="19">
        <v>1</v>
      </c>
      <c r="AW5" s="151"/>
      <c r="AX5" s="18" t="s">
        <v>72</v>
      </c>
      <c r="AY5" s="19">
        <v>0</v>
      </c>
      <c r="AZ5" s="19">
        <v>0</v>
      </c>
      <c r="BA5" s="19">
        <v>0</v>
      </c>
      <c r="BB5" s="20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J5" s="21"/>
      <c r="BK5" s="14"/>
      <c r="BL5" s="22" t="s">
        <v>70</v>
      </c>
      <c r="BM5" s="16"/>
      <c r="BN5" s="16"/>
      <c r="BO5" s="16"/>
      <c r="BP5" s="16"/>
      <c r="BQ5" s="16"/>
      <c r="BR5" s="16"/>
      <c r="BS5" s="17"/>
    </row>
    <row r="6" spans="1:71" ht="25.5" customHeight="1" x14ac:dyDescent="0.3">
      <c r="A6" s="10"/>
      <c r="B6" s="18" t="s">
        <v>73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0"/>
      <c r="N6" s="18" t="s">
        <v>73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0"/>
      <c r="Z6" s="18" t="s">
        <v>74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20">
        <v>0</v>
      </c>
      <c r="AG6" s="19">
        <v>0</v>
      </c>
      <c r="AH6" s="19">
        <v>0</v>
      </c>
      <c r="AI6" s="19">
        <v>0</v>
      </c>
      <c r="AJ6" s="19">
        <v>0</v>
      </c>
      <c r="AK6" s="10"/>
      <c r="AL6" s="18" t="s">
        <v>74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20">
        <v>0</v>
      </c>
      <c r="AS6" s="19">
        <v>1</v>
      </c>
      <c r="AT6" s="19">
        <v>0</v>
      </c>
      <c r="AU6" s="19">
        <v>0</v>
      </c>
      <c r="AV6" s="19">
        <v>1</v>
      </c>
      <c r="AW6" s="10"/>
      <c r="AX6" s="18" t="s">
        <v>74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20">
        <v>0</v>
      </c>
      <c r="BE6" s="19">
        <v>0</v>
      </c>
      <c r="BF6" s="19">
        <v>0</v>
      </c>
      <c r="BG6" s="19">
        <v>0</v>
      </c>
      <c r="BH6" s="19">
        <v>0</v>
      </c>
      <c r="BJ6" s="21"/>
      <c r="BK6" s="14"/>
      <c r="BL6" s="22" t="s">
        <v>75</v>
      </c>
      <c r="BM6" s="16"/>
      <c r="BN6" s="16"/>
      <c r="BO6" s="16"/>
      <c r="BP6" s="16"/>
      <c r="BQ6" s="16"/>
      <c r="BR6" s="16"/>
      <c r="BS6" s="17"/>
    </row>
    <row r="7" spans="1:71" ht="25.5" customHeight="1" x14ac:dyDescent="0.3">
      <c r="A7" s="10"/>
      <c r="B7" s="18" t="s">
        <v>76</v>
      </c>
      <c r="C7" s="19">
        <v>3</v>
      </c>
      <c r="D7" s="19">
        <v>2</v>
      </c>
      <c r="E7" s="19">
        <v>0</v>
      </c>
      <c r="F7" s="19">
        <v>0</v>
      </c>
      <c r="G7" s="19">
        <v>0</v>
      </c>
      <c r="H7" s="19">
        <v>0</v>
      </c>
      <c r="I7" s="19">
        <v>1</v>
      </c>
      <c r="J7" s="19">
        <v>0</v>
      </c>
      <c r="K7" s="19">
        <v>0</v>
      </c>
      <c r="L7" s="19">
        <v>8</v>
      </c>
      <c r="M7" s="10"/>
      <c r="N7" s="18" t="s">
        <v>76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0"/>
      <c r="Z7" s="18" t="s">
        <v>77</v>
      </c>
      <c r="AA7" s="19">
        <v>0</v>
      </c>
      <c r="AB7" s="19">
        <v>1</v>
      </c>
      <c r="AC7" s="19">
        <v>0</v>
      </c>
      <c r="AD7" s="19">
        <v>1</v>
      </c>
      <c r="AE7" s="19">
        <v>1</v>
      </c>
      <c r="AF7" s="19">
        <v>0</v>
      </c>
      <c r="AG7" s="19">
        <v>0</v>
      </c>
      <c r="AH7" s="19">
        <v>0</v>
      </c>
      <c r="AI7" s="19">
        <v>0</v>
      </c>
      <c r="AJ7" s="19">
        <v>3</v>
      </c>
      <c r="AK7" s="10"/>
      <c r="AL7" s="18" t="s">
        <v>77</v>
      </c>
      <c r="AM7" s="19">
        <v>1</v>
      </c>
      <c r="AN7" s="19">
        <v>0</v>
      </c>
      <c r="AO7" s="19">
        <v>0</v>
      </c>
      <c r="AP7" s="19">
        <v>1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2</v>
      </c>
      <c r="AW7" s="10"/>
      <c r="AX7" s="18" t="s">
        <v>77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J7" s="23"/>
      <c r="BK7" s="14"/>
      <c r="BL7" s="24" t="s">
        <v>78</v>
      </c>
      <c r="BM7" s="16"/>
      <c r="BN7" s="16"/>
      <c r="BO7" s="16"/>
      <c r="BP7" s="16"/>
      <c r="BQ7" s="16"/>
      <c r="BR7" s="16"/>
      <c r="BS7" s="17"/>
    </row>
    <row r="8" spans="1:71" ht="25.5" customHeight="1" x14ac:dyDescent="0.3">
      <c r="A8" s="10"/>
      <c r="B8" s="18" t="s">
        <v>79</v>
      </c>
      <c r="C8" s="19">
        <v>2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25" t="s">
        <v>80</v>
      </c>
      <c r="K8" s="19">
        <v>0</v>
      </c>
      <c r="L8" s="19">
        <v>2</v>
      </c>
      <c r="M8" s="10"/>
      <c r="N8" s="18" t="s">
        <v>79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25" t="s">
        <v>80</v>
      </c>
      <c r="W8" s="19">
        <v>0</v>
      </c>
      <c r="X8" s="19">
        <v>0</v>
      </c>
      <c r="Y8" s="10"/>
      <c r="Z8" s="18" t="s">
        <v>81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0"/>
      <c r="AL8" s="18" t="s">
        <v>81</v>
      </c>
      <c r="AM8" s="19">
        <v>0</v>
      </c>
      <c r="AN8" s="19">
        <v>1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1</v>
      </c>
      <c r="AW8" s="26"/>
      <c r="AX8" s="27" t="s">
        <v>81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J8" s="23"/>
      <c r="BK8" s="14"/>
      <c r="BL8" s="24" t="s">
        <v>78</v>
      </c>
      <c r="BM8" s="16"/>
      <c r="BN8" s="16"/>
      <c r="BO8" s="16"/>
      <c r="BP8" s="16"/>
      <c r="BQ8" s="16"/>
      <c r="BR8" s="16"/>
      <c r="BS8" s="17"/>
    </row>
    <row r="9" spans="1:71" ht="25.5" customHeight="1" x14ac:dyDescent="0.3">
      <c r="A9" s="10"/>
      <c r="B9" s="18" t="s">
        <v>82</v>
      </c>
      <c r="C9" s="19">
        <v>2</v>
      </c>
      <c r="D9" s="19">
        <v>0</v>
      </c>
      <c r="E9" s="19">
        <v>0</v>
      </c>
      <c r="F9" s="19">
        <v>0</v>
      </c>
      <c r="G9" s="19">
        <v>0</v>
      </c>
      <c r="H9" s="19">
        <v>2</v>
      </c>
      <c r="I9" s="19">
        <v>0</v>
      </c>
      <c r="J9" s="19">
        <v>0</v>
      </c>
      <c r="K9" s="19">
        <v>0</v>
      </c>
      <c r="L9" s="19">
        <v>4</v>
      </c>
      <c r="M9" s="10"/>
      <c r="N9" s="18" t="s">
        <v>82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J9" s="21"/>
      <c r="BK9" s="14"/>
      <c r="BL9" s="22" t="s">
        <v>75</v>
      </c>
      <c r="BM9" s="16"/>
      <c r="BN9" s="16"/>
      <c r="BO9" s="16"/>
      <c r="BP9" s="16"/>
      <c r="BQ9" s="16"/>
      <c r="BR9" s="16"/>
      <c r="BS9" s="17"/>
    </row>
    <row r="10" spans="1:71" ht="25.5" customHeight="1" x14ac:dyDescent="0.3">
      <c r="A10" s="10"/>
      <c r="B10" s="27" t="s">
        <v>83</v>
      </c>
      <c r="C10" s="29">
        <v>1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19">
        <v>0</v>
      </c>
      <c r="K10" s="29">
        <v>0</v>
      </c>
      <c r="L10" s="29">
        <v>2</v>
      </c>
      <c r="M10" s="10"/>
      <c r="N10" s="27" t="s">
        <v>83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19">
        <v>0</v>
      </c>
      <c r="W10" s="29">
        <v>0</v>
      </c>
      <c r="X10" s="29">
        <v>0</v>
      </c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J10" s="30"/>
      <c r="BK10" s="14"/>
      <c r="BL10" s="31" t="s">
        <v>11</v>
      </c>
      <c r="BM10" s="16"/>
      <c r="BN10" s="16"/>
      <c r="BO10" s="16"/>
      <c r="BP10" s="16"/>
      <c r="BQ10" s="16"/>
      <c r="BR10" s="16"/>
      <c r="BS10" s="17"/>
    </row>
    <row r="11" spans="1:71" ht="25.5" customHeight="1" x14ac:dyDescent="0.3">
      <c r="A11" s="10" t="s">
        <v>84</v>
      </c>
      <c r="B11" s="3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J11" s="30"/>
      <c r="BK11" s="14"/>
      <c r="BL11" s="31" t="s">
        <v>11</v>
      </c>
      <c r="BM11" s="16"/>
      <c r="BN11" s="16"/>
      <c r="BO11" s="16"/>
      <c r="BP11" s="16"/>
      <c r="BQ11" s="16"/>
      <c r="BR11" s="16"/>
      <c r="BS11" s="17"/>
    </row>
    <row r="12" spans="1:71" ht="25.5" customHeight="1" x14ac:dyDescent="0.3">
      <c r="A12" s="152" t="s">
        <v>85</v>
      </c>
      <c r="B12" s="11" t="s">
        <v>55</v>
      </c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65</v>
      </c>
      <c r="M12" s="152" t="s">
        <v>86</v>
      </c>
      <c r="N12" s="11" t="s">
        <v>55</v>
      </c>
      <c r="O12" s="12" t="s">
        <v>56</v>
      </c>
      <c r="P12" s="12" t="s">
        <v>57</v>
      </c>
      <c r="Q12" s="12" t="s">
        <v>58</v>
      </c>
      <c r="R12" s="12" t="s">
        <v>59</v>
      </c>
      <c r="S12" s="12" t="s">
        <v>60</v>
      </c>
      <c r="T12" s="12" t="s">
        <v>61</v>
      </c>
      <c r="U12" s="12" t="s">
        <v>62</v>
      </c>
      <c r="V12" s="12" t="s">
        <v>63</v>
      </c>
      <c r="W12" s="12" t="s">
        <v>64</v>
      </c>
      <c r="X12" s="12" t="s">
        <v>65</v>
      </c>
      <c r="Y12" s="152" t="s">
        <v>87</v>
      </c>
      <c r="Z12" s="11" t="s">
        <v>55</v>
      </c>
      <c r="AA12" s="12" t="s">
        <v>56</v>
      </c>
      <c r="AB12" s="12" t="s">
        <v>57</v>
      </c>
      <c r="AC12" s="12" t="s">
        <v>58</v>
      </c>
      <c r="AD12" s="12" t="s">
        <v>59</v>
      </c>
      <c r="AE12" s="12" t="s">
        <v>60</v>
      </c>
      <c r="AF12" s="12" t="s">
        <v>61</v>
      </c>
      <c r="AG12" s="12" t="s">
        <v>62</v>
      </c>
      <c r="AH12" s="12" t="s">
        <v>63</v>
      </c>
      <c r="AI12" s="12" t="s">
        <v>64</v>
      </c>
      <c r="AJ12" s="12" t="s">
        <v>65</v>
      </c>
      <c r="AK12" s="152" t="s">
        <v>88</v>
      </c>
      <c r="AL12" s="11" t="s">
        <v>55</v>
      </c>
      <c r="AM12" s="12" t="s">
        <v>56</v>
      </c>
      <c r="AN12" s="12" t="s">
        <v>57</v>
      </c>
      <c r="AO12" s="12" t="s">
        <v>58</v>
      </c>
      <c r="AP12" s="12" t="s">
        <v>59</v>
      </c>
      <c r="AQ12" s="12" t="s">
        <v>60</v>
      </c>
      <c r="AR12" s="12" t="s">
        <v>61</v>
      </c>
      <c r="AS12" s="12" t="s">
        <v>62</v>
      </c>
      <c r="AT12" s="12" t="s">
        <v>63</v>
      </c>
      <c r="AU12" s="12" t="s">
        <v>64</v>
      </c>
      <c r="AV12" s="12" t="s">
        <v>65</v>
      </c>
      <c r="AW12" s="152" t="s">
        <v>89</v>
      </c>
      <c r="AX12" s="11" t="s">
        <v>55</v>
      </c>
      <c r="AY12" s="12" t="s">
        <v>56</v>
      </c>
      <c r="AZ12" s="12" t="s">
        <v>57</v>
      </c>
      <c r="BA12" s="12" t="s">
        <v>58</v>
      </c>
      <c r="BB12" s="12" t="s">
        <v>59</v>
      </c>
      <c r="BC12" s="12" t="s">
        <v>60</v>
      </c>
      <c r="BD12" s="12" t="s">
        <v>61</v>
      </c>
      <c r="BE12" s="12" t="s">
        <v>62</v>
      </c>
      <c r="BF12" s="12" t="s">
        <v>63</v>
      </c>
      <c r="BG12" s="12" t="s">
        <v>64</v>
      </c>
      <c r="BH12" s="12" t="s">
        <v>65</v>
      </c>
      <c r="BJ12" s="13"/>
      <c r="BK12" s="14"/>
      <c r="BL12" s="15" t="s">
        <v>70</v>
      </c>
      <c r="BM12" s="16"/>
      <c r="BN12" s="16"/>
      <c r="BO12" s="16"/>
      <c r="BP12" s="16"/>
      <c r="BQ12" s="16"/>
      <c r="BR12" s="16"/>
      <c r="BS12" s="17"/>
    </row>
    <row r="13" spans="1:71" ht="25.5" customHeight="1" x14ac:dyDescent="0.3">
      <c r="A13" s="151"/>
      <c r="B13" s="18" t="s">
        <v>71</v>
      </c>
      <c r="C13" s="19">
        <v>5</v>
      </c>
      <c r="D13" s="19">
        <v>1</v>
      </c>
      <c r="E13" s="19">
        <v>0</v>
      </c>
      <c r="F13" s="19">
        <v>0</v>
      </c>
      <c r="G13" s="19">
        <v>0</v>
      </c>
      <c r="H13" s="19">
        <v>0</v>
      </c>
      <c r="I13" s="19">
        <v>1</v>
      </c>
      <c r="J13" s="19">
        <v>0</v>
      </c>
      <c r="K13" s="19">
        <v>0</v>
      </c>
      <c r="L13" s="19">
        <v>8</v>
      </c>
      <c r="M13" s="151"/>
      <c r="N13" s="18" t="s">
        <v>71</v>
      </c>
      <c r="O13" s="19">
        <v>1</v>
      </c>
      <c r="P13" s="19">
        <v>0</v>
      </c>
      <c r="Q13" s="19">
        <v>1</v>
      </c>
      <c r="R13" s="19">
        <v>1</v>
      </c>
      <c r="S13" s="19">
        <v>2</v>
      </c>
      <c r="T13" s="19">
        <v>1</v>
      </c>
      <c r="U13" s="19">
        <v>3</v>
      </c>
      <c r="V13" s="19">
        <v>0</v>
      </c>
      <c r="W13" s="19">
        <v>0</v>
      </c>
      <c r="X13" s="19">
        <v>9</v>
      </c>
      <c r="Y13" s="151"/>
      <c r="Z13" s="18" t="s">
        <v>71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51"/>
      <c r="AL13" s="18" t="s">
        <v>71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51"/>
      <c r="AX13" s="18" t="s">
        <v>71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J13" s="23"/>
      <c r="BK13" s="14"/>
      <c r="BL13" s="24" t="s">
        <v>78</v>
      </c>
      <c r="BM13" s="16"/>
      <c r="BN13" s="16"/>
      <c r="BO13" s="16"/>
      <c r="BP13" s="16"/>
      <c r="BQ13" s="16"/>
      <c r="BR13" s="16"/>
      <c r="BS13" s="17"/>
    </row>
    <row r="14" spans="1:71" ht="25.5" customHeight="1" x14ac:dyDescent="0.3">
      <c r="A14" s="10"/>
      <c r="B14" s="18" t="s">
        <v>73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2</v>
      </c>
      <c r="K14" s="19">
        <v>0</v>
      </c>
      <c r="L14" s="19">
        <v>2</v>
      </c>
      <c r="M14" s="10"/>
      <c r="N14" s="18" t="s">
        <v>73</v>
      </c>
      <c r="O14" s="19">
        <v>1</v>
      </c>
      <c r="P14" s="19">
        <v>0</v>
      </c>
      <c r="Q14" s="19">
        <v>0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4</v>
      </c>
      <c r="Y14" s="10"/>
      <c r="Z14" s="18" t="s">
        <v>73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0"/>
      <c r="AL14" s="18" t="s">
        <v>73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0"/>
      <c r="AX14" s="18" t="s">
        <v>73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J14" s="23"/>
      <c r="BK14" s="14"/>
      <c r="BL14" s="24" t="s">
        <v>78</v>
      </c>
      <c r="BM14" s="16"/>
      <c r="BN14" s="16"/>
      <c r="BO14" s="16"/>
      <c r="BP14" s="16"/>
      <c r="BQ14" s="16"/>
      <c r="BR14" s="16"/>
      <c r="BS14" s="17"/>
    </row>
    <row r="15" spans="1:71" ht="25.5" customHeight="1" x14ac:dyDescent="0.3">
      <c r="A15" s="10"/>
      <c r="B15" s="18" t="s">
        <v>76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0"/>
      <c r="N15" s="18" t="s">
        <v>76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0"/>
      <c r="Z15" s="18" t="s">
        <v>76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0"/>
      <c r="AL15" s="18" t="s">
        <v>76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0"/>
      <c r="AX15" s="18" t="s">
        <v>76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J15" s="21"/>
      <c r="BK15" s="14"/>
      <c r="BL15" s="22" t="s">
        <v>75</v>
      </c>
      <c r="BM15" s="16"/>
      <c r="BN15" s="16"/>
      <c r="BO15" s="16"/>
      <c r="BP15" s="16"/>
      <c r="BQ15" s="16"/>
      <c r="BR15" s="16"/>
      <c r="BS15" s="17"/>
    </row>
    <row r="16" spans="1:71" ht="14.25" customHeight="1" x14ac:dyDescent="0.3">
      <c r="A16" s="10"/>
      <c r="B16" s="18" t="s">
        <v>79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25" t="s">
        <v>80</v>
      </c>
      <c r="K16" s="19">
        <v>0</v>
      </c>
      <c r="L16" s="19">
        <v>0</v>
      </c>
      <c r="M16" s="10"/>
      <c r="N16" s="18" t="s">
        <v>79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25" t="s">
        <v>80</v>
      </c>
      <c r="W16" s="19">
        <v>0</v>
      </c>
      <c r="X16" s="19">
        <v>0</v>
      </c>
      <c r="Y16" s="10"/>
      <c r="Z16" s="18" t="s">
        <v>79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25" t="s">
        <v>80</v>
      </c>
      <c r="AI16" s="19">
        <v>0</v>
      </c>
      <c r="AJ16" s="19">
        <v>0</v>
      </c>
      <c r="AK16" s="10"/>
      <c r="AL16" s="18" t="s">
        <v>79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25" t="s">
        <v>80</v>
      </c>
      <c r="AU16" s="19">
        <v>0</v>
      </c>
      <c r="AV16" s="19">
        <v>0</v>
      </c>
      <c r="AW16" s="10"/>
      <c r="AX16" s="18" t="s">
        <v>79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25" t="s">
        <v>80</v>
      </c>
      <c r="BG16" s="19">
        <v>0</v>
      </c>
      <c r="BH16" s="19">
        <v>0</v>
      </c>
    </row>
    <row r="17" spans="1:71" ht="36" customHeight="1" x14ac:dyDescent="0.3">
      <c r="A17" s="10"/>
      <c r="B17" s="27" t="s">
        <v>90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10"/>
      <c r="N17" s="27" t="s">
        <v>90</v>
      </c>
      <c r="O17" s="29">
        <v>0</v>
      </c>
      <c r="P17" s="29">
        <v>0</v>
      </c>
      <c r="Q17" s="29">
        <v>0</v>
      </c>
      <c r="R17" s="29">
        <v>1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1</v>
      </c>
      <c r="Y17" s="10"/>
      <c r="Z17" s="27" t="s">
        <v>90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10"/>
      <c r="AL17" s="27" t="s">
        <v>90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10"/>
      <c r="AX17" s="27" t="s">
        <v>90</v>
      </c>
      <c r="AY17" s="29">
        <v>0</v>
      </c>
      <c r="AZ17" s="29">
        <v>0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0</v>
      </c>
      <c r="BJ17" s="154" t="s">
        <v>91</v>
      </c>
      <c r="BK17" s="151"/>
      <c r="BL17" s="151"/>
      <c r="BM17" s="151"/>
      <c r="BN17" s="151"/>
      <c r="BO17" s="151"/>
      <c r="BP17" s="151"/>
      <c r="BQ17" s="151"/>
      <c r="BR17" s="151"/>
      <c r="BS17" s="151"/>
    </row>
    <row r="20" spans="1:71" ht="25.5" customHeight="1" x14ac:dyDescent="0.3">
      <c r="A20" s="160" t="s">
        <v>92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</row>
    <row r="21" spans="1:71" ht="14.25" customHeight="1" x14ac:dyDescent="0.3">
      <c r="A21" s="33"/>
      <c r="B21" s="34"/>
      <c r="C21" s="12" t="s">
        <v>56</v>
      </c>
      <c r="D21" s="12" t="s">
        <v>57</v>
      </c>
      <c r="E21" s="12" t="s">
        <v>59</v>
      </c>
      <c r="F21" s="12" t="s">
        <v>60</v>
      </c>
      <c r="G21" s="12" t="s">
        <v>61</v>
      </c>
      <c r="H21" s="12" t="s">
        <v>62</v>
      </c>
      <c r="I21" s="12" t="s">
        <v>65</v>
      </c>
      <c r="J21" s="33"/>
      <c r="K21" s="34"/>
      <c r="L21" s="12" t="s">
        <v>56</v>
      </c>
      <c r="M21" s="12" t="s">
        <v>57</v>
      </c>
      <c r="N21" s="12" t="s">
        <v>59</v>
      </c>
      <c r="O21" s="12" t="s">
        <v>60</v>
      </c>
      <c r="P21" s="12" t="s">
        <v>61</v>
      </c>
      <c r="Q21" s="12" t="s">
        <v>62</v>
      </c>
      <c r="R21" s="12" t="s">
        <v>65</v>
      </c>
      <c r="S21" s="33"/>
      <c r="T21" s="34"/>
      <c r="U21" s="12" t="s">
        <v>56</v>
      </c>
      <c r="V21" s="12" t="s">
        <v>57</v>
      </c>
      <c r="W21" s="12" t="s">
        <v>59</v>
      </c>
      <c r="X21" s="12" t="s">
        <v>60</v>
      </c>
      <c r="Y21" s="12" t="s">
        <v>61</v>
      </c>
      <c r="Z21" s="12" t="s">
        <v>62</v>
      </c>
      <c r="AA21" s="12" t="s">
        <v>65</v>
      </c>
      <c r="AB21" s="33"/>
      <c r="AC21" s="34"/>
      <c r="AD21" s="12" t="s">
        <v>56</v>
      </c>
      <c r="AE21" s="12" t="s">
        <v>57</v>
      </c>
      <c r="AF21" s="12" t="s">
        <v>59</v>
      </c>
      <c r="AG21" s="12" t="s">
        <v>60</v>
      </c>
      <c r="AH21" s="12" t="s">
        <v>61</v>
      </c>
      <c r="AI21" s="12" t="s">
        <v>62</v>
      </c>
      <c r="AJ21" s="12" t="s">
        <v>65</v>
      </c>
      <c r="AK21" s="33"/>
      <c r="AL21" s="34"/>
      <c r="AM21" s="12" t="s">
        <v>56</v>
      </c>
      <c r="AN21" s="12" t="s">
        <v>57</v>
      </c>
      <c r="AO21" s="12" t="s">
        <v>59</v>
      </c>
      <c r="AP21" s="12" t="s">
        <v>60</v>
      </c>
      <c r="AQ21" s="12" t="s">
        <v>61</v>
      </c>
      <c r="AR21" s="12" t="s">
        <v>62</v>
      </c>
      <c r="AS21" s="12" t="s">
        <v>65</v>
      </c>
      <c r="AT21" s="33"/>
      <c r="AU21" s="34"/>
      <c r="AV21" s="12" t="s">
        <v>56</v>
      </c>
      <c r="AW21" s="12" t="s">
        <v>57</v>
      </c>
      <c r="AX21" s="12" t="s">
        <v>59</v>
      </c>
      <c r="AY21" s="12" t="s">
        <v>60</v>
      </c>
      <c r="AZ21" s="12" t="s">
        <v>61</v>
      </c>
      <c r="BA21" s="12" t="s">
        <v>62</v>
      </c>
      <c r="BB21" s="12" t="s">
        <v>65</v>
      </c>
    </row>
    <row r="22" spans="1:71" ht="14.25" customHeight="1" x14ac:dyDescent="0.3">
      <c r="A22" s="33" t="s">
        <v>68</v>
      </c>
      <c r="B22" s="34" t="s">
        <v>93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1</v>
      </c>
      <c r="I22" s="35">
        <v>1</v>
      </c>
      <c r="J22" s="33" t="s">
        <v>54</v>
      </c>
      <c r="K22" s="34" t="s">
        <v>93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3" t="s">
        <v>94</v>
      </c>
      <c r="T22" s="34" t="s">
        <v>93</v>
      </c>
      <c r="U22" s="35">
        <v>4</v>
      </c>
      <c r="V22" s="35">
        <v>5</v>
      </c>
      <c r="W22" s="35">
        <v>5</v>
      </c>
      <c r="X22" s="35">
        <v>1</v>
      </c>
      <c r="Y22" s="35">
        <v>0</v>
      </c>
      <c r="Z22" s="35">
        <v>0</v>
      </c>
      <c r="AA22" s="35">
        <v>18</v>
      </c>
      <c r="AB22" s="33" t="s">
        <v>86</v>
      </c>
      <c r="AC22" s="34" t="s">
        <v>93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5">
        <v>0</v>
      </c>
      <c r="AK22" s="33" t="s">
        <v>85</v>
      </c>
      <c r="AL22" s="34" t="s">
        <v>93</v>
      </c>
      <c r="AM22" s="35">
        <v>0</v>
      </c>
      <c r="AN22" s="35">
        <v>0</v>
      </c>
      <c r="AO22" s="35">
        <v>0</v>
      </c>
      <c r="AP22" s="35">
        <v>1</v>
      </c>
      <c r="AQ22" s="35">
        <v>0</v>
      </c>
      <c r="AR22" s="35">
        <v>0</v>
      </c>
      <c r="AS22" s="35">
        <v>1</v>
      </c>
      <c r="AT22" s="33" t="s">
        <v>88</v>
      </c>
      <c r="AU22" s="34" t="s">
        <v>93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1</v>
      </c>
    </row>
    <row r="23" spans="1:71" ht="14.25" customHeight="1" x14ac:dyDescent="0.3">
      <c r="A23" s="33" t="s">
        <v>68</v>
      </c>
      <c r="B23" s="34" t="s">
        <v>95</v>
      </c>
      <c r="C23" s="35">
        <v>0</v>
      </c>
      <c r="D23" s="35">
        <v>0</v>
      </c>
      <c r="E23" s="35">
        <v>3</v>
      </c>
      <c r="F23" s="35">
        <v>0</v>
      </c>
      <c r="G23" s="35">
        <v>0</v>
      </c>
      <c r="H23" s="35">
        <v>0</v>
      </c>
      <c r="I23" s="35">
        <v>3</v>
      </c>
      <c r="J23" s="33" t="s">
        <v>54</v>
      </c>
      <c r="K23" s="34" t="s">
        <v>95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3" t="s">
        <v>94</v>
      </c>
      <c r="T23" s="34" t="s">
        <v>95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3" t="s">
        <v>86</v>
      </c>
      <c r="AC23" s="34" t="s">
        <v>95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v>0</v>
      </c>
      <c r="AK23" s="33" t="s">
        <v>85</v>
      </c>
      <c r="AL23" s="34" t="s">
        <v>95</v>
      </c>
      <c r="AM23" s="35">
        <v>0</v>
      </c>
      <c r="AN23" s="35">
        <v>0</v>
      </c>
      <c r="AO23" s="35">
        <v>0</v>
      </c>
      <c r="AP23" s="35">
        <v>0</v>
      </c>
      <c r="AQ23" s="35">
        <v>0</v>
      </c>
      <c r="AR23" s="35">
        <v>0</v>
      </c>
      <c r="AS23" s="35">
        <v>0</v>
      </c>
      <c r="AT23" s="33" t="s">
        <v>88</v>
      </c>
      <c r="AU23" s="34" t="s">
        <v>95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</row>
    <row r="24" spans="1:71" ht="14.25" customHeight="1" x14ac:dyDescent="0.3">
      <c r="A24" s="33" t="s">
        <v>68</v>
      </c>
      <c r="B24" s="34" t="s">
        <v>96</v>
      </c>
      <c r="C24" s="35">
        <v>0</v>
      </c>
      <c r="D24" s="35">
        <v>0</v>
      </c>
      <c r="E24" s="35">
        <v>0</v>
      </c>
      <c r="F24" s="35">
        <v>1</v>
      </c>
      <c r="G24" s="35">
        <v>2</v>
      </c>
      <c r="H24" s="35">
        <v>0</v>
      </c>
      <c r="I24" s="35">
        <v>3</v>
      </c>
      <c r="J24" s="33" t="s">
        <v>54</v>
      </c>
      <c r="K24" s="34" t="s">
        <v>96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3" t="s">
        <v>94</v>
      </c>
      <c r="T24" s="34" t="s">
        <v>96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3" t="s">
        <v>86</v>
      </c>
      <c r="AC24" s="34" t="s">
        <v>96</v>
      </c>
      <c r="AD24" s="35">
        <v>0</v>
      </c>
      <c r="AE24" s="35">
        <v>0</v>
      </c>
      <c r="AF24" s="35">
        <v>1</v>
      </c>
      <c r="AG24" s="35">
        <v>0</v>
      </c>
      <c r="AH24" s="35">
        <v>0</v>
      </c>
      <c r="AI24" s="35">
        <v>0</v>
      </c>
      <c r="AJ24" s="35">
        <v>1</v>
      </c>
      <c r="AK24" s="33" t="s">
        <v>85</v>
      </c>
      <c r="AL24" s="34" t="s">
        <v>96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3" t="s">
        <v>88</v>
      </c>
      <c r="AU24" s="34" t="s">
        <v>96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</row>
    <row r="25" spans="1:71" ht="14.25" customHeight="1" x14ac:dyDescent="0.3">
      <c r="A25" s="33" t="s">
        <v>68</v>
      </c>
      <c r="B25" s="34" t="s">
        <v>93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3" t="s">
        <v>54</v>
      </c>
      <c r="K25" s="34" t="s">
        <v>93</v>
      </c>
      <c r="L25" s="35">
        <v>2</v>
      </c>
      <c r="M25" s="35">
        <v>1</v>
      </c>
      <c r="N25" s="35">
        <v>10</v>
      </c>
      <c r="O25" s="35">
        <v>0</v>
      </c>
      <c r="P25" s="35">
        <v>4</v>
      </c>
      <c r="Q25" s="35">
        <v>0</v>
      </c>
      <c r="R25" s="35">
        <v>19</v>
      </c>
      <c r="S25" s="33" t="s">
        <v>94</v>
      </c>
      <c r="T25" s="34" t="s">
        <v>93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3" t="s">
        <v>86</v>
      </c>
      <c r="AC25" s="34" t="s">
        <v>93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0</v>
      </c>
      <c r="AK25" s="33" t="s">
        <v>85</v>
      </c>
      <c r="AL25" s="34" t="s">
        <v>93</v>
      </c>
      <c r="AM25" s="35">
        <v>1</v>
      </c>
      <c r="AN25" s="35">
        <v>0</v>
      </c>
      <c r="AO25" s="35">
        <v>5</v>
      </c>
      <c r="AP25" s="35">
        <v>0</v>
      </c>
      <c r="AQ25" s="35">
        <v>2</v>
      </c>
      <c r="AR25" s="35">
        <v>0</v>
      </c>
      <c r="AS25" s="35">
        <v>9</v>
      </c>
      <c r="AT25" s="33" t="s">
        <v>88</v>
      </c>
      <c r="AU25" s="34" t="s">
        <v>93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</row>
    <row r="26" spans="1:71" ht="14.25" customHeight="1" x14ac:dyDescent="0.3">
      <c r="A26" s="33" t="s">
        <v>68</v>
      </c>
      <c r="B26" s="34" t="s">
        <v>95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3" t="s">
        <v>54</v>
      </c>
      <c r="K26" s="34" t="s">
        <v>95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3" t="s">
        <v>94</v>
      </c>
      <c r="T26" s="34" t="s">
        <v>95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3" t="s">
        <v>86</v>
      </c>
      <c r="AC26" s="34" t="s">
        <v>95</v>
      </c>
      <c r="AD26" s="35">
        <v>0</v>
      </c>
      <c r="AE26" s="35">
        <v>0</v>
      </c>
      <c r="AF26" s="35">
        <v>0</v>
      </c>
      <c r="AG26" s="35">
        <v>0</v>
      </c>
      <c r="AH26" s="35">
        <v>1</v>
      </c>
      <c r="AI26" s="35">
        <v>0</v>
      </c>
      <c r="AJ26" s="35">
        <v>2</v>
      </c>
      <c r="AK26" s="33" t="s">
        <v>85</v>
      </c>
      <c r="AL26" s="34" t="s">
        <v>95</v>
      </c>
      <c r="AM26" s="35">
        <v>1</v>
      </c>
      <c r="AN26" s="35">
        <v>0</v>
      </c>
      <c r="AO26" s="35">
        <v>3</v>
      </c>
      <c r="AP26" s="35">
        <v>0</v>
      </c>
      <c r="AQ26" s="35">
        <v>0</v>
      </c>
      <c r="AR26" s="35">
        <v>0</v>
      </c>
      <c r="AS26" s="35">
        <v>4</v>
      </c>
      <c r="AT26" s="33" t="s">
        <v>88</v>
      </c>
      <c r="AU26" s="34" t="s">
        <v>95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</row>
    <row r="27" spans="1:71" ht="14.25" customHeight="1" x14ac:dyDescent="0.3">
      <c r="A27" s="33" t="s">
        <v>68</v>
      </c>
      <c r="B27" s="36" t="s">
        <v>96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3" t="s">
        <v>54</v>
      </c>
      <c r="K27" s="36" t="s">
        <v>96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3" t="s">
        <v>94</v>
      </c>
      <c r="T27" s="36" t="s">
        <v>96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3" t="s">
        <v>86</v>
      </c>
      <c r="AC27" s="36" t="s">
        <v>96</v>
      </c>
      <c r="AD27" s="37">
        <v>2</v>
      </c>
      <c r="AE27" s="37">
        <v>0</v>
      </c>
      <c r="AF27" s="37">
        <v>6</v>
      </c>
      <c r="AG27" s="37">
        <v>0</v>
      </c>
      <c r="AH27" s="37">
        <v>4</v>
      </c>
      <c r="AI27" s="37">
        <v>0</v>
      </c>
      <c r="AJ27" s="37">
        <v>14</v>
      </c>
      <c r="AK27" s="33" t="s">
        <v>85</v>
      </c>
      <c r="AL27" s="36" t="s">
        <v>96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3" t="s">
        <v>88</v>
      </c>
      <c r="AU27" s="36" t="s">
        <v>96</v>
      </c>
      <c r="AV27" s="37">
        <v>0</v>
      </c>
      <c r="AW27" s="37">
        <v>0</v>
      </c>
      <c r="AX27" s="37">
        <v>0</v>
      </c>
      <c r="AY27" s="37">
        <v>0</v>
      </c>
      <c r="AZ27" s="37">
        <v>0</v>
      </c>
      <c r="BA27" s="37">
        <v>0</v>
      </c>
      <c r="BB27" s="37">
        <v>0</v>
      </c>
    </row>
    <row r="28" spans="1:71" ht="14.25" customHeight="1" x14ac:dyDescent="0.3">
      <c r="A28" s="33"/>
      <c r="B28" s="34"/>
      <c r="C28" s="38" t="s">
        <v>56</v>
      </c>
      <c r="D28" s="38" t="s">
        <v>57</v>
      </c>
      <c r="E28" s="38" t="s">
        <v>59</v>
      </c>
      <c r="F28" s="38" t="s">
        <v>60</v>
      </c>
      <c r="G28" s="38" t="s">
        <v>61</v>
      </c>
      <c r="H28" s="38" t="s">
        <v>62</v>
      </c>
      <c r="I28" s="38" t="s">
        <v>65</v>
      </c>
      <c r="J28" s="33"/>
      <c r="K28" s="34"/>
      <c r="L28" s="38" t="s">
        <v>56</v>
      </c>
      <c r="M28" s="38" t="s">
        <v>57</v>
      </c>
      <c r="N28" s="38" t="s">
        <v>59</v>
      </c>
      <c r="O28" s="38" t="s">
        <v>60</v>
      </c>
      <c r="P28" s="38" t="s">
        <v>61</v>
      </c>
      <c r="Q28" s="38" t="s">
        <v>62</v>
      </c>
      <c r="R28" s="38" t="s">
        <v>65</v>
      </c>
      <c r="S28" s="33"/>
      <c r="T28" s="34"/>
      <c r="U28" s="38" t="s">
        <v>56</v>
      </c>
      <c r="V28" s="38" t="s">
        <v>57</v>
      </c>
      <c r="W28" s="38" t="s">
        <v>59</v>
      </c>
      <c r="X28" s="38" t="s">
        <v>60</v>
      </c>
      <c r="Y28" s="38" t="s">
        <v>61</v>
      </c>
      <c r="Z28" s="38" t="s">
        <v>62</v>
      </c>
      <c r="AA28" s="38" t="s">
        <v>65</v>
      </c>
      <c r="AB28" s="33"/>
      <c r="AC28" s="34"/>
      <c r="AD28" s="38" t="s">
        <v>56</v>
      </c>
      <c r="AE28" s="38" t="s">
        <v>57</v>
      </c>
      <c r="AF28" s="38" t="s">
        <v>59</v>
      </c>
      <c r="AG28" s="38" t="s">
        <v>60</v>
      </c>
      <c r="AH28" s="38" t="s">
        <v>61</v>
      </c>
      <c r="AI28" s="38" t="s">
        <v>62</v>
      </c>
      <c r="AJ28" s="38" t="s">
        <v>65</v>
      </c>
      <c r="AK28" s="33"/>
      <c r="AL28" s="34"/>
      <c r="AM28" s="38" t="s">
        <v>56</v>
      </c>
      <c r="AN28" s="38" t="s">
        <v>57</v>
      </c>
      <c r="AO28" s="38" t="s">
        <v>59</v>
      </c>
      <c r="AP28" s="38" t="s">
        <v>60</v>
      </c>
      <c r="AQ28" s="38" t="s">
        <v>61</v>
      </c>
      <c r="AR28" s="38" t="s">
        <v>62</v>
      </c>
      <c r="AS28" s="38" t="s">
        <v>65</v>
      </c>
      <c r="AT28" s="33"/>
      <c r="AU28" s="34"/>
      <c r="AV28" s="38" t="s">
        <v>56</v>
      </c>
      <c r="AW28" s="38" t="s">
        <v>57</v>
      </c>
      <c r="AX28" s="38" t="s">
        <v>59</v>
      </c>
      <c r="AY28" s="38" t="s">
        <v>60</v>
      </c>
      <c r="AZ28" s="38" t="s">
        <v>61</v>
      </c>
      <c r="BA28" s="38" t="s">
        <v>62</v>
      </c>
      <c r="BB28" s="38" t="s">
        <v>65</v>
      </c>
    </row>
    <row r="29" spans="1:71" ht="14.25" customHeight="1" x14ac:dyDescent="0.3">
      <c r="A29" s="33" t="s">
        <v>97</v>
      </c>
      <c r="B29" s="34" t="s">
        <v>93</v>
      </c>
      <c r="C29" s="35">
        <v>0</v>
      </c>
      <c r="D29" s="35">
        <v>0</v>
      </c>
      <c r="E29" s="35">
        <v>1</v>
      </c>
      <c r="F29" s="35">
        <v>0</v>
      </c>
      <c r="G29" s="35">
        <v>0</v>
      </c>
      <c r="H29" s="35">
        <v>0</v>
      </c>
      <c r="I29" s="35">
        <v>1</v>
      </c>
      <c r="J29" s="33" t="s">
        <v>87</v>
      </c>
      <c r="K29" s="34" t="s">
        <v>93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3" t="s">
        <v>98</v>
      </c>
      <c r="T29" s="34" t="s">
        <v>93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3" t="s">
        <v>67</v>
      </c>
      <c r="AC29" s="34" t="s">
        <v>93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0</v>
      </c>
      <c r="AK29" s="33" t="s">
        <v>69</v>
      </c>
      <c r="AL29" s="34" t="s">
        <v>93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3" t="s">
        <v>66</v>
      </c>
      <c r="AU29" s="34" t="s">
        <v>93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</row>
    <row r="30" spans="1:71" ht="14.25" customHeight="1" x14ac:dyDescent="0.3">
      <c r="A30" s="33" t="s">
        <v>97</v>
      </c>
      <c r="B30" s="34" t="s">
        <v>95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3" t="s">
        <v>87</v>
      </c>
      <c r="K30" s="34" t="s">
        <v>95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3" t="s">
        <v>98</v>
      </c>
      <c r="T30" s="34" t="s">
        <v>95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3" t="s">
        <v>67</v>
      </c>
      <c r="AC30" s="34" t="s">
        <v>95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3" t="s">
        <v>69</v>
      </c>
      <c r="AL30" s="34" t="s">
        <v>95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35">
        <v>0</v>
      </c>
      <c r="AS30" s="35">
        <v>0</v>
      </c>
      <c r="AT30" s="33" t="s">
        <v>66</v>
      </c>
      <c r="AU30" s="34" t="s">
        <v>95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</row>
    <row r="31" spans="1:71" ht="14.25" customHeight="1" x14ac:dyDescent="0.3">
      <c r="A31" s="33" t="s">
        <v>97</v>
      </c>
      <c r="B31" s="34" t="s">
        <v>96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3" t="s">
        <v>87</v>
      </c>
      <c r="K31" s="34" t="s">
        <v>96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3" t="s">
        <v>98</v>
      </c>
      <c r="T31" s="34" t="s">
        <v>96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3" t="s">
        <v>67</v>
      </c>
      <c r="AC31" s="34" t="s">
        <v>96</v>
      </c>
      <c r="AD31" s="35">
        <v>2</v>
      </c>
      <c r="AE31" s="35">
        <v>0</v>
      </c>
      <c r="AF31" s="35">
        <v>9</v>
      </c>
      <c r="AG31" s="35">
        <v>0</v>
      </c>
      <c r="AH31" s="35">
        <v>0</v>
      </c>
      <c r="AI31" s="35">
        <v>0</v>
      </c>
      <c r="AJ31" s="35">
        <v>12</v>
      </c>
      <c r="AK31" s="33" t="s">
        <v>69</v>
      </c>
      <c r="AL31" s="34" t="s">
        <v>96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3" t="s">
        <v>66</v>
      </c>
      <c r="AU31" s="34" t="s">
        <v>96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</row>
    <row r="32" spans="1:71" ht="14.25" customHeight="1" x14ac:dyDescent="0.3">
      <c r="A32" s="33" t="s">
        <v>97</v>
      </c>
      <c r="B32" s="34" t="s">
        <v>93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3" t="s">
        <v>87</v>
      </c>
      <c r="K32" s="34" t="s">
        <v>93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3" t="s">
        <v>98</v>
      </c>
      <c r="T32" s="34" t="s">
        <v>93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3" t="s">
        <v>67</v>
      </c>
      <c r="AC32" s="34" t="s">
        <v>93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3" t="s">
        <v>69</v>
      </c>
      <c r="AL32" s="34" t="s">
        <v>93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3" t="s">
        <v>66</v>
      </c>
      <c r="AU32" s="34" t="s">
        <v>93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</row>
    <row r="33" spans="1:56" ht="14.25" customHeight="1" x14ac:dyDescent="0.3">
      <c r="A33" s="33" t="s">
        <v>97</v>
      </c>
      <c r="B33" s="34" t="s">
        <v>95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3" t="s">
        <v>87</v>
      </c>
      <c r="K33" s="34" t="s">
        <v>95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3" t="s">
        <v>98</v>
      </c>
      <c r="T33" s="34" t="s">
        <v>95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3" t="s">
        <v>67</v>
      </c>
      <c r="AC33" s="34" t="s">
        <v>95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3" t="s">
        <v>69</v>
      </c>
      <c r="AL33" s="34" t="s">
        <v>95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3" t="s">
        <v>66</v>
      </c>
      <c r="AU33" s="34" t="s">
        <v>95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</row>
    <row r="34" spans="1:56" ht="14.25" customHeight="1" x14ac:dyDescent="0.3">
      <c r="A34" s="33" t="s">
        <v>97</v>
      </c>
      <c r="B34" s="36" t="s">
        <v>96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3" t="s">
        <v>87</v>
      </c>
      <c r="K34" s="36" t="s">
        <v>96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3" t="s">
        <v>98</v>
      </c>
      <c r="T34" s="36" t="s">
        <v>96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3" t="s">
        <v>67</v>
      </c>
      <c r="AC34" s="36" t="s">
        <v>96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3" t="s">
        <v>69</v>
      </c>
      <c r="AL34" s="36" t="s">
        <v>96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37">
        <v>0</v>
      </c>
      <c r="AT34" s="33" t="s">
        <v>66</v>
      </c>
      <c r="AU34" s="36" t="s">
        <v>96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7">
        <v>0</v>
      </c>
    </row>
    <row r="35" spans="1:56" ht="25.5" customHeight="1" x14ac:dyDescent="0.3">
      <c r="A35" s="159" t="s">
        <v>99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</row>
    <row r="36" spans="1:56" ht="14.25" customHeight="1" x14ac:dyDescent="0.3">
      <c r="A36" s="18" t="s">
        <v>100</v>
      </c>
      <c r="B36" s="12" t="s">
        <v>101</v>
      </c>
      <c r="C36" s="12" t="s">
        <v>102</v>
      </c>
      <c r="D36" s="12" t="s">
        <v>26</v>
      </c>
      <c r="E36" s="12" t="s">
        <v>103</v>
      </c>
      <c r="F36" s="12" t="s">
        <v>104</v>
      </c>
      <c r="G36" s="12" t="s">
        <v>105</v>
      </c>
      <c r="H36" s="18" t="s">
        <v>82</v>
      </c>
      <c r="I36" s="12" t="s">
        <v>101</v>
      </c>
      <c r="J36" s="12" t="s">
        <v>102</v>
      </c>
      <c r="K36" s="12" t="s">
        <v>26</v>
      </c>
      <c r="L36" s="12" t="s">
        <v>106</v>
      </c>
      <c r="M36" s="12" t="s">
        <v>104</v>
      </c>
      <c r="N36" s="12" t="s">
        <v>105</v>
      </c>
      <c r="O36" s="18" t="s">
        <v>71</v>
      </c>
      <c r="P36" s="12" t="s">
        <v>101</v>
      </c>
      <c r="Q36" s="12" t="s">
        <v>102</v>
      </c>
      <c r="R36" s="12" t="s">
        <v>26</v>
      </c>
      <c r="S36" s="12" t="s">
        <v>106</v>
      </c>
      <c r="T36" s="12" t="s">
        <v>104</v>
      </c>
      <c r="U36" s="12" t="s">
        <v>105</v>
      </c>
      <c r="V36" s="18" t="s">
        <v>76</v>
      </c>
      <c r="W36" s="12" t="s">
        <v>101</v>
      </c>
      <c r="X36" s="12" t="s">
        <v>102</v>
      </c>
      <c r="Y36" s="12" t="s">
        <v>26</v>
      </c>
      <c r="Z36" s="12" t="s">
        <v>106</v>
      </c>
      <c r="AA36" s="12" t="s">
        <v>104</v>
      </c>
      <c r="AB36" s="12" t="s">
        <v>105</v>
      </c>
      <c r="AC36" s="18" t="s">
        <v>72</v>
      </c>
      <c r="AD36" s="12" t="s">
        <v>101</v>
      </c>
      <c r="AE36" s="12" t="s">
        <v>102</v>
      </c>
      <c r="AF36" s="12" t="s">
        <v>26</v>
      </c>
      <c r="AG36" s="12" t="s">
        <v>106</v>
      </c>
      <c r="AH36" s="12" t="s">
        <v>104</v>
      </c>
      <c r="AI36" s="12" t="s">
        <v>105</v>
      </c>
      <c r="AJ36" s="18" t="s">
        <v>74</v>
      </c>
      <c r="AK36" s="12" t="s">
        <v>101</v>
      </c>
      <c r="AL36" s="12" t="s">
        <v>102</v>
      </c>
      <c r="AM36" s="12" t="s">
        <v>26</v>
      </c>
      <c r="AN36" s="12" t="s">
        <v>106</v>
      </c>
      <c r="AO36" s="12" t="s">
        <v>104</v>
      </c>
      <c r="AP36" s="12" t="s">
        <v>105</v>
      </c>
      <c r="AQ36" s="18" t="s">
        <v>90</v>
      </c>
      <c r="AR36" s="12" t="s">
        <v>101</v>
      </c>
      <c r="AS36" s="12" t="s">
        <v>102</v>
      </c>
      <c r="AT36" s="12" t="s">
        <v>26</v>
      </c>
      <c r="AU36" s="12" t="s">
        <v>106</v>
      </c>
      <c r="AV36" s="12" t="s">
        <v>104</v>
      </c>
      <c r="AW36" s="12" t="s">
        <v>105</v>
      </c>
      <c r="AX36" s="18" t="s">
        <v>107</v>
      </c>
      <c r="AY36" s="12" t="s">
        <v>101</v>
      </c>
      <c r="AZ36" s="12" t="s">
        <v>102</v>
      </c>
      <c r="BA36" s="12" t="s">
        <v>26</v>
      </c>
      <c r="BB36" s="12" t="s">
        <v>106</v>
      </c>
      <c r="BC36" s="12" t="s">
        <v>108</v>
      </c>
      <c r="BD36" s="12" t="s">
        <v>105</v>
      </c>
    </row>
    <row r="37" spans="1:56" ht="14.25" customHeight="1" x14ac:dyDescent="0.3">
      <c r="A37" s="18" t="s">
        <v>109</v>
      </c>
      <c r="B37" s="39">
        <v>-1.6299999999999999E-2</v>
      </c>
      <c r="C37" s="19">
        <v>46</v>
      </c>
      <c r="D37" s="19">
        <v>1</v>
      </c>
      <c r="E37" s="19">
        <v>3</v>
      </c>
      <c r="F37" s="19">
        <v>1</v>
      </c>
      <c r="G37" s="19">
        <v>3</v>
      </c>
      <c r="H37" s="18" t="s">
        <v>109</v>
      </c>
      <c r="I37" s="40">
        <v>0.25</v>
      </c>
      <c r="J37" s="19">
        <v>8</v>
      </c>
      <c r="K37" s="19">
        <v>4</v>
      </c>
      <c r="L37" s="40">
        <v>0.5</v>
      </c>
      <c r="M37" s="19">
        <v>1</v>
      </c>
      <c r="N37" s="19">
        <v>1</v>
      </c>
      <c r="O37" s="18" t="s">
        <v>109</v>
      </c>
      <c r="P37" s="40">
        <v>0.5</v>
      </c>
      <c r="Q37" s="19">
        <v>32</v>
      </c>
      <c r="R37" s="19">
        <v>17</v>
      </c>
      <c r="S37" s="40">
        <v>0.53</v>
      </c>
      <c r="T37" s="19">
        <v>0</v>
      </c>
      <c r="U37" s="19">
        <v>1</v>
      </c>
      <c r="V37" s="18" t="s">
        <v>109</v>
      </c>
      <c r="W37" s="40">
        <v>0.43</v>
      </c>
      <c r="X37" s="19">
        <v>14</v>
      </c>
      <c r="Y37" s="19">
        <v>8</v>
      </c>
      <c r="Z37" s="40">
        <v>0.56999999999999995</v>
      </c>
      <c r="AA37" s="19">
        <v>1</v>
      </c>
      <c r="AB37" s="19">
        <v>1</v>
      </c>
      <c r="AC37" s="18" t="s">
        <v>109</v>
      </c>
      <c r="AD37" s="40">
        <v>0.38</v>
      </c>
      <c r="AE37" s="19">
        <v>8</v>
      </c>
      <c r="AF37" s="19">
        <v>4</v>
      </c>
      <c r="AG37" s="40">
        <v>0.5</v>
      </c>
      <c r="AH37" s="19">
        <v>0</v>
      </c>
      <c r="AI37" s="19">
        <v>1</v>
      </c>
      <c r="AJ37" s="18" t="s">
        <v>109</v>
      </c>
      <c r="AK37" s="40">
        <v>0.5</v>
      </c>
      <c r="AL37" s="19">
        <v>4</v>
      </c>
      <c r="AM37" s="19">
        <v>2</v>
      </c>
      <c r="AN37" s="40">
        <v>0.5</v>
      </c>
      <c r="AO37" s="19">
        <v>0</v>
      </c>
      <c r="AP37" s="19">
        <v>0</v>
      </c>
      <c r="AQ37" s="18" t="s">
        <v>109</v>
      </c>
      <c r="AR37" s="40">
        <v>0</v>
      </c>
      <c r="AS37" s="19">
        <v>4</v>
      </c>
      <c r="AT37" s="19">
        <v>1</v>
      </c>
      <c r="AU37" s="40">
        <v>0.25</v>
      </c>
      <c r="AV37" s="19">
        <v>0</v>
      </c>
      <c r="AW37" s="19">
        <v>1</v>
      </c>
      <c r="AX37" s="18" t="s">
        <v>109</v>
      </c>
      <c r="AY37" s="40">
        <v>0.12</v>
      </c>
      <c r="AZ37" s="19">
        <v>57</v>
      </c>
      <c r="BA37" s="19">
        <v>8</v>
      </c>
      <c r="BB37" s="40">
        <v>0.14000000000000001</v>
      </c>
      <c r="BC37" s="40">
        <v>0.28000000000000003</v>
      </c>
      <c r="BD37" s="19">
        <v>16</v>
      </c>
    </row>
    <row r="38" spans="1:56" ht="14.25" customHeight="1" x14ac:dyDescent="0.3">
      <c r="A38" s="18" t="s">
        <v>68</v>
      </c>
      <c r="B38" s="39">
        <v>-7.1400000000000005E-2</v>
      </c>
      <c r="C38" s="19">
        <v>7</v>
      </c>
      <c r="D38" s="19">
        <v>0</v>
      </c>
      <c r="E38" s="19">
        <v>2</v>
      </c>
      <c r="F38" s="19">
        <v>0</v>
      </c>
      <c r="G38" s="19">
        <v>1</v>
      </c>
      <c r="H38" s="18" t="s">
        <v>68</v>
      </c>
      <c r="I38" s="40">
        <v>0</v>
      </c>
      <c r="J38" s="19">
        <v>0</v>
      </c>
      <c r="K38" s="19">
        <v>0</v>
      </c>
      <c r="L38" s="40">
        <v>0</v>
      </c>
      <c r="M38" s="19">
        <v>0</v>
      </c>
      <c r="N38" s="19">
        <v>0</v>
      </c>
      <c r="O38" s="18" t="s">
        <v>68</v>
      </c>
      <c r="P38" s="40">
        <v>0</v>
      </c>
      <c r="Q38" s="19">
        <v>0</v>
      </c>
      <c r="R38" s="19">
        <v>0</v>
      </c>
      <c r="S38" s="40">
        <v>0</v>
      </c>
      <c r="T38" s="19">
        <v>0</v>
      </c>
      <c r="U38" s="19">
        <v>0</v>
      </c>
      <c r="V38" s="18" t="s">
        <v>68</v>
      </c>
      <c r="W38" s="40">
        <v>-1</v>
      </c>
      <c r="X38" s="19">
        <v>1</v>
      </c>
      <c r="Y38" s="19">
        <v>0</v>
      </c>
      <c r="Z38" s="40">
        <v>0</v>
      </c>
      <c r="AA38" s="19">
        <v>1</v>
      </c>
      <c r="AB38" s="19">
        <v>0</v>
      </c>
      <c r="AC38" s="18" t="s">
        <v>68</v>
      </c>
      <c r="AD38" s="40">
        <v>0.5</v>
      </c>
      <c r="AE38" s="19">
        <v>2</v>
      </c>
      <c r="AF38" s="19">
        <v>1</v>
      </c>
      <c r="AG38" s="40">
        <v>0.5</v>
      </c>
      <c r="AH38" s="19">
        <v>0</v>
      </c>
      <c r="AI38" s="19">
        <v>0</v>
      </c>
      <c r="AJ38" s="18" t="s">
        <v>68</v>
      </c>
      <c r="AK38" s="40">
        <v>0.5</v>
      </c>
      <c r="AL38" s="19">
        <v>2</v>
      </c>
      <c r="AM38" s="19">
        <v>1</v>
      </c>
      <c r="AN38" s="40">
        <v>0.5</v>
      </c>
      <c r="AO38" s="19">
        <v>0</v>
      </c>
      <c r="AP38" s="19">
        <v>0</v>
      </c>
      <c r="AQ38" s="18" t="s">
        <v>68</v>
      </c>
      <c r="AR38" s="40">
        <v>0</v>
      </c>
      <c r="AS38" s="19">
        <v>0</v>
      </c>
      <c r="AT38" s="19">
        <v>0</v>
      </c>
      <c r="AU38" s="40">
        <v>0</v>
      </c>
      <c r="AV38" s="19">
        <v>0</v>
      </c>
      <c r="AW38" s="19">
        <v>0</v>
      </c>
      <c r="AX38" s="18" t="s">
        <v>68</v>
      </c>
      <c r="AY38" s="40">
        <v>0.25</v>
      </c>
      <c r="AZ38" s="19">
        <v>4</v>
      </c>
      <c r="BA38" s="19">
        <v>1</v>
      </c>
      <c r="BB38" s="40">
        <v>0.25</v>
      </c>
      <c r="BC38" s="40">
        <v>0.25</v>
      </c>
      <c r="BD38" s="19">
        <v>1</v>
      </c>
    </row>
    <row r="39" spans="1:56" ht="14.25" customHeight="1" x14ac:dyDescent="0.3">
      <c r="A39" s="18" t="s">
        <v>97</v>
      </c>
      <c r="B39" s="19">
        <v>0</v>
      </c>
      <c r="C39" s="19">
        <v>1</v>
      </c>
      <c r="D39" s="19">
        <v>0</v>
      </c>
      <c r="E39" s="19">
        <v>0</v>
      </c>
      <c r="F39" s="19">
        <v>0</v>
      </c>
      <c r="G39" s="19">
        <v>0</v>
      </c>
      <c r="H39" s="18" t="s">
        <v>97</v>
      </c>
      <c r="I39" s="40">
        <v>0</v>
      </c>
      <c r="J39" s="19">
        <v>0</v>
      </c>
      <c r="K39" s="19">
        <v>0</v>
      </c>
      <c r="L39" s="40">
        <v>0</v>
      </c>
      <c r="M39" s="19">
        <v>0</v>
      </c>
      <c r="N39" s="19">
        <v>0</v>
      </c>
      <c r="O39" s="18" t="s">
        <v>97</v>
      </c>
      <c r="P39" s="40">
        <v>0</v>
      </c>
      <c r="Q39" s="19">
        <v>0</v>
      </c>
      <c r="R39" s="19">
        <v>0</v>
      </c>
      <c r="S39" s="40">
        <v>0</v>
      </c>
      <c r="T39" s="19">
        <v>0</v>
      </c>
      <c r="U39" s="19">
        <v>0</v>
      </c>
      <c r="V39" s="18" t="s">
        <v>97</v>
      </c>
      <c r="W39" s="40">
        <v>0</v>
      </c>
      <c r="X39" s="19">
        <v>0</v>
      </c>
      <c r="Y39" s="19">
        <v>0</v>
      </c>
      <c r="Z39" s="40">
        <v>0</v>
      </c>
      <c r="AA39" s="19">
        <v>0</v>
      </c>
      <c r="AB39" s="19">
        <v>0</v>
      </c>
      <c r="AC39" s="18" t="s">
        <v>97</v>
      </c>
      <c r="AD39" s="40">
        <v>0</v>
      </c>
      <c r="AE39" s="19">
        <v>0</v>
      </c>
      <c r="AF39" s="19">
        <v>0</v>
      </c>
      <c r="AG39" s="40">
        <v>0</v>
      </c>
      <c r="AH39" s="19">
        <v>0</v>
      </c>
      <c r="AI39" s="19">
        <v>0</v>
      </c>
      <c r="AJ39" s="18" t="s">
        <v>97</v>
      </c>
      <c r="AK39" s="40">
        <v>0</v>
      </c>
      <c r="AL39" s="19">
        <v>0</v>
      </c>
      <c r="AM39" s="19">
        <v>0</v>
      </c>
      <c r="AN39" s="40">
        <v>0</v>
      </c>
      <c r="AO39" s="19">
        <v>0</v>
      </c>
      <c r="AP39" s="19">
        <v>0</v>
      </c>
      <c r="AQ39" s="18" t="s">
        <v>97</v>
      </c>
      <c r="AR39" s="40">
        <v>0</v>
      </c>
      <c r="AS39" s="19">
        <v>0</v>
      </c>
      <c r="AT39" s="19">
        <v>0</v>
      </c>
      <c r="AU39" s="40">
        <v>0</v>
      </c>
      <c r="AV39" s="19">
        <v>0</v>
      </c>
      <c r="AW39" s="19">
        <v>0</v>
      </c>
      <c r="AX39" s="18" t="s">
        <v>97</v>
      </c>
      <c r="AY39" s="40">
        <v>0</v>
      </c>
      <c r="AZ39" s="19">
        <v>0</v>
      </c>
      <c r="BA39" s="19">
        <v>0</v>
      </c>
      <c r="BB39" s="40">
        <v>0</v>
      </c>
      <c r="BC39" s="40">
        <v>0</v>
      </c>
      <c r="BD39" s="19">
        <v>0</v>
      </c>
    </row>
    <row r="40" spans="1:56" ht="14.25" customHeight="1" x14ac:dyDescent="0.3">
      <c r="A40" s="18" t="s">
        <v>54</v>
      </c>
      <c r="B40" s="25" t="s">
        <v>80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8" t="s">
        <v>54</v>
      </c>
      <c r="I40" s="40">
        <v>0.25</v>
      </c>
      <c r="J40" s="19">
        <v>8</v>
      </c>
      <c r="K40" s="19">
        <v>4</v>
      </c>
      <c r="L40" s="40">
        <v>0.5</v>
      </c>
      <c r="M40" s="19">
        <v>1</v>
      </c>
      <c r="N40" s="19">
        <v>1</v>
      </c>
      <c r="O40" s="18" t="s">
        <v>54</v>
      </c>
      <c r="P40" s="40">
        <v>0</v>
      </c>
      <c r="Q40" s="19">
        <v>0</v>
      </c>
      <c r="R40" s="19">
        <v>0</v>
      </c>
      <c r="S40" s="40">
        <v>0</v>
      </c>
      <c r="T40" s="19">
        <v>0</v>
      </c>
      <c r="U40" s="19">
        <v>0</v>
      </c>
      <c r="V40" s="18" t="s">
        <v>54</v>
      </c>
      <c r="W40" s="40">
        <v>0.54</v>
      </c>
      <c r="X40" s="19">
        <v>13</v>
      </c>
      <c r="Y40" s="19">
        <v>8</v>
      </c>
      <c r="Z40" s="40">
        <v>0.62</v>
      </c>
      <c r="AA40" s="19">
        <v>0</v>
      </c>
      <c r="AB40" s="19">
        <v>1</v>
      </c>
      <c r="AC40" s="18" t="s">
        <v>54</v>
      </c>
      <c r="AD40" s="40">
        <v>0</v>
      </c>
      <c r="AE40" s="19">
        <v>0</v>
      </c>
      <c r="AF40" s="19">
        <v>0</v>
      </c>
      <c r="AG40" s="40">
        <v>0</v>
      </c>
      <c r="AH40" s="19">
        <v>0</v>
      </c>
      <c r="AI40" s="19">
        <v>0</v>
      </c>
      <c r="AJ40" s="18" t="s">
        <v>54</v>
      </c>
      <c r="AK40" s="40">
        <v>0</v>
      </c>
      <c r="AL40" s="19">
        <v>0</v>
      </c>
      <c r="AM40" s="19">
        <v>0</v>
      </c>
      <c r="AN40" s="40">
        <v>0</v>
      </c>
      <c r="AO40" s="19">
        <v>0</v>
      </c>
      <c r="AP40" s="19">
        <v>0</v>
      </c>
      <c r="AQ40" s="18" t="s">
        <v>54</v>
      </c>
      <c r="AR40" s="40">
        <v>0</v>
      </c>
      <c r="AS40" s="19">
        <v>0</v>
      </c>
      <c r="AT40" s="19">
        <v>0</v>
      </c>
      <c r="AU40" s="40">
        <v>0</v>
      </c>
      <c r="AV40" s="19">
        <v>0</v>
      </c>
      <c r="AW40" s="19">
        <v>0</v>
      </c>
      <c r="AX40" s="18" t="s">
        <v>54</v>
      </c>
      <c r="AY40" s="40">
        <v>-0.28999999999999998</v>
      </c>
      <c r="AZ40" s="19">
        <v>17</v>
      </c>
      <c r="BA40" s="19">
        <v>1</v>
      </c>
      <c r="BB40" s="40">
        <v>0.06</v>
      </c>
      <c r="BC40" s="40">
        <v>0.12</v>
      </c>
      <c r="BD40" s="19">
        <v>7</v>
      </c>
    </row>
    <row r="41" spans="1:56" ht="14.25" customHeight="1" x14ac:dyDescent="0.3">
      <c r="A41" s="18" t="s">
        <v>87</v>
      </c>
      <c r="B41" s="25" t="s">
        <v>80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8" t="s">
        <v>87</v>
      </c>
      <c r="I41" s="40">
        <v>0</v>
      </c>
      <c r="J41" s="19">
        <v>0</v>
      </c>
      <c r="K41" s="19">
        <v>0</v>
      </c>
      <c r="L41" s="40">
        <v>0</v>
      </c>
      <c r="M41" s="19">
        <v>0</v>
      </c>
      <c r="N41" s="19">
        <v>0</v>
      </c>
      <c r="O41" s="18" t="s">
        <v>87</v>
      </c>
      <c r="P41" s="40">
        <v>0</v>
      </c>
      <c r="Q41" s="19">
        <v>0</v>
      </c>
      <c r="R41" s="19">
        <v>0</v>
      </c>
      <c r="S41" s="40">
        <v>0</v>
      </c>
      <c r="T41" s="19">
        <v>0</v>
      </c>
      <c r="U41" s="19">
        <v>0</v>
      </c>
      <c r="V41" s="18" t="s">
        <v>87</v>
      </c>
      <c r="W41" s="40">
        <v>0</v>
      </c>
      <c r="X41" s="19">
        <v>0</v>
      </c>
      <c r="Y41" s="19">
        <v>0</v>
      </c>
      <c r="Z41" s="40">
        <v>0</v>
      </c>
      <c r="AA41" s="19">
        <v>0</v>
      </c>
      <c r="AB41" s="19">
        <v>0</v>
      </c>
      <c r="AC41" s="18" t="s">
        <v>87</v>
      </c>
      <c r="AD41" s="40">
        <v>0</v>
      </c>
      <c r="AE41" s="19">
        <v>0</v>
      </c>
      <c r="AF41" s="19">
        <v>0</v>
      </c>
      <c r="AG41" s="40">
        <v>0</v>
      </c>
      <c r="AH41" s="19">
        <v>0</v>
      </c>
      <c r="AI41" s="19">
        <v>0</v>
      </c>
      <c r="AJ41" s="18" t="s">
        <v>87</v>
      </c>
      <c r="AK41" s="40">
        <v>0</v>
      </c>
      <c r="AL41" s="19">
        <v>0</v>
      </c>
      <c r="AM41" s="19">
        <v>0</v>
      </c>
      <c r="AN41" s="40">
        <v>0</v>
      </c>
      <c r="AO41" s="19">
        <v>0</v>
      </c>
      <c r="AP41" s="19">
        <v>0</v>
      </c>
      <c r="AQ41" s="18" t="s">
        <v>87</v>
      </c>
      <c r="AR41" s="40">
        <v>0</v>
      </c>
      <c r="AS41" s="19">
        <v>0</v>
      </c>
      <c r="AT41" s="19">
        <v>0</v>
      </c>
      <c r="AU41" s="40">
        <v>0</v>
      </c>
      <c r="AV41" s="19">
        <v>0</v>
      </c>
      <c r="AW41" s="19">
        <v>0</v>
      </c>
      <c r="AX41" s="18" t="s">
        <v>87</v>
      </c>
      <c r="AY41" s="40">
        <v>0</v>
      </c>
      <c r="AZ41" s="19">
        <v>0</v>
      </c>
      <c r="BA41" s="19">
        <v>0</v>
      </c>
      <c r="BB41" s="40">
        <v>0</v>
      </c>
      <c r="BC41" s="40">
        <v>0</v>
      </c>
      <c r="BD41" s="19">
        <v>0</v>
      </c>
    </row>
    <row r="42" spans="1:56" ht="14.25" customHeight="1" x14ac:dyDescent="0.3">
      <c r="A42" s="18" t="s">
        <v>94</v>
      </c>
      <c r="B42" s="39">
        <v>-8.3299999999999999E-2</v>
      </c>
      <c r="C42" s="19">
        <v>18</v>
      </c>
      <c r="D42" s="19">
        <v>0</v>
      </c>
      <c r="E42" s="19">
        <v>0</v>
      </c>
      <c r="F42" s="19">
        <v>1</v>
      </c>
      <c r="G42" s="19">
        <v>2</v>
      </c>
      <c r="H42" s="18" t="s">
        <v>94</v>
      </c>
      <c r="I42" s="40">
        <v>0</v>
      </c>
      <c r="J42" s="19">
        <v>0</v>
      </c>
      <c r="K42" s="19">
        <v>0</v>
      </c>
      <c r="L42" s="40">
        <v>0</v>
      </c>
      <c r="M42" s="19">
        <v>0</v>
      </c>
      <c r="N42" s="19">
        <v>0</v>
      </c>
      <c r="O42" s="18" t="s">
        <v>94</v>
      </c>
      <c r="P42" s="40">
        <v>0</v>
      </c>
      <c r="Q42" s="19">
        <v>0</v>
      </c>
      <c r="R42" s="19">
        <v>0</v>
      </c>
      <c r="S42" s="40">
        <v>0</v>
      </c>
      <c r="T42" s="19">
        <v>0</v>
      </c>
      <c r="U42" s="19">
        <v>0</v>
      </c>
      <c r="V42" s="18" t="s">
        <v>94</v>
      </c>
      <c r="W42" s="40">
        <v>0</v>
      </c>
      <c r="X42" s="19">
        <v>0</v>
      </c>
      <c r="Y42" s="19">
        <v>0</v>
      </c>
      <c r="Z42" s="40">
        <v>0</v>
      </c>
      <c r="AA42" s="19">
        <v>0</v>
      </c>
      <c r="AB42" s="19">
        <v>0</v>
      </c>
      <c r="AC42" s="18" t="s">
        <v>94</v>
      </c>
      <c r="AD42" s="40">
        <v>0</v>
      </c>
      <c r="AE42" s="19">
        <v>0</v>
      </c>
      <c r="AF42" s="19">
        <v>0</v>
      </c>
      <c r="AG42" s="40">
        <v>0</v>
      </c>
      <c r="AH42" s="19">
        <v>0</v>
      </c>
      <c r="AI42" s="19">
        <v>0</v>
      </c>
      <c r="AJ42" s="18" t="s">
        <v>94</v>
      </c>
      <c r="AK42" s="40">
        <v>0</v>
      </c>
      <c r="AL42" s="19">
        <v>0</v>
      </c>
      <c r="AM42" s="19">
        <v>0</v>
      </c>
      <c r="AN42" s="40">
        <v>0</v>
      </c>
      <c r="AO42" s="19">
        <v>0</v>
      </c>
      <c r="AP42" s="19">
        <v>0</v>
      </c>
      <c r="AQ42" s="18" t="s">
        <v>94</v>
      </c>
      <c r="AR42" s="40">
        <v>0</v>
      </c>
      <c r="AS42" s="19">
        <v>0</v>
      </c>
      <c r="AT42" s="19">
        <v>0</v>
      </c>
      <c r="AU42" s="40">
        <v>0</v>
      </c>
      <c r="AV42" s="19">
        <v>0</v>
      </c>
      <c r="AW42" s="19">
        <v>0</v>
      </c>
      <c r="AX42" s="18" t="s">
        <v>94</v>
      </c>
      <c r="AY42" s="40">
        <v>0.33</v>
      </c>
      <c r="AZ42" s="19">
        <v>12</v>
      </c>
      <c r="BA42" s="19">
        <v>1</v>
      </c>
      <c r="BB42" s="40">
        <v>0.08</v>
      </c>
      <c r="BC42" s="40">
        <v>0.5</v>
      </c>
      <c r="BD42" s="19">
        <v>3</v>
      </c>
    </row>
    <row r="43" spans="1:56" ht="14.25" customHeight="1" x14ac:dyDescent="0.3">
      <c r="A43" s="18" t="s">
        <v>86</v>
      </c>
      <c r="B43" s="19">
        <v>0</v>
      </c>
      <c r="C43" s="19">
        <v>1</v>
      </c>
      <c r="D43" s="19">
        <v>0</v>
      </c>
      <c r="E43" s="19">
        <v>0</v>
      </c>
      <c r="F43" s="19">
        <v>0</v>
      </c>
      <c r="G43" s="19">
        <v>0</v>
      </c>
      <c r="H43" s="18" t="s">
        <v>86</v>
      </c>
      <c r="I43" s="40">
        <v>0</v>
      </c>
      <c r="J43" s="19">
        <v>0</v>
      </c>
      <c r="K43" s="19">
        <v>0</v>
      </c>
      <c r="L43" s="40">
        <v>0</v>
      </c>
      <c r="M43" s="19">
        <v>0</v>
      </c>
      <c r="N43" s="19">
        <v>0</v>
      </c>
      <c r="O43" s="18" t="s">
        <v>86</v>
      </c>
      <c r="P43" s="40">
        <v>0.6</v>
      </c>
      <c r="Q43" s="19">
        <v>15</v>
      </c>
      <c r="R43" s="19">
        <v>9</v>
      </c>
      <c r="S43" s="40">
        <v>0.6</v>
      </c>
      <c r="T43" s="19">
        <v>0</v>
      </c>
      <c r="U43" s="19">
        <v>0</v>
      </c>
      <c r="V43" s="18" t="s">
        <v>86</v>
      </c>
      <c r="W43" s="40">
        <v>0</v>
      </c>
      <c r="X43" s="19">
        <v>0</v>
      </c>
      <c r="Y43" s="19">
        <v>0</v>
      </c>
      <c r="Z43" s="40">
        <v>0</v>
      </c>
      <c r="AA43" s="19">
        <v>0</v>
      </c>
      <c r="AB43" s="19">
        <v>0</v>
      </c>
      <c r="AC43" s="18" t="s">
        <v>86</v>
      </c>
      <c r="AD43" s="40">
        <v>0</v>
      </c>
      <c r="AE43" s="19">
        <v>0</v>
      </c>
      <c r="AF43" s="19">
        <v>0</v>
      </c>
      <c r="AG43" s="40">
        <v>0</v>
      </c>
      <c r="AH43" s="19">
        <v>0</v>
      </c>
      <c r="AI43" s="19">
        <v>0</v>
      </c>
      <c r="AJ43" s="18" t="s">
        <v>86</v>
      </c>
      <c r="AK43" s="40">
        <v>0</v>
      </c>
      <c r="AL43" s="19">
        <v>0</v>
      </c>
      <c r="AM43" s="19">
        <v>0</v>
      </c>
      <c r="AN43" s="40">
        <v>0</v>
      </c>
      <c r="AO43" s="19">
        <v>0</v>
      </c>
      <c r="AP43" s="19">
        <v>0</v>
      </c>
      <c r="AQ43" s="18" t="s">
        <v>86</v>
      </c>
      <c r="AR43" s="40">
        <v>0</v>
      </c>
      <c r="AS43" s="19">
        <v>4</v>
      </c>
      <c r="AT43" s="19">
        <v>1</v>
      </c>
      <c r="AU43" s="40">
        <v>0.25</v>
      </c>
      <c r="AV43" s="19">
        <v>0</v>
      </c>
      <c r="AW43" s="19">
        <v>1</v>
      </c>
      <c r="AX43" s="18" t="s">
        <v>86</v>
      </c>
      <c r="AY43" s="40">
        <v>0.22</v>
      </c>
      <c r="AZ43" s="19">
        <v>9</v>
      </c>
      <c r="BA43" s="19">
        <v>1</v>
      </c>
      <c r="BB43" s="40">
        <v>0.11</v>
      </c>
      <c r="BC43" s="40">
        <v>0.44</v>
      </c>
      <c r="BD43" s="19">
        <v>3</v>
      </c>
    </row>
    <row r="44" spans="1:56" ht="14.25" customHeight="1" x14ac:dyDescent="0.3">
      <c r="A44" s="18" t="s">
        <v>85</v>
      </c>
      <c r="B44" s="19">
        <v>0</v>
      </c>
      <c r="C44" s="19">
        <v>1</v>
      </c>
      <c r="D44" s="19">
        <v>0</v>
      </c>
      <c r="E44" s="19">
        <v>0</v>
      </c>
      <c r="F44" s="19">
        <v>0</v>
      </c>
      <c r="G44" s="19">
        <v>0</v>
      </c>
      <c r="H44" s="18" t="s">
        <v>85</v>
      </c>
      <c r="I44" s="40">
        <v>0</v>
      </c>
      <c r="J44" s="19">
        <v>0</v>
      </c>
      <c r="K44" s="19">
        <v>0</v>
      </c>
      <c r="L44" s="40">
        <v>0</v>
      </c>
      <c r="M44" s="19">
        <v>0</v>
      </c>
      <c r="N44" s="19">
        <v>0</v>
      </c>
      <c r="O44" s="18" t="s">
        <v>85</v>
      </c>
      <c r="P44" s="40">
        <v>0.41</v>
      </c>
      <c r="Q44" s="19">
        <v>17</v>
      </c>
      <c r="R44" s="19">
        <v>8</v>
      </c>
      <c r="S44" s="40">
        <v>0.47</v>
      </c>
      <c r="T44" s="19">
        <v>0</v>
      </c>
      <c r="U44" s="19">
        <v>1</v>
      </c>
      <c r="V44" s="18" t="s">
        <v>85</v>
      </c>
      <c r="W44" s="40">
        <v>0</v>
      </c>
      <c r="X44" s="19">
        <v>0</v>
      </c>
      <c r="Y44" s="19">
        <v>0</v>
      </c>
      <c r="Z44" s="40">
        <v>0</v>
      </c>
      <c r="AA44" s="19">
        <v>0</v>
      </c>
      <c r="AB44" s="19">
        <v>0</v>
      </c>
      <c r="AC44" s="18" t="s">
        <v>85</v>
      </c>
      <c r="AD44" s="40">
        <v>0</v>
      </c>
      <c r="AE44" s="19">
        <v>0</v>
      </c>
      <c r="AF44" s="19">
        <v>0</v>
      </c>
      <c r="AG44" s="40">
        <v>0</v>
      </c>
      <c r="AH44" s="19">
        <v>0</v>
      </c>
      <c r="AI44" s="19">
        <v>0</v>
      </c>
      <c r="AJ44" s="18" t="s">
        <v>85</v>
      </c>
      <c r="AK44" s="40">
        <v>0</v>
      </c>
      <c r="AL44" s="19">
        <v>0</v>
      </c>
      <c r="AM44" s="19">
        <v>0</v>
      </c>
      <c r="AN44" s="40">
        <v>0</v>
      </c>
      <c r="AO44" s="19">
        <v>0</v>
      </c>
      <c r="AP44" s="19">
        <v>0</v>
      </c>
      <c r="AQ44" s="18" t="s">
        <v>85</v>
      </c>
      <c r="AR44" s="40">
        <v>0</v>
      </c>
      <c r="AS44" s="19">
        <v>0</v>
      </c>
      <c r="AT44" s="19">
        <v>0</v>
      </c>
      <c r="AU44" s="40">
        <v>0</v>
      </c>
      <c r="AV44" s="19">
        <v>0</v>
      </c>
      <c r="AW44" s="19">
        <v>0</v>
      </c>
      <c r="AX44" s="18" t="s">
        <v>85</v>
      </c>
      <c r="AY44" s="40">
        <v>-0.33</v>
      </c>
      <c r="AZ44" s="19">
        <v>3</v>
      </c>
      <c r="BA44" s="19">
        <v>1</v>
      </c>
      <c r="BB44" s="40">
        <v>0.33</v>
      </c>
      <c r="BC44" s="40">
        <v>0</v>
      </c>
      <c r="BD44" s="19">
        <v>2</v>
      </c>
    </row>
    <row r="45" spans="1:56" ht="14.25" customHeight="1" x14ac:dyDescent="0.3">
      <c r="A45" s="18" t="s">
        <v>67</v>
      </c>
      <c r="B45" s="39">
        <v>9.6199999999999994E-2</v>
      </c>
      <c r="C45" s="19">
        <v>13</v>
      </c>
      <c r="D45" s="19">
        <v>1</v>
      </c>
      <c r="E45" s="19">
        <v>1</v>
      </c>
      <c r="F45" s="19">
        <v>0</v>
      </c>
      <c r="G45" s="19">
        <v>0</v>
      </c>
      <c r="H45" s="18" t="s">
        <v>67</v>
      </c>
      <c r="I45" s="40">
        <v>0</v>
      </c>
      <c r="J45" s="19">
        <v>0</v>
      </c>
      <c r="K45" s="19">
        <v>0</v>
      </c>
      <c r="L45" s="40">
        <v>0</v>
      </c>
      <c r="M45" s="19">
        <v>0</v>
      </c>
      <c r="N45" s="19">
        <v>0</v>
      </c>
      <c r="O45" s="18" t="s">
        <v>67</v>
      </c>
      <c r="P45" s="40">
        <v>0</v>
      </c>
      <c r="Q45" s="19">
        <v>0</v>
      </c>
      <c r="R45" s="19">
        <v>0</v>
      </c>
      <c r="S45" s="40">
        <v>0</v>
      </c>
      <c r="T45" s="19">
        <v>0</v>
      </c>
      <c r="U45" s="19">
        <v>0</v>
      </c>
      <c r="V45" s="18" t="s">
        <v>67</v>
      </c>
      <c r="W45" s="40">
        <v>0</v>
      </c>
      <c r="X45" s="19">
        <v>0</v>
      </c>
      <c r="Y45" s="19">
        <v>0</v>
      </c>
      <c r="Z45" s="40">
        <v>0</v>
      </c>
      <c r="AA45" s="19">
        <v>0</v>
      </c>
      <c r="AB45" s="19">
        <v>0</v>
      </c>
      <c r="AC45" s="18" t="s">
        <v>67</v>
      </c>
      <c r="AD45" s="40">
        <v>0.33</v>
      </c>
      <c r="AE45" s="19">
        <v>6</v>
      </c>
      <c r="AF45" s="19">
        <v>3</v>
      </c>
      <c r="AG45" s="40">
        <v>0.5</v>
      </c>
      <c r="AH45" s="19">
        <v>0</v>
      </c>
      <c r="AI45" s="19">
        <v>1</v>
      </c>
      <c r="AJ45" s="18" t="s">
        <v>67</v>
      </c>
      <c r="AK45" s="40">
        <v>0</v>
      </c>
      <c r="AL45" s="19">
        <v>0</v>
      </c>
      <c r="AM45" s="19">
        <v>0</v>
      </c>
      <c r="AN45" s="40">
        <v>0</v>
      </c>
      <c r="AO45" s="19">
        <v>0</v>
      </c>
      <c r="AP45" s="19">
        <v>0</v>
      </c>
      <c r="AQ45" s="18" t="s">
        <v>67</v>
      </c>
      <c r="AR45" s="40">
        <v>0</v>
      </c>
      <c r="AS45" s="19">
        <v>0</v>
      </c>
      <c r="AT45" s="19">
        <v>0</v>
      </c>
      <c r="AU45" s="40">
        <v>0</v>
      </c>
      <c r="AV45" s="19">
        <v>0</v>
      </c>
      <c r="AW45" s="19">
        <v>0</v>
      </c>
      <c r="AX45" s="18" t="s">
        <v>67</v>
      </c>
      <c r="AY45" s="40">
        <v>0.6</v>
      </c>
      <c r="AZ45" s="19">
        <v>5</v>
      </c>
      <c r="BA45" s="19">
        <v>1</v>
      </c>
      <c r="BB45" s="40">
        <v>0.2</v>
      </c>
      <c r="BC45" s="40">
        <v>0.4</v>
      </c>
      <c r="BD45" s="19">
        <v>0</v>
      </c>
    </row>
    <row r="46" spans="1:56" ht="14.25" customHeight="1" x14ac:dyDescent="0.3">
      <c r="A46" s="18" t="s">
        <v>88</v>
      </c>
      <c r="B46" s="19">
        <v>0</v>
      </c>
      <c r="C46" s="19">
        <v>1</v>
      </c>
      <c r="D46" s="19">
        <v>0</v>
      </c>
      <c r="E46" s="19">
        <v>0</v>
      </c>
      <c r="F46" s="19">
        <v>0</v>
      </c>
      <c r="G46" s="19">
        <v>0</v>
      </c>
      <c r="H46" s="18" t="s">
        <v>88</v>
      </c>
      <c r="I46" s="40">
        <v>0</v>
      </c>
      <c r="J46" s="19">
        <v>0</v>
      </c>
      <c r="K46" s="19">
        <v>0</v>
      </c>
      <c r="L46" s="40">
        <v>0</v>
      </c>
      <c r="M46" s="19">
        <v>0</v>
      </c>
      <c r="N46" s="19">
        <v>0</v>
      </c>
      <c r="O46" s="18" t="s">
        <v>88</v>
      </c>
      <c r="P46" s="40">
        <v>0</v>
      </c>
      <c r="Q46" s="19">
        <v>0</v>
      </c>
      <c r="R46" s="19">
        <v>0</v>
      </c>
      <c r="S46" s="40">
        <v>0</v>
      </c>
      <c r="T46" s="19">
        <v>0</v>
      </c>
      <c r="U46" s="19">
        <v>0</v>
      </c>
      <c r="V46" s="18" t="s">
        <v>88</v>
      </c>
      <c r="W46" s="40">
        <v>0</v>
      </c>
      <c r="X46" s="19">
        <v>0</v>
      </c>
      <c r="Y46" s="19">
        <v>0</v>
      </c>
      <c r="Z46" s="40">
        <v>0</v>
      </c>
      <c r="AA46" s="19">
        <v>0</v>
      </c>
      <c r="AB46" s="19">
        <v>0</v>
      </c>
      <c r="AC46" s="18" t="s">
        <v>88</v>
      </c>
      <c r="AD46" s="40">
        <v>0</v>
      </c>
      <c r="AE46" s="19">
        <v>0</v>
      </c>
      <c r="AF46" s="19">
        <v>0</v>
      </c>
      <c r="AG46" s="40">
        <v>0</v>
      </c>
      <c r="AH46" s="19">
        <v>0</v>
      </c>
      <c r="AI46" s="19">
        <v>0</v>
      </c>
      <c r="AJ46" s="18" t="s">
        <v>88</v>
      </c>
      <c r="AK46" s="40">
        <v>0</v>
      </c>
      <c r="AL46" s="19">
        <v>0</v>
      </c>
      <c r="AM46" s="19">
        <v>0</v>
      </c>
      <c r="AN46" s="40">
        <v>0</v>
      </c>
      <c r="AO46" s="19">
        <v>0</v>
      </c>
      <c r="AP46" s="19">
        <v>0</v>
      </c>
      <c r="AQ46" s="18" t="s">
        <v>88</v>
      </c>
      <c r="AR46" s="40">
        <v>0</v>
      </c>
      <c r="AS46" s="19">
        <v>0</v>
      </c>
      <c r="AT46" s="19">
        <v>0</v>
      </c>
      <c r="AU46" s="40">
        <v>0</v>
      </c>
      <c r="AV46" s="19">
        <v>0</v>
      </c>
      <c r="AW46" s="19">
        <v>0</v>
      </c>
      <c r="AX46" s="18" t="s">
        <v>88</v>
      </c>
      <c r="AY46" s="40">
        <v>0</v>
      </c>
      <c r="AZ46" s="19">
        <v>0</v>
      </c>
      <c r="BA46" s="19">
        <v>0</v>
      </c>
      <c r="BB46" s="40">
        <v>0</v>
      </c>
      <c r="BC46" s="40">
        <v>0</v>
      </c>
      <c r="BD46" s="19">
        <v>0</v>
      </c>
    </row>
    <row r="47" spans="1:56" ht="14.25" customHeight="1" x14ac:dyDescent="0.3">
      <c r="A47" s="18" t="s">
        <v>69</v>
      </c>
      <c r="B47" s="25" t="s">
        <v>80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8" t="s">
        <v>69</v>
      </c>
      <c r="I47" s="40">
        <v>0</v>
      </c>
      <c r="J47" s="19">
        <v>0</v>
      </c>
      <c r="K47" s="19">
        <v>0</v>
      </c>
      <c r="L47" s="40">
        <v>0</v>
      </c>
      <c r="M47" s="19">
        <v>0</v>
      </c>
      <c r="N47" s="19">
        <v>0</v>
      </c>
      <c r="O47" s="18" t="s">
        <v>69</v>
      </c>
      <c r="P47" s="40">
        <v>0</v>
      </c>
      <c r="Q47" s="19">
        <v>0</v>
      </c>
      <c r="R47" s="19">
        <v>0</v>
      </c>
      <c r="S47" s="40">
        <v>0</v>
      </c>
      <c r="T47" s="19">
        <v>0</v>
      </c>
      <c r="U47" s="19">
        <v>0</v>
      </c>
      <c r="V47" s="18" t="s">
        <v>69</v>
      </c>
      <c r="W47" s="40">
        <v>0</v>
      </c>
      <c r="X47" s="19">
        <v>0</v>
      </c>
      <c r="Y47" s="19">
        <v>0</v>
      </c>
      <c r="Z47" s="40">
        <v>0</v>
      </c>
      <c r="AA47" s="19">
        <v>0</v>
      </c>
      <c r="AB47" s="19">
        <v>0</v>
      </c>
      <c r="AC47" s="18" t="s">
        <v>69</v>
      </c>
      <c r="AD47" s="40">
        <v>0</v>
      </c>
      <c r="AE47" s="19">
        <v>0</v>
      </c>
      <c r="AF47" s="19">
        <v>0</v>
      </c>
      <c r="AG47" s="40">
        <v>0</v>
      </c>
      <c r="AH47" s="19">
        <v>0</v>
      </c>
      <c r="AI47" s="19">
        <v>0</v>
      </c>
      <c r="AJ47" s="18" t="s">
        <v>69</v>
      </c>
      <c r="AK47" s="40">
        <v>0</v>
      </c>
      <c r="AL47" s="19">
        <v>0</v>
      </c>
      <c r="AM47" s="19">
        <v>0</v>
      </c>
      <c r="AN47" s="40">
        <v>0</v>
      </c>
      <c r="AO47" s="19">
        <v>0</v>
      </c>
      <c r="AP47" s="19">
        <v>0</v>
      </c>
      <c r="AQ47" s="18" t="s">
        <v>69</v>
      </c>
      <c r="AR47" s="40">
        <v>0</v>
      </c>
      <c r="AS47" s="19">
        <v>0</v>
      </c>
      <c r="AT47" s="19">
        <v>0</v>
      </c>
      <c r="AU47" s="40">
        <v>0</v>
      </c>
      <c r="AV47" s="19">
        <v>0</v>
      </c>
      <c r="AW47" s="19">
        <v>0</v>
      </c>
      <c r="AX47" s="18" t="s">
        <v>69</v>
      </c>
      <c r="AY47" s="40">
        <v>0</v>
      </c>
      <c r="AZ47" s="19">
        <v>0</v>
      </c>
      <c r="BA47" s="19">
        <v>0</v>
      </c>
      <c r="BB47" s="40">
        <v>0</v>
      </c>
      <c r="BC47" s="40">
        <v>0</v>
      </c>
      <c r="BD47" s="19">
        <v>0</v>
      </c>
    </row>
    <row r="48" spans="1:56" ht="14.25" customHeight="1" x14ac:dyDescent="0.3">
      <c r="A48" s="27" t="s">
        <v>66</v>
      </c>
      <c r="B48" s="25" t="s">
        <v>80</v>
      </c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27" t="s">
        <v>66</v>
      </c>
      <c r="I48" s="40">
        <v>0</v>
      </c>
      <c r="J48" s="19">
        <v>0</v>
      </c>
      <c r="K48" s="19">
        <v>0</v>
      </c>
      <c r="L48" s="40">
        <v>0</v>
      </c>
      <c r="M48" s="19">
        <v>0</v>
      </c>
      <c r="N48" s="19">
        <v>0</v>
      </c>
      <c r="O48" s="27" t="s">
        <v>66</v>
      </c>
      <c r="P48" s="40">
        <v>0</v>
      </c>
      <c r="Q48" s="19">
        <v>0</v>
      </c>
      <c r="R48" s="19">
        <v>0</v>
      </c>
      <c r="S48" s="40">
        <v>0</v>
      </c>
      <c r="T48" s="19">
        <v>0</v>
      </c>
      <c r="U48" s="19">
        <v>0</v>
      </c>
      <c r="V48" s="27" t="s">
        <v>66</v>
      </c>
      <c r="W48" s="40">
        <v>0</v>
      </c>
      <c r="X48" s="19">
        <v>0</v>
      </c>
      <c r="Y48" s="19">
        <v>0</v>
      </c>
      <c r="Z48" s="40">
        <v>0</v>
      </c>
      <c r="AA48" s="19">
        <v>0</v>
      </c>
      <c r="AB48" s="19">
        <v>0</v>
      </c>
      <c r="AC48" s="27" t="s">
        <v>66</v>
      </c>
      <c r="AD48" s="41">
        <v>0</v>
      </c>
      <c r="AE48" s="29">
        <v>0</v>
      </c>
      <c r="AF48" s="29">
        <v>0</v>
      </c>
      <c r="AG48" s="41">
        <v>0</v>
      </c>
      <c r="AH48" s="29">
        <v>0</v>
      </c>
      <c r="AI48" s="29">
        <v>0</v>
      </c>
      <c r="AJ48" s="27" t="s">
        <v>66</v>
      </c>
      <c r="AK48" s="41">
        <v>0</v>
      </c>
      <c r="AL48" s="29">
        <v>0</v>
      </c>
      <c r="AM48" s="29">
        <v>0</v>
      </c>
      <c r="AN48" s="41">
        <v>0</v>
      </c>
      <c r="AO48" s="29">
        <v>0</v>
      </c>
      <c r="AP48" s="29">
        <v>0</v>
      </c>
      <c r="AQ48" s="27" t="s">
        <v>66</v>
      </c>
      <c r="AR48" s="40">
        <v>0</v>
      </c>
      <c r="AS48" s="19">
        <v>0</v>
      </c>
      <c r="AT48" s="19">
        <v>0</v>
      </c>
      <c r="AU48" s="40">
        <v>0</v>
      </c>
      <c r="AV48" s="19">
        <v>0</v>
      </c>
      <c r="AW48" s="19">
        <v>0</v>
      </c>
      <c r="AX48" s="27" t="s">
        <v>66</v>
      </c>
      <c r="AY48" s="41">
        <v>0</v>
      </c>
      <c r="AZ48" s="29">
        <v>0</v>
      </c>
      <c r="BA48" s="29">
        <v>0</v>
      </c>
      <c r="BB48" s="41">
        <v>0</v>
      </c>
      <c r="BC48" s="41">
        <v>0</v>
      </c>
      <c r="BD48" s="29">
        <v>0</v>
      </c>
    </row>
    <row r="49" spans="1:56" ht="14.25" customHeight="1" x14ac:dyDescent="0.3">
      <c r="A49" s="27" t="s">
        <v>110</v>
      </c>
      <c r="B49" s="25" t="s">
        <v>80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7" t="s">
        <v>110</v>
      </c>
      <c r="I49" s="40">
        <v>0</v>
      </c>
      <c r="J49" s="19">
        <v>0</v>
      </c>
      <c r="K49" s="19">
        <v>0</v>
      </c>
      <c r="L49" s="40">
        <v>0</v>
      </c>
      <c r="M49" s="19">
        <v>0</v>
      </c>
      <c r="N49" s="19">
        <v>0</v>
      </c>
      <c r="O49" s="27" t="s">
        <v>110</v>
      </c>
      <c r="P49" s="40">
        <v>0</v>
      </c>
      <c r="Q49" s="19">
        <v>0</v>
      </c>
      <c r="R49" s="19">
        <v>0</v>
      </c>
      <c r="S49" s="40">
        <v>0</v>
      </c>
      <c r="T49" s="19">
        <v>0</v>
      </c>
      <c r="U49" s="19">
        <v>0</v>
      </c>
      <c r="V49" s="27" t="s">
        <v>110</v>
      </c>
      <c r="W49" s="40">
        <v>0</v>
      </c>
      <c r="X49" s="19">
        <v>0</v>
      </c>
      <c r="Y49" s="19">
        <v>0</v>
      </c>
      <c r="Z49" s="40">
        <v>0</v>
      </c>
      <c r="AA49" s="19">
        <v>0</v>
      </c>
      <c r="AB49" s="19">
        <v>0</v>
      </c>
      <c r="AC49" s="27" t="s">
        <v>110</v>
      </c>
      <c r="AD49" s="41">
        <v>0</v>
      </c>
      <c r="AE49" s="29">
        <v>0</v>
      </c>
      <c r="AF49" s="29">
        <v>0</v>
      </c>
      <c r="AG49" s="41">
        <v>0</v>
      </c>
      <c r="AH49" s="29">
        <v>0</v>
      </c>
      <c r="AI49" s="29">
        <v>0</v>
      </c>
      <c r="AJ49" s="27" t="s">
        <v>110</v>
      </c>
      <c r="AK49" s="41">
        <v>0</v>
      </c>
      <c r="AL49" s="29">
        <v>0</v>
      </c>
      <c r="AM49" s="29">
        <v>0</v>
      </c>
      <c r="AN49" s="41">
        <v>0</v>
      </c>
      <c r="AO49" s="29">
        <v>0</v>
      </c>
      <c r="AP49" s="29">
        <v>0</v>
      </c>
      <c r="AQ49" s="27" t="s">
        <v>110</v>
      </c>
      <c r="AR49" s="40">
        <v>0</v>
      </c>
      <c r="AS49" s="19">
        <v>0</v>
      </c>
      <c r="AT49" s="19">
        <v>0</v>
      </c>
      <c r="AU49" s="40">
        <v>0</v>
      </c>
      <c r="AV49" s="19">
        <v>0</v>
      </c>
      <c r="AW49" s="19">
        <v>0</v>
      </c>
      <c r="AX49" s="27" t="s">
        <v>110</v>
      </c>
      <c r="AY49" s="41">
        <v>0</v>
      </c>
      <c r="AZ49" s="29">
        <v>0</v>
      </c>
      <c r="BA49" s="29">
        <v>0</v>
      </c>
      <c r="BB49" s="41">
        <v>0</v>
      </c>
      <c r="BC49" s="41">
        <v>0</v>
      </c>
      <c r="BD49" s="29">
        <v>0</v>
      </c>
    </row>
    <row r="50" spans="1:56" ht="14.25" customHeight="1" x14ac:dyDescent="0.3">
      <c r="A50" s="10"/>
      <c r="B50" s="10"/>
      <c r="C50" s="10"/>
      <c r="D50" s="10"/>
      <c r="E50" s="10"/>
      <c r="F50" s="10"/>
      <c r="G50" s="1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</row>
    <row r="51" spans="1:56" ht="14.25" customHeight="1" x14ac:dyDescent="0.3">
      <c r="A51" s="18" t="s">
        <v>111</v>
      </c>
      <c r="B51" s="12" t="s">
        <v>101</v>
      </c>
      <c r="C51" s="12" t="s">
        <v>102</v>
      </c>
      <c r="D51" s="12" t="s">
        <v>26</v>
      </c>
      <c r="E51" s="12" t="s">
        <v>103</v>
      </c>
      <c r="F51" s="12" t="s">
        <v>104</v>
      </c>
      <c r="G51" s="12" t="s">
        <v>105</v>
      </c>
      <c r="H51" s="18" t="s">
        <v>83</v>
      </c>
      <c r="I51" s="12" t="s">
        <v>101</v>
      </c>
      <c r="J51" s="12" t="s">
        <v>102</v>
      </c>
      <c r="K51" s="12" t="s">
        <v>26</v>
      </c>
      <c r="L51" s="12" t="s">
        <v>106</v>
      </c>
      <c r="M51" s="12" t="s">
        <v>104</v>
      </c>
      <c r="N51" s="12" t="s">
        <v>105</v>
      </c>
      <c r="O51" s="18" t="s">
        <v>73</v>
      </c>
      <c r="P51" s="12" t="s">
        <v>101</v>
      </c>
      <c r="Q51" s="12" t="s">
        <v>102</v>
      </c>
      <c r="R51" s="12" t="s">
        <v>26</v>
      </c>
      <c r="S51" s="12" t="s">
        <v>106</v>
      </c>
      <c r="T51" s="12" t="s">
        <v>104</v>
      </c>
      <c r="U51" s="12" t="s">
        <v>105</v>
      </c>
      <c r="V51" s="18" t="s">
        <v>79</v>
      </c>
      <c r="W51" s="12" t="s">
        <v>101</v>
      </c>
      <c r="X51" s="12" t="s">
        <v>102</v>
      </c>
      <c r="Y51" s="12" t="s">
        <v>26</v>
      </c>
      <c r="Z51" s="12" t="s">
        <v>106</v>
      </c>
      <c r="AA51" s="12" t="s">
        <v>104</v>
      </c>
      <c r="AB51" s="12" t="s">
        <v>105</v>
      </c>
      <c r="AC51" s="18" t="s">
        <v>77</v>
      </c>
      <c r="AD51" s="12" t="s">
        <v>101</v>
      </c>
      <c r="AE51" s="12" t="s">
        <v>102</v>
      </c>
      <c r="AF51" s="12" t="s">
        <v>26</v>
      </c>
      <c r="AG51" s="12" t="s">
        <v>106</v>
      </c>
      <c r="AH51" s="12" t="s">
        <v>104</v>
      </c>
      <c r="AI51" s="12" t="s">
        <v>105</v>
      </c>
      <c r="AJ51" s="11" t="s">
        <v>81</v>
      </c>
      <c r="AK51" s="12" t="s">
        <v>101</v>
      </c>
      <c r="AL51" s="12" t="s">
        <v>102</v>
      </c>
      <c r="AM51" s="12" t="s">
        <v>26</v>
      </c>
      <c r="AN51" s="12" t="s">
        <v>106</v>
      </c>
      <c r="AO51" s="12" t="s">
        <v>104</v>
      </c>
      <c r="AP51" s="12" t="s">
        <v>105</v>
      </c>
      <c r="AQ51" s="18" t="s">
        <v>112</v>
      </c>
      <c r="AR51" s="12" t="s">
        <v>101</v>
      </c>
      <c r="AS51" s="12" t="s">
        <v>102</v>
      </c>
      <c r="AT51" s="12" t="s">
        <v>26</v>
      </c>
      <c r="AU51" s="12" t="s">
        <v>106</v>
      </c>
      <c r="AV51" s="12" t="s">
        <v>104</v>
      </c>
      <c r="AW51" s="12" t="s">
        <v>105</v>
      </c>
      <c r="AX51" s="18" t="s">
        <v>113</v>
      </c>
      <c r="AY51" s="12" t="s">
        <v>101</v>
      </c>
      <c r="AZ51" s="12" t="s">
        <v>102</v>
      </c>
      <c r="BA51" s="12" t="s">
        <v>26</v>
      </c>
      <c r="BB51" s="12" t="s">
        <v>106</v>
      </c>
      <c r="BC51" s="12" t="s">
        <v>104</v>
      </c>
      <c r="BD51" s="12" t="s">
        <v>105</v>
      </c>
    </row>
    <row r="52" spans="1:56" ht="14.25" customHeight="1" x14ac:dyDescent="0.3">
      <c r="A52" s="11" t="s">
        <v>109</v>
      </c>
      <c r="B52" s="39">
        <v>-0.19389999999999999</v>
      </c>
      <c r="C52" s="19">
        <v>49</v>
      </c>
      <c r="D52" s="19">
        <v>5</v>
      </c>
      <c r="E52" s="19">
        <v>2</v>
      </c>
      <c r="F52" s="19">
        <v>2</v>
      </c>
      <c r="G52" s="19">
        <v>16</v>
      </c>
      <c r="H52" s="18" t="s">
        <v>109</v>
      </c>
      <c r="I52" s="40">
        <v>0.5</v>
      </c>
      <c r="J52" s="19">
        <v>4</v>
      </c>
      <c r="K52" s="19">
        <v>2</v>
      </c>
      <c r="L52" s="40">
        <v>0.5</v>
      </c>
      <c r="M52" s="19">
        <v>0</v>
      </c>
      <c r="N52" s="19">
        <v>0</v>
      </c>
      <c r="O52" s="18" t="s">
        <v>109</v>
      </c>
      <c r="P52" s="40">
        <v>0</v>
      </c>
      <c r="Q52" s="19">
        <v>0</v>
      </c>
      <c r="R52" s="19">
        <v>0</v>
      </c>
      <c r="S52" s="40">
        <v>0</v>
      </c>
      <c r="T52" s="19">
        <v>0</v>
      </c>
      <c r="U52" s="19">
        <v>0</v>
      </c>
      <c r="V52" s="18" t="s">
        <v>109</v>
      </c>
      <c r="W52" s="40">
        <v>0</v>
      </c>
      <c r="X52" s="19">
        <v>0</v>
      </c>
      <c r="Y52" s="19">
        <v>0</v>
      </c>
      <c r="Z52" s="40">
        <v>0</v>
      </c>
      <c r="AA52" s="19">
        <v>0</v>
      </c>
      <c r="AB52" s="19">
        <v>0</v>
      </c>
      <c r="AC52" s="18" t="s">
        <v>109</v>
      </c>
      <c r="AD52" s="40">
        <v>0.9</v>
      </c>
      <c r="AE52" s="19">
        <v>10</v>
      </c>
      <c r="AF52" s="19">
        <v>9</v>
      </c>
      <c r="AG52" s="40">
        <v>0.9</v>
      </c>
      <c r="AH52" s="19">
        <v>0</v>
      </c>
      <c r="AI52" s="19">
        <v>0</v>
      </c>
      <c r="AJ52" s="18" t="s">
        <v>109</v>
      </c>
      <c r="AK52" s="40">
        <v>1</v>
      </c>
      <c r="AL52" s="19">
        <v>1</v>
      </c>
      <c r="AM52" s="19">
        <v>1</v>
      </c>
      <c r="AN52" s="40">
        <v>1</v>
      </c>
      <c r="AO52" s="19">
        <v>0</v>
      </c>
      <c r="AP52" s="19">
        <v>0</v>
      </c>
      <c r="AQ52" s="18" t="s">
        <v>109</v>
      </c>
      <c r="AR52" s="40">
        <v>0.38</v>
      </c>
      <c r="AS52" s="19">
        <v>56</v>
      </c>
      <c r="AT52" s="19">
        <v>26</v>
      </c>
      <c r="AU52" s="40">
        <v>0.46</v>
      </c>
      <c r="AV52" s="19">
        <v>2</v>
      </c>
      <c r="AW52" s="19">
        <v>3</v>
      </c>
      <c r="AX52" s="18" t="s">
        <v>109</v>
      </c>
      <c r="AY52" s="40">
        <v>0.45</v>
      </c>
      <c r="AZ52" s="19">
        <v>58</v>
      </c>
      <c r="BA52" s="19">
        <v>33</v>
      </c>
      <c r="BB52" s="40">
        <v>0.56999999999999995</v>
      </c>
      <c r="BC52" s="19">
        <v>3</v>
      </c>
      <c r="BD52" s="19">
        <v>4</v>
      </c>
    </row>
    <row r="53" spans="1:56" ht="14.25" customHeight="1" x14ac:dyDescent="0.3">
      <c r="A53" s="11" t="s">
        <v>68</v>
      </c>
      <c r="B53" s="25" t="s">
        <v>80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8" t="s">
        <v>68</v>
      </c>
      <c r="I53" s="40">
        <v>0</v>
      </c>
      <c r="J53" s="19">
        <v>0</v>
      </c>
      <c r="K53" s="19">
        <v>0</v>
      </c>
      <c r="L53" s="40">
        <v>0</v>
      </c>
      <c r="M53" s="19">
        <v>0</v>
      </c>
      <c r="N53" s="19">
        <v>0</v>
      </c>
      <c r="O53" s="18" t="s">
        <v>68</v>
      </c>
      <c r="P53" s="40">
        <v>0</v>
      </c>
      <c r="Q53" s="19">
        <v>0</v>
      </c>
      <c r="R53" s="19">
        <v>0</v>
      </c>
      <c r="S53" s="40">
        <v>0</v>
      </c>
      <c r="T53" s="19">
        <v>0</v>
      </c>
      <c r="U53" s="19">
        <v>0</v>
      </c>
      <c r="V53" s="18" t="s">
        <v>68</v>
      </c>
      <c r="W53" s="40">
        <v>0</v>
      </c>
      <c r="X53" s="19">
        <v>0</v>
      </c>
      <c r="Y53" s="19">
        <v>0</v>
      </c>
      <c r="Z53" s="40">
        <v>0</v>
      </c>
      <c r="AA53" s="19">
        <v>0</v>
      </c>
      <c r="AB53" s="19">
        <v>0</v>
      </c>
      <c r="AC53" s="18" t="s">
        <v>68</v>
      </c>
      <c r="AD53" s="40">
        <v>0.67</v>
      </c>
      <c r="AE53" s="19">
        <v>3</v>
      </c>
      <c r="AF53" s="19">
        <v>2</v>
      </c>
      <c r="AG53" s="40">
        <v>0.67</v>
      </c>
      <c r="AH53" s="19">
        <v>0</v>
      </c>
      <c r="AI53" s="19">
        <v>0</v>
      </c>
      <c r="AJ53" s="18" t="s">
        <v>68</v>
      </c>
      <c r="AK53" s="40">
        <v>1</v>
      </c>
      <c r="AL53" s="19">
        <v>1</v>
      </c>
      <c r="AM53" s="19">
        <v>1</v>
      </c>
      <c r="AN53" s="40">
        <v>1</v>
      </c>
      <c r="AO53" s="19">
        <v>0</v>
      </c>
      <c r="AP53" s="19">
        <v>0</v>
      </c>
      <c r="AQ53" s="18" t="s">
        <v>68</v>
      </c>
      <c r="AR53" s="40">
        <v>0.75</v>
      </c>
      <c r="AS53" s="19">
        <v>4</v>
      </c>
      <c r="AT53" s="19">
        <v>3</v>
      </c>
      <c r="AU53" s="40">
        <v>0.75</v>
      </c>
      <c r="AV53" s="19">
        <v>0</v>
      </c>
      <c r="AW53" s="19">
        <v>0</v>
      </c>
      <c r="AX53" s="18" t="s">
        <v>68</v>
      </c>
      <c r="AY53" s="40">
        <v>0.33</v>
      </c>
      <c r="AZ53" s="19">
        <v>6</v>
      </c>
      <c r="BA53" s="19">
        <v>3</v>
      </c>
      <c r="BB53" s="40">
        <v>0.5</v>
      </c>
      <c r="BC53" s="19">
        <v>1</v>
      </c>
      <c r="BD53" s="19">
        <v>0</v>
      </c>
    </row>
    <row r="54" spans="1:56" ht="14.25" customHeight="1" x14ac:dyDescent="0.3">
      <c r="A54" s="11" t="s">
        <v>97</v>
      </c>
      <c r="B54" s="25" t="s">
        <v>80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8" t="s">
        <v>97</v>
      </c>
      <c r="I54" s="40">
        <v>0</v>
      </c>
      <c r="J54" s="19">
        <v>0</v>
      </c>
      <c r="K54" s="19">
        <v>0</v>
      </c>
      <c r="L54" s="40">
        <v>0</v>
      </c>
      <c r="M54" s="19">
        <v>0</v>
      </c>
      <c r="N54" s="19">
        <v>0</v>
      </c>
      <c r="O54" s="18" t="s">
        <v>97</v>
      </c>
      <c r="P54" s="40">
        <v>0</v>
      </c>
      <c r="Q54" s="19">
        <v>0</v>
      </c>
      <c r="R54" s="19">
        <v>0</v>
      </c>
      <c r="S54" s="40">
        <v>0</v>
      </c>
      <c r="T54" s="19">
        <v>0</v>
      </c>
      <c r="U54" s="19">
        <v>0</v>
      </c>
      <c r="V54" s="18" t="s">
        <v>97</v>
      </c>
      <c r="W54" s="40">
        <v>0</v>
      </c>
      <c r="X54" s="19">
        <v>0</v>
      </c>
      <c r="Y54" s="19">
        <v>0</v>
      </c>
      <c r="Z54" s="40">
        <v>0</v>
      </c>
      <c r="AA54" s="19">
        <v>0</v>
      </c>
      <c r="AB54" s="19">
        <v>0</v>
      </c>
      <c r="AC54" s="18" t="s">
        <v>97</v>
      </c>
      <c r="AD54" s="40">
        <v>0</v>
      </c>
      <c r="AE54" s="19">
        <v>0</v>
      </c>
      <c r="AF54" s="19">
        <v>0</v>
      </c>
      <c r="AG54" s="40">
        <v>0</v>
      </c>
      <c r="AH54" s="19">
        <v>0</v>
      </c>
      <c r="AI54" s="19">
        <v>0</v>
      </c>
      <c r="AJ54" s="18" t="s">
        <v>97</v>
      </c>
      <c r="AK54" s="40">
        <v>0</v>
      </c>
      <c r="AL54" s="19">
        <v>0</v>
      </c>
      <c r="AM54" s="19">
        <v>0</v>
      </c>
      <c r="AN54" s="40">
        <v>0</v>
      </c>
      <c r="AO54" s="19">
        <v>0</v>
      </c>
      <c r="AP54" s="19">
        <v>0</v>
      </c>
      <c r="AQ54" s="18" t="s">
        <v>97</v>
      </c>
      <c r="AR54" s="40">
        <v>0</v>
      </c>
      <c r="AS54" s="19">
        <v>0</v>
      </c>
      <c r="AT54" s="19">
        <v>0</v>
      </c>
      <c r="AU54" s="40">
        <v>0</v>
      </c>
      <c r="AV54" s="19">
        <v>0</v>
      </c>
      <c r="AW54" s="19">
        <v>0</v>
      </c>
      <c r="AX54" s="18" t="s">
        <v>97</v>
      </c>
      <c r="AY54" s="40">
        <v>0</v>
      </c>
      <c r="AZ54" s="19">
        <v>0</v>
      </c>
      <c r="BA54" s="19">
        <v>0</v>
      </c>
      <c r="BB54" s="40">
        <v>0</v>
      </c>
      <c r="BC54" s="19">
        <v>0</v>
      </c>
      <c r="BD54" s="19">
        <v>0</v>
      </c>
    </row>
    <row r="55" spans="1:56" ht="14.25" customHeight="1" x14ac:dyDescent="0.3">
      <c r="A55" s="11" t="s">
        <v>54</v>
      </c>
      <c r="B55" s="39">
        <v>-0.1711</v>
      </c>
      <c r="C55" s="19">
        <v>19</v>
      </c>
      <c r="D55" s="19">
        <v>3</v>
      </c>
      <c r="E55" s="19">
        <v>1</v>
      </c>
      <c r="F55" s="19">
        <v>1</v>
      </c>
      <c r="G55" s="19">
        <v>7</v>
      </c>
      <c r="H55" s="18" t="s">
        <v>54</v>
      </c>
      <c r="I55" s="40">
        <v>0.5</v>
      </c>
      <c r="J55" s="19">
        <v>4</v>
      </c>
      <c r="K55" s="19">
        <v>2</v>
      </c>
      <c r="L55" s="40">
        <v>0.5</v>
      </c>
      <c r="M55" s="19">
        <v>0</v>
      </c>
      <c r="N55" s="19">
        <v>0</v>
      </c>
      <c r="O55" s="18" t="s">
        <v>54</v>
      </c>
      <c r="P55" s="40">
        <v>0</v>
      </c>
      <c r="Q55" s="19">
        <v>0</v>
      </c>
      <c r="R55" s="19">
        <v>0</v>
      </c>
      <c r="S55" s="40">
        <v>0</v>
      </c>
      <c r="T55" s="19">
        <v>0</v>
      </c>
      <c r="U55" s="19">
        <v>0</v>
      </c>
      <c r="V55" s="18" t="s">
        <v>54</v>
      </c>
      <c r="W55" s="40">
        <v>0</v>
      </c>
      <c r="X55" s="19">
        <v>0</v>
      </c>
      <c r="Y55" s="19">
        <v>0</v>
      </c>
      <c r="Z55" s="40">
        <v>0</v>
      </c>
      <c r="AA55" s="19">
        <v>0</v>
      </c>
      <c r="AB55" s="19">
        <v>0</v>
      </c>
      <c r="AC55" s="18" t="s">
        <v>54</v>
      </c>
      <c r="AD55" s="40">
        <v>0</v>
      </c>
      <c r="AE55" s="19">
        <v>0</v>
      </c>
      <c r="AF55" s="19">
        <v>0</v>
      </c>
      <c r="AG55" s="40">
        <v>0</v>
      </c>
      <c r="AH55" s="19">
        <v>0</v>
      </c>
      <c r="AI55" s="19">
        <v>0</v>
      </c>
      <c r="AJ55" s="18" t="s">
        <v>54</v>
      </c>
      <c r="AK55" s="40">
        <v>0</v>
      </c>
      <c r="AL55" s="19">
        <v>0</v>
      </c>
      <c r="AM55" s="19">
        <v>0</v>
      </c>
      <c r="AN55" s="40">
        <v>0</v>
      </c>
      <c r="AO55" s="19">
        <v>0</v>
      </c>
      <c r="AP55" s="19">
        <v>0</v>
      </c>
      <c r="AQ55" s="18" t="s">
        <v>54</v>
      </c>
      <c r="AR55" s="40">
        <v>0.35</v>
      </c>
      <c r="AS55" s="19">
        <v>17</v>
      </c>
      <c r="AT55" s="19">
        <v>8</v>
      </c>
      <c r="AU55" s="40">
        <v>0.47</v>
      </c>
      <c r="AV55" s="19">
        <v>1</v>
      </c>
      <c r="AW55" s="19">
        <v>1</v>
      </c>
      <c r="AX55" s="18" t="s">
        <v>54</v>
      </c>
      <c r="AY55" s="40">
        <v>0.36</v>
      </c>
      <c r="AZ55" s="19">
        <v>14</v>
      </c>
      <c r="BA55" s="19">
        <v>8</v>
      </c>
      <c r="BB55" s="40">
        <v>0.56999999999999995</v>
      </c>
      <c r="BC55" s="19">
        <v>2</v>
      </c>
      <c r="BD55" s="19">
        <v>1</v>
      </c>
    </row>
    <row r="56" spans="1:56" ht="14.25" customHeight="1" x14ac:dyDescent="0.3">
      <c r="A56" s="11" t="s">
        <v>87</v>
      </c>
      <c r="B56" s="25" t="s">
        <v>80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8" t="s">
        <v>87</v>
      </c>
      <c r="I56" s="40">
        <v>0</v>
      </c>
      <c r="J56" s="19">
        <v>0</v>
      </c>
      <c r="K56" s="19">
        <v>0</v>
      </c>
      <c r="L56" s="40">
        <v>0</v>
      </c>
      <c r="M56" s="19">
        <v>0</v>
      </c>
      <c r="N56" s="19">
        <v>0</v>
      </c>
      <c r="O56" s="18" t="s">
        <v>87</v>
      </c>
      <c r="P56" s="40">
        <v>0</v>
      </c>
      <c r="Q56" s="19">
        <v>0</v>
      </c>
      <c r="R56" s="19">
        <v>0</v>
      </c>
      <c r="S56" s="40">
        <v>0</v>
      </c>
      <c r="T56" s="19">
        <v>0</v>
      </c>
      <c r="U56" s="19">
        <v>0</v>
      </c>
      <c r="V56" s="18" t="s">
        <v>87</v>
      </c>
      <c r="W56" s="40">
        <v>0</v>
      </c>
      <c r="X56" s="19">
        <v>0</v>
      </c>
      <c r="Y56" s="19">
        <v>0</v>
      </c>
      <c r="Z56" s="40">
        <v>0</v>
      </c>
      <c r="AA56" s="19">
        <v>0</v>
      </c>
      <c r="AB56" s="19">
        <v>0</v>
      </c>
      <c r="AC56" s="18" t="s">
        <v>87</v>
      </c>
      <c r="AD56" s="40">
        <v>0</v>
      </c>
      <c r="AE56" s="19">
        <v>0</v>
      </c>
      <c r="AF56" s="19">
        <v>0</v>
      </c>
      <c r="AG56" s="40">
        <v>0</v>
      </c>
      <c r="AH56" s="19">
        <v>0</v>
      </c>
      <c r="AI56" s="19">
        <v>0</v>
      </c>
      <c r="AJ56" s="18" t="s">
        <v>87</v>
      </c>
      <c r="AK56" s="40">
        <v>0</v>
      </c>
      <c r="AL56" s="19">
        <v>0</v>
      </c>
      <c r="AM56" s="19">
        <v>0</v>
      </c>
      <c r="AN56" s="40">
        <v>0</v>
      </c>
      <c r="AO56" s="19">
        <v>0</v>
      </c>
      <c r="AP56" s="19">
        <v>0</v>
      </c>
      <c r="AQ56" s="18" t="s">
        <v>87</v>
      </c>
      <c r="AR56" s="40">
        <v>0</v>
      </c>
      <c r="AS56" s="19">
        <v>0</v>
      </c>
      <c r="AT56" s="19">
        <v>0</v>
      </c>
      <c r="AU56" s="40">
        <v>0</v>
      </c>
      <c r="AV56" s="19">
        <v>0</v>
      </c>
      <c r="AW56" s="19">
        <v>0</v>
      </c>
      <c r="AX56" s="18" t="s">
        <v>87</v>
      </c>
      <c r="AY56" s="40">
        <v>0</v>
      </c>
      <c r="AZ56" s="19">
        <v>0</v>
      </c>
      <c r="BA56" s="19">
        <v>0</v>
      </c>
      <c r="BB56" s="40">
        <v>0</v>
      </c>
      <c r="BC56" s="19">
        <v>0</v>
      </c>
      <c r="BD56" s="19">
        <v>0</v>
      </c>
    </row>
    <row r="57" spans="1:56" ht="14.25" customHeight="1" x14ac:dyDescent="0.3">
      <c r="A57" s="11" t="s">
        <v>94</v>
      </c>
      <c r="B57" s="25" t="s">
        <v>80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8" t="s">
        <v>94</v>
      </c>
      <c r="I57" s="40">
        <v>0</v>
      </c>
      <c r="J57" s="19">
        <v>0</v>
      </c>
      <c r="K57" s="19">
        <v>0</v>
      </c>
      <c r="L57" s="40">
        <v>0</v>
      </c>
      <c r="M57" s="19">
        <v>0</v>
      </c>
      <c r="N57" s="19">
        <v>0</v>
      </c>
      <c r="O57" s="18" t="s">
        <v>94</v>
      </c>
      <c r="P57" s="40">
        <v>0</v>
      </c>
      <c r="Q57" s="19">
        <v>0</v>
      </c>
      <c r="R57" s="19">
        <v>0</v>
      </c>
      <c r="S57" s="40">
        <v>0</v>
      </c>
      <c r="T57" s="19">
        <v>0</v>
      </c>
      <c r="U57" s="19">
        <v>0</v>
      </c>
      <c r="V57" s="18" t="s">
        <v>94</v>
      </c>
      <c r="W57" s="40">
        <v>0</v>
      </c>
      <c r="X57" s="19">
        <v>0</v>
      </c>
      <c r="Y57" s="19">
        <v>0</v>
      </c>
      <c r="Z57" s="40">
        <v>0</v>
      </c>
      <c r="AA57" s="19">
        <v>0</v>
      </c>
      <c r="AB57" s="19">
        <v>0</v>
      </c>
      <c r="AC57" s="18" t="s">
        <v>94</v>
      </c>
      <c r="AD57" s="40">
        <v>0</v>
      </c>
      <c r="AE57" s="19">
        <v>0</v>
      </c>
      <c r="AF57" s="19">
        <v>0</v>
      </c>
      <c r="AG57" s="40">
        <v>0</v>
      </c>
      <c r="AH57" s="19">
        <v>0</v>
      </c>
      <c r="AI57" s="19">
        <v>0</v>
      </c>
      <c r="AJ57" s="18" t="s">
        <v>94</v>
      </c>
      <c r="AK57" s="40">
        <v>0</v>
      </c>
      <c r="AL57" s="19">
        <v>0</v>
      </c>
      <c r="AM57" s="19">
        <v>0</v>
      </c>
      <c r="AN57" s="40">
        <v>0</v>
      </c>
      <c r="AO57" s="19">
        <v>0</v>
      </c>
      <c r="AP57" s="19">
        <v>0</v>
      </c>
      <c r="AQ57" s="18" t="s">
        <v>94</v>
      </c>
      <c r="AR57" s="40">
        <v>0</v>
      </c>
      <c r="AS57" s="19">
        <v>0</v>
      </c>
      <c r="AT57" s="19">
        <v>0</v>
      </c>
      <c r="AU57" s="40">
        <v>0</v>
      </c>
      <c r="AV57" s="19">
        <v>0</v>
      </c>
      <c r="AW57" s="19">
        <v>0</v>
      </c>
      <c r="AX57" s="18" t="s">
        <v>94</v>
      </c>
      <c r="AY57" s="40">
        <v>1</v>
      </c>
      <c r="AZ57" s="19">
        <v>1</v>
      </c>
      <c r="BA57" s="19">
        <v>1</v>
      </c>
      <c r="BB57" s="40">
        <v>1</v>
      </c>
      <c r="BC57" s="19">
        <v>0</v>
      </c>
      <c r="BD57" s="19">
        <v>0</v>
      </c>
    </row>
    <row r="58" spans="1:56" ht="14.25" customHeight="1" x14ac:dyDescent="0.3">
      <c r="A58" s="11" t="s">
        <v>86</v>
      </c>
      <c r="B58" s="39">
        <v>-0.2656</v>
      </c>
      <c r="C58" s="19">
        <v>16</v>
      </c>
      <c r="D58" s="19">
        <v>2</v>
      </c>
      <c r="E58" s="19">
        <v>1</v>
      </c>
      <c r="F58" s="19">
        <v>1</v>
      </c>
      <c r="G58" s="19">
        <v>7</v>
      </c>
      <c r="H58" s="18" t="s">
        <v>86</v>
      </c>
      <c r="I58" s="40">
        <v>0</v>
      </c>
      <c r="J58" s="19">
        <v>0</v>
      </c>
      <c r="K58" s="19">
        <v>0</v>
      </c>
      <c r="L58" s="40">
        <v>0</v>
      </c>
      <c r="M58" s="19">
        <v>0</v>
      </c>
      <c r="N58" s="19">
        <v>0</v>
      </c>
      <c r="O58" s="18" t="s">
        <v>86</v>
      </c>
      <c r="P58" s="40">
        <v>0</v>
      </c>
      <c r="Q58" s="19">
        <v>0</v>
      </c>
      <c r="R58" s="19">
        <v>0</v>
      </c>
      <c r="S58" s="40">
        <v>0</v>
      </c>
      <c r="T58" s="19">
        <v>0</v>
      </c>
      <c r="U58" s="19">
        <v>0</v>
      </c>
      <c r="V58" s="18" t="s">
        <v>86</v>
      </c>
      <c r="W58" s="40">
        <v>0</v>
      </c>
      <c r="X58" s="19">
        <v>0</v>
      </c>
      <c r="Y58" s="19">
        <v>0</v>
      </c>
      <c r="Z58" s="40">
        <v>0</v>
      </c>
      <c r="AA58" s="19">
        <v>0</v>
      </c>
      <c r="AB58" s="19">
        <v>0</v>
      </c>
      <c r="AC58" s="18" t="s">
        <v>86</v>
      </c>
      <c r="AD58" s="40">
        <v>0</v>
      </c>
      <c r="AE58" s="19">
        <v>0</v>
      </c>
      <c r="AF58" s="19">
        <v>0</v>
      </c>
      <c r="AG58" s="40">
        <v>0</v>
      </c>
      <c r="AH58" s="19">
        <v>0</v>
      </c>
      <c r="AI58" s="19">
        <v>0</v>
      </c>
      <c r="AJ58" s="18" t="s">
        <v>86</v>
      </c>
      <c r="AK58" s="40">
        <v>0</v>
      </c>
      <c r="AL58" s="19">
        <v>0</v>
      </c>
      <c r="AM58" s="19">
        <v>0</v>
      </c>
      <c r="AN58" s="40">
        <v>0</v>
      </c>
      <c r="AO58" s="19">
        <v>0</v>
      </c>
      <c r="AP58" s="19">
        <v>0</v>
      </c>
      <c r="AQ58" s="18" t="s">
        <v>86</v>
      </c>
      <c r="AR58" s="40">
        <v>0.28999999999999998</v>
      </c>
      <c r="AS58" s="19">
        <v>14</v>
      </c>
      <c r="AT58" s="19">
        <v>6</v>
      </c>
      <c r="AU58" s="40">
        <v>0.43</v>
      </c>
      <c r="AV58" s="19">
        <v>0</v>
      </c>
      <c r="AW58" s="19">
        <v>2</v>
      </c>
      <c r="AX58" s="18" t="s">
        <v>86</v>
      </c>
      <c r="AY58" s="40">
        <v>0.44</v>
      </c>
      <c r="AZ58" s="19">
        <v>16</v>
      </c>
      <c r="BA58" s="19">
        <v>8</v>
      </c>
      <c r="BB58" s="40">
        <v>0.5</v>
      </c>
      <c r="BC58" s="19">
        <v>0</v>
      </c>
      <c r="BD58" s="19">
        <v>1</v>
      </c>
    </row>
    <row r="59" spans="1:56" ht="14.25" customHeight="1" x14ac:dyDescent="0.3">
      <c r="A59" s="11" t="s">
        <v>85</v>
      </c>
      <c r="B59" s="39">
        <v>-7.6899999999999996E-2</v>
      </c>
      <c r="C59" s="19">
        <v>13</v>
      </c>
      <c r="D59" s="19">
        <v>0</v>
      </c>
      <c r="E59" s="19">
        <v>0</v>
      </c>
      <c r="F59" s="19">
        <v>0</v>
      </c>
      <c r="G59" s="19">
        <v>1</v>
      </c>
      <c r="H59" s="18" t="s">
        <v>85</v>
      </c>
      <c r="I59" s="40">
        <v>0</v>
      </c>
      <c r="J59" s="19">
        <v>0</v>
      </c>
      <c r="K59" s="19">
        <v>0</v>
      </c>
      <c r="L59" s="40">
        <v>0</v>
      </c>
      <c r="M59" s="19">
        <v>0</v>
      </c>
      <c r="N59" s="19">
        <v>0</v>
      </c>
      <c r="O59" s="18" t="s">
        <v>85</v>
      </c>
      <c r="P59" s="40">
        <v>0.11</v>
      </c>
      <c r="Q59" s="19">
        <v>9</v>
      </c>
      <c r="R59" s="19">
        <v>2</v>
      </c>
      <c r="S59" s="40">
        <v>0.22</v>
      </c>
      <c r="T59" s="19">
        <v>1</v>
      </c>
      <c r="U59" s="19">
        <v>0</v>
      </c>
      <c r="V59" s="18" t="s">
        <v>85</v>
      </c>
      <c r="W59" s="40">
        <v>0</v>
      </c>
      <c r="X59" s="19">
        <v>0</v>
      </c>
      <c r="Y59" s="19">
        <v>0</v>
      </c>
      <c r="Z59" s="40">
        <v>0</v>
      </c>
      <c r="AA59" s="19">
        <v>0</v>
      </c>
      <c r="AB59" s="19">
        <v>0</v>
      </c>
      <c r="AC59" s="18" t="s">
        <v>85</v>
      </c>
      <c r="AD59" s="40">
        <v>0</v>
      </c>
      <c r="AE59" s="19">
        <v>0</v>
      </c>
      <c r="AF59" s="19">
        <v>0</v>
      </c>
      <c r="AG59" s="40">
        <v>0</v>
      </c>
      <c r="AH59" s="19">
        <v>0</v>
      </c>
      <c r="AI59" s="19">
        <v>0</v>
      </c>
      <c r="AJ59" s="18" t="s">
        <v>85</v>
      </c>
      <c r="AK59" s="40">
        <v>0</v>
      </c>
      <c r="AL59" s="19">
        <v>0</v>
      </c>
      <c r="AM59" s="19">
        <v>0</v>
      </c>
      <c r="AN59" s="40">
        <v>0</v>
      </c>
      <c r="AO59" s="19">
        <v>0</v>
      </c>
      <c r="AP59" s="19">
        <v>0</v>
      </c>
      <c r="AQ59" s="18" t="s">
        <v>85</v>
      </c>
      <c r="AR59" s="40">
        <v>0.25</v>
      </c>
      <c r="AS59" s="19">
        <v>16</v>
      </c>
      <c r="AT59" s="19">
        <v>5</v>
      </c>
      <c r="AU59" s="40">
        <v>0.31</v>
      </c>
      <c r="AV59" s="19">
        <v>1</v>
      </c>
      <c r="AW59" s="19">
        <v>0</v>
      </c>
      <c r="AX59" s="18" t="s">
        <v>85</v>
      </c>
      <c r="AY59" s="40">
        <v>0.45</v>
      </c>
      <c r="AZ59" s="19">
        <v>11</v>
      </c>
      <c r="BA59" s="19">
        <v>6</v>
      </c>
      <c r="BB59" s="40">
        <v>0.55000000000000004</v>
      </c>
      <c r="BC59" s="19">
        <v>0</v>
      </c>
      <c r="BD59" s="19">
        <v>1</v>
      </c>
    </row>
    <row r="60" spans="1:56" ht="14.25" customHeight="1" x14ac:dyDescent="0.3">
      <c r="A60" s="11" t="s">
        <v>67</v>
      </c>
      <c r="B60" s="25" t="s">
        <v>80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8" t="s">
        <v>67</v>
      </c>
      <c r="I60" s="40">
        <v>0</v>
      </c>
      <c r="J60" s="19">
        <v>0</v>
      </c>
      <c r="K60" s="19">
        <v>0</v>
      </c>
      <c r="L60" s="40">
        <v>0</v>
      </c>
      <c r="M60" s="19">
        <v>0</v>
      </c>
      <c r="N60" s="19">
        <v>0</v>
      </c>
      <c r="O60" s="18" t="s">
        <v>67</v>
      </c>
      <c r="P60" s="40">
        <v>0</v>
      </c>
      <c r="Q60" s="19">
        <v>0</v>
      </c>
      <c r="R60" s="19">
        <v>0</v>
      </c>
      <c r="S60" s="40">
        <v>0</v>
      </c>
      <c r="T60" s="19">
        <v>0</v>
      </c>
      <c r="U60" s="19">
        <v>0</v>
      </c>
      <c r="V60" s="18" t="s">
        <v>67</v>
      </c>
      <c r="W60" s="40">
        <v>0</v>
      </c>
      <c r="X60" s="19">
        <v>0</v>
      </c>
      <c r="Y60" s="19">
        <v>0</v>
      </c>
      <c r="Z60" s="40">
        <v>0</v>
      </c>
      <c r="AA60" s="19">
        <v>0</v>
      </c>
      <c r="AB60" s="19">
        <v>0</v>
      </c>
      <c r="AC60" s="18" t="s">
        <v>67</v>
      </c>
      <c r="AD60" s="40">
        <v>1</v>
      </c>
      <c r="AE60" s="19">
        <v>3</v>
      </c>
      <c r="AF60" s="19">
        <v>3</v>
      </c>
      <c r="AG60" s="40">
        <v>1</v>
      </c>
      <c r="AH60" s="19">
        <v>0</v>
      </c>
      <c r="AI60" s="19">
        <v>0</v>
      </c>
      <c r="AJ60" s="18" t="s">
        <v>67</v>
      </c>
      <c r="AK60" s="40">
        <v>0</v>
      </c>
      <c r="AL60" s="19">
        <v>0</v>
      </c>
      <c r="AM60" s="19">
        <v>0</v>
      </c>
      <c r="AN60" s="40">
        <v>0</v>
      </c>
      <c r="AO60" s="19">
        <v>0</v>
      </c>
      <c r="AP60" s="19">
        <v>0</v>
      </c>
      <c r="AQ60" s="18" t="s">
        <v>67</v>
      </c>
      <c r="AR60" s="40">
        <v>0.67</v>
      </c>
      <c r="AS60" s="19">
        <v>3</v>
      </c>
      <c r="AT60" s="19">
        <v>2</v>
      </c>
      <c r="AU60" s="40">
        <v>0.67</v>
      </c>
      <c r="AV60" s="19">
        <v>0</v>
      </c>
      <c r="AW60" s="19">
        <v>0</v>
      </c>
      <c r="AX60" s="18" t="s">
        <v>67</v>
      </c>
      <c r="AY60" s="40">
        <v>0.5</v>
      </c>
      <c r="AZ60" s="19">
        <v>6</v>
      </c>
      <c r="BA60" s="19">
        <v>4</v>
      </c>
      <c r="BB60" s="40">
        <v>0.67</v>
      </c>
      <c r="BC60" s="19">
        <v>0</v>
      </c>
      <c r="BD60" s="19">
        <v>1</v>
      </c>
    </row>
    <row r="61" spans="1:56" ht="14.25" customHeight="1" x14ac:dyDescent="0.3">
      <c r="A61" s="11" t="s">
        <v>88</v>
      </c>
      <c r="B61" s="25" t="s">
        <v>80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8" t="s">
        <v>88</v>
      </c>
      <c r="I61" s="40">
        <v>0</v>
      </c>
      <c r="J61" s="19">
        <v>0</v>
      </c>
      <c r="K61" s="19">
        <v>0</v>
      </c>
      <c r="L61" s="40">
        <v>0</v>
      </c>
      <c r="M61" s="19">
        <v>0</v>
      </c>
      <c r="N61" s="19">
        <v>0</v>
      </c>
      <c r="O61" s="18" t="s">
        <v>88</v>
      </c>
      <c r="P61" s="40">
        <v>0</v>
      </c>
      <c r="Q61" s="19">
        <v>0</v>
      </c>
      <c r="R61" s="19">
        <v>0</v>
      </c>
      <c r="S61" s="40">
        <v>0</v>
      </c>
      <c r="T61" s="19">
        <v>0</v>
      </c>
      <c r="U61" s="19">
        <v>0</v>
      </c>
      <c r="V61" s="18" t="s">
        <v>88</v>
      </c>
      <c r="W61" s="40">
        <v>0</v>
      </c>
      <c r="X61" s="19">
        <v>0</v>
      </c>
      <c r="Y61" s="19">
        <v>0</v>
      </c>
      <c r="Z61" s="40">
        <v>0</v>
      </c>
      <c r="AA61" s="19">
        <v>0</v>
      </c>
      <c r="AB61" s="19">
        <v>0</v>
      </c>
      <c r="AC61" s="18" t="s">
        <v>88</v>
      </c>
      <c r="AD61" s="40">
        <v>0</v>
      </c>
      <c r="AE61" s="19">
        <v>0</v>
      </c>
      <c r="AF61" s="19">
        <v>0</v>
      </c>
      <c r="AG61" s="40">
        <v>0</v>
      </c>
      <c r="AH61" s="19">
        <v>0</v>
      </c>
      <c r="AI61" s="19">
        <v>0</v>
      </c>
      <c r="AJ61" s="18" t="s">
        <v>88</v>
      </c>
      <c r="AK61" s="40">
        <v>0</v>
      </c>
      <c r="AL61" s="19">
        <v>0</v>
      </c>
      <c r="AM61" s="19">
        <v>0</v>
      </c>
      <c r="AN61" s="40">
        <v>0</v>
      </c>
      <c r="AO61" s="19">
        <v>0</v>
      </c>
      <c r="AP61" s="19">
        <v>0</v>
      </c>
      <c r="AQ61" s="18" t="s">
        <v>88</v>
      </c>
      <c r="AR61" s="40">
        <v>0</v>
      </c>
      <c r="AS61" s="19">
        <v>0</v>
      </c>
      <c r="AT61" s="19">
        <v>0</v>
      </c>
      <c r="AU61" s="40">
        <v>0</v>
      </c>
      <c r="AV61" s="19">
        <v>0</v>
      </c>
      <c r="AW61" s="19">
        <v>0</v>
      </c>
      <c r="AX61" s="18" t="s">
        <v>88</v>
      </c>
      <c r="AY61" s="40">
        <v>0</v>
      </c>
      <c r="AZ61" s="19">
        <v>0</v>
      </c>
      <c r="BA61" s="19">
        <v>0</v>
      </c>
      <c r="BB61" s="40">
        <v>0</v>
      </c>
      <c r="BC61" s="19">
        <v>0</v>
      </c>
      <c r="BD61" s="19">
        <v>0</v>
      </c>
    </row>
    <row r="62" spans="1:56" ht="14.25" customHeight="1" x14ac:dyDescent="0.3">
      <c r="A62" s="11" t="s">
        <v>69</v>
      </c>
      <c r="B62" s="25" t="s">
        <v>80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8" t="s">
        <v>69</v>
      </c>
      <c r="I62" s="40">
        <v>0</v>
      </c>
      <c r="J62" s="19">
        <v>0</v>
      </c>
      <c r="K62" s="19">
        <v>0</v>
      </c>
      <c r="L62" s="40">
        <v>0</v>
      </c>
      <c r="M62" s="19">
        <v>0</v>
      </c>
      <c r="N62" s="19">
        <v>0</v>
      </c>
      <c r="O62" s="18" t="s">
        <v>69</v>
      </c>
      <c r="P62" s="40">
        <v>0</v>
      </c>
      <c r="Q62" s="19">
        <v>0</v>
      </c>
      <c r="R62" s="19">
        <v>0</v>
      </c>
      <c r="S62" s="40">
        <v>0</v>
      </c>
      <c r="T62" s="19">
        <v>0</v>
      </c>
      <c r="U62" s="19">
        <v>0</v>
      </c>
      <c r="V62" s="18" t="s">
        <v>69</v>
      </c>
      <c r="W62" s="40">
        <v>0</v>
      </c>
      <c r="X62" s="19">
        <v>0</v>
      </c>
      <c r="Y62" s="19">
        <v>0</v>
      </c>
      <c r="Z62" s="40">
        <v>0</v>
      </c>
      <c r="AA62" s="19">
        <v>0</v>
      </c>
      <c r="AB62" s="19">
        <v>0</v>
      </c>
      <c r="AC62" s="18" t="s">
        <v>69</v>
      </c>
      <c r="AD62" s="40">
        <v>0</v>
      </c>
      <c r="AE62" s="19">
        <v>0</v>
      </c>
      <c r="AF62" s="19">
        <v>0</v>
      </c>
      <c r="AG62" s="40">
        <v>0</v>
      </c>
      <c r="AH62" s="19">
        <v>0</v>
      </c>
      <c r="AI62" s="19">
        <v>0</v>
      </c>
      <c r="AJ62" s="18" t="s">
        <v>69</v>
      </c>
      <c r="AK62" s="40">
        <v>0</v>
      </c>
      <c r="AL62" s="19">
        <v>0</v>
      </c>
      <c r="AM62" s="19">
        <v>0</v>
      </c>
      <c r="AN62" s="40">
        <v>0</v>
      </c>
      <c r="AO62" s="19">
        <v>0</v>
      </c>
      <c r="AP62" s="19">
        <v>0</v>
      </c>
      <c r="AQ62" s="18" t="s">
        <v>69</v>
      </c>
      <c r="AR62" s="40">
        <v>0</v>
      </c>
      <c r="AS62" s="19">
        <v>0</v>
      </c>
      <c r="AT62" s="19">
        <v>0</v>
      </c>
      <c r="AU62" s="40">
        <v>0</v>
      </c>
      <c r="AV62" s="19">
        <v>0</v>
      </c>
      <c r="AW62" s="19">
        <v>0</v>
      </c>
      <c r="AX62" s="18" t="s">
        <v>69</v>
      </c>
      <c r="AY62" s="40">
        <v>0</v>
      </c>
      <c r="AZ62" s="19">
        <v>0</v>
      </c>
      <c r="BA62" s="19">
        <v>0</v>
      </c>
      <c r="BB62" s="40">
        <v>0</v>
      </c>
      <c r="BC62" s="19">
        <v>0</v>
      </c>
      <c r="BD62" s="19">
        <v>0</v>
      </c>
    </row>
    <row r="63" spans="1:56" ht="14.25" customHeight="1" x14ac:dyDescent="0.3">
      <c r="A63" s="42" t="s">
        <v>66</v>
      </c>
      <c r="B63" s="25" t="s">
        <v>80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7" t="s">
        <v>66</v>
      </c>
      <c r="I63" s="40">
        <v>0</v>
      </c>
      <c r="J63" s="19">
        <v>0</v>
      </c>
      <c r="K63" s="19">
        <v>0</v>
      </c>
      <c r="L63" s="40">
        <v>0</v>
      </c>
      <c r="M63" s="19">
        <v>0</v>
      </c>
      <c r="N63" s="19">
        <v>0</v>
      </c>
      <c r="O63" s="27" t="s">
        <v>66</v>
      </c>
      <c r="P63" s="40">
        <v>0</v>
      </c>
      <c r="Q63" s="19">
        <v>0</v>
      </c>
      <c r="R63" s="19">
        <v>0</v>
      </c>
      <c r="S63" s="40">
        <v>0</v>
      </c>
      <c r="T63" s="19">
        <v>0</v>
      </c>
      <c r="U63" s="19">
        <v>0</v>
      </c>
      <c r="V63" s="27" t="s">
        <v>66</v>
      </c>
      <c r="W63" s="40">
        <v>0</v>
      </c>
      <c r="X63" s="19">
        <v>0</v>
      </c>
      <c r="Y63" s="19">
        <v>0</v>
      </c>
      <c r="Z63" s="40">
        <v>0</v>
      </c>
      <c r="AA63" s="19">
        <v>0</v>
      </c>
      <c r="AB63" s="19">
        <v>0</v>
      </c>
      <c r="AC63" s="27" t="s">
        <v>66</v>
      </c>
      <c r="AD63" s="41">
        <v>0</v>
      </c>
      <c r="AE63" s="29">
        <v>0</v>
      </c>
      <c r="AF63" s="29">
        <v>0</v>
      </c>
      <c r="AG63" s="41">
        <v>0</v>
      </c>
      <c r="AH63" s="29">
        <v>0</v>
      </c>
      <c r="AI63" s="29">
        <v>0</v>
      </c>
      <c r="AJ63" s="27" t="s">
        <v>66</v>
      </c>
      <c r="AK63" s="41">
        <v>0</v>
      </c>
      <c r="AL63" s="29">
        <v>0</v>
      </c>
      <c r="AM63" s="29">
        <v>0</v>
      </c>
      <c r="AN63" s="41">
        <v>0</v>
      </c>
      <c r="AO63" s="29">
        <v>0</v>
      </c>
      <c r="AP63" s="29">
        <v>0</v>
      </c>
      <c r="AQ63" s="27" t="s">
        <v>66</v>
      </c>
      <c r="AR63" s="41">
        <v>0</v>
      </c>
      <c r="AS63" s="29">
        <v>0</v>
      </c>
      <c r="AT63" s="29">
        <v>0</v>
      </c>
      <c r="AU63" s="41">
        <v>0</v>
      </c>
      <c r="AV63" s="29">
        <v>0</v>
      </c>
      <c r="AW63" s="29">
        <v>0</v>
      </c>
      <c r="AX63" s="27" t="s">
        <v>66</v>
      </c>
      <c r="AY63" s="41">
        <v>0</v>
      </c>
      <c r="AZ63" s="29">
        <v>0</v>
      </c>
      <c r="BA63" s="29">
        <v>0</v>
      </c>
      <c r="BB63" s="41">
        <v>0</v>
      </c>
      <c r="BC63" s="29">
        <v>0</v>
      </c>
      <c r="BD63" s="29">
        <v>0</v>
      </c>
    </row>
    <row r="64" spans="1:56" ht="25.5" customHeight="1" x14ac:dyDescent="0.3">
      <c r="A64" s="42" t="s">
        <v>110</v>
      </c>
      <c r="B64" s="25" t="s">
        <v>80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7" t="s">
        <v>110</v>
      </c>
      <c r="I64" s="40">
        <v>0</v>
      </c>
      <c r="J64" s="19">
        <v>0</v>
      </c>
      <c r="K64" s="19">
        <v>0</v>
      </c>
      <c r="L64" s="40">
        <v>0</v>
      </c>
      <c r="M64" s="19">
        <v>0</v>
      </c>
      <c r="N64" s="19">
        <v>0</v>
      </c>
      <c r="O64" s="27" t="s">
        <v>110</v>
      </c>
      <c r="P64" s="40">
        <v>0</v>
      </c>
      <c r="Q64" s="19">
        <v>0</v>
      </c>
      <c r="R64" s="19">
        <v>0</v>
      </c>
      <c r="S64" s="40">
        <v>0</v>
      </c>
      <c r="T64" s="19">
        <v>0</v>
      </c>
      <c r="U64" s="19">
        <v>0</v>
      </c>
      <c r="V64" s="27" t="s">
        <v>110</v>
      </c>
      <c r="W64" s="40">
        <v>0</v>
      </c>
      <c r="X64" s="19">
        <v>0</v>
      </c>
      <c r="Y64" s="19">
        <v>0</v>
      </c>
      <c r="Z64" s="40">
        <v>0</v>
      </c>
      <c r="AA64" s="19">
        <v>0</v>
      </c>
      <c r="AB64" s="19">
        <v>0</v>
      </c>
      <c r="AC64" s="27" t="s">
        <v>110</v>
      </c>
      <c r="AD64" s="41">
        <v>0</v>
      </c>
      <c r="AE64" s="29">
        <v>0</v>
      </c>
      <c r="AF64" s="29">
        <v>0</v>
      </c>
      <c r="AG64" s="41">
        <v>0</v>
      </c>
      <c r="AH64" s="29">
        <v>0</v>
      </c>
      <c r="AI64" s="29">
        <v>0</v>
      </c>
      <c r="AJ64" s="27" t="s">
        <v>110</v>
      </c>
      <c r="AK64" s="41">
        <v>0</v>
      </c>
      <c r="AL64" s="29">
        <v>0</v>
      </c>
      <c r="AM64" s="29">
        <v>0</v>
      </c>
      <c r="AN64" s="41">
        <v>0</v>
      </c>
      <c r="AO64" s="29">
        <v>0</v>
      </c>
      <c r="AP64" s="29">
        <v>0</v>
      </c>
      <c r="AQ64" s="27" t="s">
        <v>110</v>
      </c>
      <c r="AR64" s="41">
        <v>0</v>
      </c>
      <c r="AS64" s="29">
        <v>0</v>
      </c>
      <c r="AT64" s="29">
        <v>0</v>
      </c>
      <c r="AU64" s="41">
        <v>0</v>
      </c>
      <c r="AV64" s="29">
        <v>0</v>
      </c>
      <c r="AW64" s="29">
        <v>0</v>
      </c>
      <c r="AX64" s="27" t="s">
        <v>110</v>
      </c>
      <c r="AY64" s="41">
        <v>0</v>
      </c>
      <c r="AZ64" s="29">
        <v>0</v>
      </c>
      <c r="BA64" s="29">
        <v>0</v>
      </c>
      <c r="BB64" s="41">
        <v>0</v>
      </c>
      <c r="BC64" s="29">
        <v>0</v>
      </c>
      <c r="BD64" s="29">
        <v>0</v>
      </c>
    </row>
    <row r="65" spans="1:35" ht="13.5" customHeight="1" x14ac:dyDescent="0.3"/>
    <row r="66" spans="1:35" ht="30" customHeight="1" x14ac:dyDescent="0.3">
      <c r="A66" s="155" t="s">
        <v>114</v>
      </c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N66" s="153" t="s">
        <v>115</v>
      </c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</row>
    <row r="67" spans="1:35" ht="25.5" customHeight="1" x14ac:dyDescent="0.3">
      <c r="B67" s="43" t="s">
        <v>97</v>
      </c>
      <c r="C67" s="44" t="s">
        <v>116</v>
      </c>
      <c r="D67" s="44" t="s">
        <v>117</v>
      </c>
      <c r="E67" s="45" t="s">
        <v>118</v>
      </c>
      <c r="F67" s="44" t="s">
        <v>119</v>
      </c>
      <c r="G67" s="45" t="s">
        <v>120</v>
      </c>
      <c r="H67" s="44" t="s">
        <v>121</v>
      </c>
      <c r="I67" s="45" t="s">
        <v>122</v>
      </c>
      <c r="J67" s="44" t="s">
        <v>123</v>
      </c>
      <c r="K67" s="44" t="s">
        <v>102</v>
      </c>
      <c r="O67" s="46" t="s">
        <v>94</v>
      </c>
      <c r="P67" s="44" t="s">
        <v>116</v>
      </c>
      <c r="Q67" s="44" t="s">
        <v>117</v>
      </c>
      <c r="R67" s="44" t="s">
        <v>118</v>
      </c>
      <c r="S67" s="44" t="s">
        <v>119</v>
      </c>
      <c r="T67" s="44" t="s">
        <v>120</v>
      </c>
      <c r="U67" s="44" t="s">
        <v>121</v>
      </c>
      <c r="V67" s="44" t="s">
        <v>122</v>
      </c>
      <c r="W67" s="44" t="s">
        <v>123</v>
      </c>
      <c r="X67" s="44" t="s">
        <v>102</v>
      </c>
    </row>
    <row r="68" spans="1:35" ht="24" customHeight="1" x14ac:dyDescent="0.3">
      <c r="A68" s="43" t="s">
        <v>97</v>
      </c>
      <c r="B68" s="43" t="s">
        <v>124</v>
      </c>
      <c r="C68" s="47">
        <v>0</v>
      </c>
      <c r="D68" s="48">
        <f>IF(K68&gt;0,C68/K68,0)</f>
        <v>0</v>
      </c>
      <c r="E68" s="47">
        <v>0</v>
      </c>
      <c r="F68" s="48">
        <f>IF(K68&gt;0,E68/K68,0)</f>
        <v>0</v>
      </c>
      <c r="G68" s="47">
        <v>0</v>
      </c>
      <c r="H68" s="48">
        <f>IF(K68&gt;0,G68/K68,0)</f>
        <v>0</v>
      </c>
      <c r="I68" s="47">
        <v>0</v>
      </c>
      <c r="J68" s="48">
        <f>IF(K68&gt;0,I68/K68,0)</f>
        <v>0</v>
      </c>
      <c r="K68" s="47">
        <v>0</v>
      </c>
      <c r="N68" s="46" t="s">
        <v>94</v>
      </c>
      <c r="O68" s="46" t="s">
        <v>124</v>
      </c>
      <c r="P68" s="49">
        <v>4</v>
      </c>
      <c r="Q68" s="48">
        <f>IF(X68&gt;0,P68/X68,0)</f>
        <v>0.5</v>
      </c>
      <c r="R68" s="49">
        <v>3</v>
      </c>
      <c r="S68" s="48">
        <f>IF(X68&gt;0,R68/X68,0)</f>
        <v>0.375</v>
      </c>
      <c r="T68" s="49">
        <v>0</v>
      </c>
      <c r="U68" s="48">
        <f>IF(X68&gt;0,T68/X68,0)</f>
        <v>0</v>
      </c>
      <c r="V68" s="49">
        <v>1</v>
      </c>
      <c r="W68" s="48">
        <f>IF(X68&gt;0,V68/X68,0)</f>
        <v>0.125</v>
      </c>
      <c r="X68" s="49">
        <v>8</v>
      </c>
      <c r="AA68" s="43"/>
      <c r="AB68" s="44" t="s">
        <v>101</v>
      </c>
      <c r="AD68" s="43" t="s">
        <v>97</v>
      </c>
      <c r="AE68" s="44" t="s">
        <v>101</v>
      </c>
      <c r="AF68" s="44" t="s">
        <v>102</v>
      </c>
      <c r="AG68" s="44" t="s">
        <v>26</v>
      </c>
      <c r="AH68" s="44" t="s">
        <v>106</v>
      </c>
      <c r="AI68" s="44" t="s">
        <v>125</v>
      </c>
    </row>
    <row r="69" spans="1:35" ht="21.75" customHeight="1" x14ac:dyDescent="0.3">
      <c r="A69" s="43" t="s">
        <v>97</v>
      </c>
      <c r="B69" s="50"/>
      <c r="C69" s="51">
        <v>0</v>
      </c>
      <c r="D69" s="48">
        <f>IF(C68&gt;0,C69/C68,0)</f>
        <v>0</v>
      </c>
      <c r="E69" s="51">
        <v>0</v>
      </c>
      <c r="F69" s="48">
        <f>IF(E68&gt;0,E69/E68,0)</f>
        <v>0</v>
      </c>
      <c r="G69" s="51">
        <v>0</v>
      </c>
      <c r="H69" s="48">
        <f>IF(G68&gt;0,G69/G68,0)</f>
        <v>0</v>
      </c>
      <c r="I69" s="51">
        <v>0</v>
      </c>
      <c r="J69" s="48">
        <f>IF(I68&gt;0,I69/I68,0)</f>
        <v>0</v>
      </c>
      <c r="K69" s="51"/>
      <c r="N69" s="46" t="s">
        <v>94</v>
      </c>
      <c r="O69" s="50"/>
      <c r="P69" s="52">
        <v>2</v>
      </c>
      <c r="Q69" s="48">
        <f>IF(P68&gt;0,P69/P68,0)</f>
        <v>0.5</v>
      </c>
      <c r="R69" s="52">
        <v>2</v>
      </c>
      <c r="S69" s="48">
        <f>IF(R68&gt;0,R69/R68,0)</f>
        <v>0.66666666666666663</v>
      </c>
      <c r="T69" s="52">
        <v>0</v>
      </c>
      <c r="U69" s="48">
        <f>IF(T68&gt;0,T69/T68,0)</f>
        <v>0</v>
      </c>
      <c r="V69" s="52">
        <v>0</v>
      </c>
      <c r="W69" s="48">
        <f>IF(V68&gt;0,V69/V68,0)</f>
        <v>0</v>
      </c>
      <c r="X69" s="52"/>
      <c r="AA69" s="44" t="s">
        <v>126</v>
      </c>
      <c r="AB69" s="53">
        <v>0</v>
      </c>
      <c r="AD69" s="43" t="s">
        <v>124</v>
      </c>
      <c r="AE69" s="53">
        <v>0</v>
      </c>
      <c r="AF69" s="51">
        <v>0</v>
      </c>
      <c r="AG69" s="51">
        <v>0</v>
      </c>
      <c r="AH69" s="53">
        <v>0</v>
      </c>
      <c r="AI69" s="53">
        <v>0</v>
      </c>
    </row>
    <row r="70" spans="1:35" ht="21.75" customHeight="1" x14ac:dyDescent="0.3">
      <c r="A70" s="43" t="s">
        <v>97</v>
      </c>
      <c r="B70" s="43" t="s">
        <v>127</v>
      </c>
      <c r="C70" s="47">
        <v>0</v>
      </c>
      <c r="D70" s="48">
        <f>IF(K70&gt;0,C70/K70,0)</f>
        <v>0</v>
      </c>
      <c r="E70" s="47">
        <v>0</v>
      </c>
      <c r="F70" s="48">
        <f>IF(K70&gt;0,E70/K70,0)</f>
        <v>0</v>
      </c>
      <c r="G70" s="47">
        <v>0</v>
      </c>
      <c r="H70" s="48">
        <f>IF(K70&gt;0,G70/K70,0)</f>
        <v>0</v>
      </c>
      <c r="I70" s="47">
        <v>0</v>
      </c>
      <c r="J70" s="48">
        <f>IF(K70&gt;0,I70/K70,0)</f>
        <v>0</v>
      </c>
      <c r="K70" s="47">
        <v>0</v>
      </c>
      <c r="N70" s="46" t="s">
        <v>94</v>
      </c>
      <c r="O70" s="46" t="s">
        <v>127</v>
      </c>
      <c r="P70" s="49">
        <v>3</v>
      </c>
      <c r="Q70" s="48">
        <f>IF(X70&gt;0,P70/X70,0)</f>
        <v>0.375</v>
      </c>
      <c r="R70" s="49">
        <v>2</v>
      </c>
      <c r="S70" s="48">
        <f>IF(X70&gt;0,R70/X70,0)</f>
        <v>0.25</v>
      </c>
      <c r="T70" s="49">
        <v>3</v>
      </c>
      <c r="U70" s="48">
        <f>IF(X70&gt;0,T70/X70,0)</f>
        <v>0.375</v>
      </c>
      <c r="V70" s="49">
        <v>0</v>
      </c>
      <c r="W70" s="48">
        <f>IF(X70&gt;0,V70/X70,0)</f>
        <v>0</v>
      </c>
      <c r="X70" s="49">
        <v>8</v>
      </c>
      <c r="AA70" s="44" t="s">
        <v>128</v>
      </c>
      <c r="AB70" s="53">
        <v>0</v>
      </c>
      <c r="AD70" s="43" t="s">
        <v>127</v>
      </c>
      <c r="AE70" s="53">
        <v>0</v>
      </c>
      <c r="AF70" s="51">
        <v>0</v>
      </c>
      <c r="AG70" s="51">
        <v>0</v>
      </c>
      <c r="AH70" s="53">
        <v>0</v>
      </c>
      <c r="AI70" s="53">
        <v>0</v>
      </c>
    </row>
    <row r="71" spans="1:35" ht="21.75" customHeight="1" x14ac:dyDescent="0.3">
      <c r="A71" s="43" t="s">
        <v>97</v>
      </c>
      <c r="B71" s="50"/>
      <c r="C71" s="51">
        <v>0</v>
      </c>
      <c r="D71" s="48">
        <f>IF(C70&gt;0,C71/C70,0)</f>
        <v>0</v>
      </c>
      <c r="E71" s="51">
        <v>0</v>
      </c>
      <c r="F71" s="48">
        <f>IF(E70&gt;0,E71/E70,0)</f>
        <v>0</v>
      </c>
      <c r="G71" s="51">
        <v>0</v>
      </c>
      <c r="H71" s="48">
        <f>IF(G70&gt;0,G71/G70,0)</f>
        <v>0</v>
      </c>
      <c r="I71" s="51">
        <v>0</v>
      </c>
      <c r="J71" s="48">
        <f>IF(I70&gt;0,I71/I70,0)</f>
        <v>0</v>
      </c>
      <c r="K71" s="51"/>
      <c r="N71" s="46" t="s">
        <v>94</v>
      </c>
      <c r="O71" s="50"/>
      <c r="P71" s="52">
        <v>1</v>
      </c>
      <c r="Q71" s="48">
        <f>IF(P70&gt;0,P71/P70,0)</f>
        <v>0.33333333333333331</v>
      </c>
      <c r="R71" s="52">
        <v>1</v>
      </c>
      <c r="S71" s="48">
        <f>IF(R70&gt;0,R71/R70,0)</f>
        <v>0.5</v>
      </c>
      <c r="T71" s="52">
        <v>3</v>
      </c>
      <c r="U71" s="48">
        <f>IF(T70&gt;0,T71/T70,0)</f>
        <v>1</v>
      </c>
      <c r="V71" s="52">
        <v>0</v>
      </c>
      <c r="W71" s="48">
        <f>IF(V70&gt;0,V71/V70,0)</f>
        <v>0</v>
      </c>
      <c r="X71" s="52"/>
      <c r="AA71" s="44" t="s">
        <v>129</v>
      </c>
      <c r="AB71" s="53">
        <v>0</v>
      </c>
      <c r="AD71" s="43" t="s">
        <v>130</v>
      </c>
      <c r="AE71" s="53">
        <v>0</v>
      </c>
      <c r="AF71" s="51">
        <v>0</v>
      </c>
      <c r="AG71" s="51">
        <v>0</v>
      </c>
      <c r="AH71" s="53">
        <v>0</v>
      </c>
      <c r="AI71" s="53">
        <v>0</v>
      </c>
    </row>
    <row r="72" spans="1:35" ht="21.75" customHeight="1" x14ac:dyDescent="0.3">
      <c r="A72" s="43" t="s">
        <v>97</v>
      </c>
      <c r="B72" s="43" t="s">
        <v>130</v>
      </c>
      <c r="C72" s="47">
        <v>0</v>
      </c>
      <c r="D72" s="48">
        <f>IF(K72&gt;0,C72/K72,0)</f>
        <v>0</v>
      </c>
      <c r="E72" s="47">
        <v>0</v>
      </c>
      <c r="F72" s="48">
        <f>IF(K72&gt;0,E72/K72,0)</f>
        <v>0</v>
      </c>
      <c r="G72" s="47">
        <v>0</v>
      </c>
      <c r="H72" s="48">
        <f>IF(K72&gt;0,G72/K72,0)</f>
        <v>0</v>
      </c>
      <c r="I72" s="47">
        <v>0</v>
      </c>
      <c r="J72" s="48">
        <f>IF(K72&gt;0,I72/K72,0)</f>
        <v>0</v>
      </c>
      <c r="K72" s="47">
        <v>0</v>
      </c>
      <c r="N72" s="46" t="s">
        <v>94</v>
      </c>
      <c r="O72" s="46" t="s">
        <v>130</v>
      </c>
      <c r="P72" s="49">
        <v>3</v>
      </c>
      <c r="Q72" s="48">
        <f>IF(X72&gt;0,P72/X72,0)</f>
        <v>0.42857142857142855</v>
      </c>
      <c r="R72" s="49">
        <v>3</v>
      </c>
      <c r="S72" s="48">
        <f>IF(X72&gt;0,R72/X72,0)</f>
        <v>0.42857142857142855</v>
      </c>
      <c r="T72" s="49">
        <v>1</v>
      </c>
      <c r="U72" s="48">
        <f>IF(X72&gt;0,T72/X72,0)</f>
        <v>0.14285714285714285</v>
      </c>
      <c r="V72" s="49">
        <v>0</v>
      </c>
      <c r="W72" s="48">
        <f>IF(X72&gt;0,V72/X72,0)</f>
        <v>0</v>
      </c>
      <c r="X72" s="49">
        <v>7</v>
      </c>
      <c r="AA72" s="44" t="s">
        <v>131</v>
      </c>
      <c r="AB72" s="53">
        <v>0</v>
      </c>
      <c r="AD72" s="43" t="s">
        <v>132</v>
      </c>
      <c r="AE72" s="53">
        <v>0</v>
      </c>
      <c r="AF72" s="51">
        <v>0</v>
      </c>
      <c r="AG72" s="51">
        <v>0</v>
      </c>
      <c r="AH72" s="53">
        <v>0</v>
      </c>
      <c r="AI72" s="53">
        <v>0</v>
      </c>
    </row>
    <row r="73" spans="1:35" ht="21.75" customHeight="1" x14ac:dyDescent="0.3">
      <c r="A73" s="43" t="s">
        <v>97</v>
      </c>
      <c r="B73" s="50"/>
      <c r="C73" s="51">
        <v>0</v>
      </c>
      <c r="D73" s="48">
        <f>IF(C72&gt;0,C73/C72,0)</f>
        <v>0</v>
      </c>
      <c r="E73" s="51">
        <v>0</v>
      </c>
      <c r="F73" s="48">
        <f>IF(E72&gt;0,E73/E72,0)</f>
        <v>0</v>
      </c>
      <c r="G73" s="51">
        <v>0</v>
      </c>
      <c r="H73" s="48">
        <f>IF(G72&gt;0,G73/G72,0)</f>
        <v>0</v>
      </c>
      <c r="I73" s="51">
        <v>0</v>
      </c>
      <c r="J73" s="48">
        <f>IF(I72&gt;0,I73/I72,0)</f>
        <v>0</v>
      </c>
      <c r="K73" s="51"/>
      <c r="N73" s="46" t="s">
        <v>94</v>
      </c>
      <c r="O73" s="50"/>
      <c r="P73" s="52">
        <v>2</v>
      </c>
      <c r="Q73" s="48">
        <f>IF(P72&gt;0,P73/P72,0)</f>
        <v>0.66666666666666663</v>
      </c>
      <c r="R73" s="52">
        <v>3</v>
      </c>
      <c r="S73" s="48">
        <f>IF(R72&gt;0,R73/R72,0)</f>
        <v>1</v>
      </c>
      <c r="T73" s="52">
        <v>0</v>
      </c>
      <c r="U73" s="48">
        <f>IF(T72&gt;0,T73/T72,0)</f>
        <v>0</v>
      </c>
      <c r="V73" s="52">
        <v>0</v>
      </c>
      <c r="W73" s="48">
        <f>IF(V72&gt;0,V73/V72,0)</f>
        <v>0</v>
      </c>
      <c r="X73" s="52"/>
      <c r="AA73" s="44" t="s">
        <v>133</v>
      </c>
      <c r="AB73" s="53">
        <v>0</v>
      </c>
      <c r="AD73" s="43" t="s">
        <v>134</v>
      </c>
      <c r="AE73" s="53">
        <v>0</v>
      </c>
      <c r="AF73" s="51">
        <v>0</v>
      </c>
      <c r="AG73" s="51">
        <v>0</v>
      </c>
      <c r="AH73" s="53">
        <v>0</v>
      </c>
      <c r="AI73" s="53">
        <v>0</v>
      </c>
    </row>
    <row r="74" spans="1:35" ht="21.75" customHeight="1" x14ac:dyDescent="0.3">
      <c r="A74" s="43" t="s">
        <v>97</v>
      </c>
      <c r="B74" s="43" t="s">
        <v>132</v>
      </c>
      <c r="C74" s="47">
        <v>0</v>
      </c>
      <c r="D74" s="48">
        <f>IF(K74&gt;0,C74/K74,0)</f>
        <v>0</v>
      </c>
      <c r="E74" s="47">
        <v>0</v>
      </c>
      <c r="F74" s="48">
        <f>IF(K74&gt;0,E74/K74,0)</f>
        <v>0</v>
      </c>
      <c r="G74" s="47">
        <v>0</v>
      </c>
      <c r="H74" s="48">
        <f>IF(K74&gt;0,G74/K74,0)</f>
        <v>0</v>
      </c>
      <c r="I74" s="47">
        <v>0</v>
      </c>
      <c r="J74" s="48">
        <f>IF(K74&gt;0,I74/K74,0)</f>
        <v>0</v>
      </c>
      <c r="K74" s="47">
        <v>0</v>
      </c>
      <c r="N74" s="46" t="s">
        <v>94</v>
      </c>
      <c r="O74" s="46" t="s">
        <v>132</v>
      </c>
      <c r="P74" s="49">
        <v>3</v>
      </c>
      <c r="Q74" s="48">
        <f>IF(X74&gt;0,P74/X74,0)</f>
        <v>0.6</v>
      </c>
      <c r="R74" s="49">
        <v>2</v>
      </c>
      <c r="S74" s="48">
        <f>IF(X74&gt;0,R74/X74,0)</f>
        <v>0.4</v>
      </c>
      <c r="T74" s="49">
        <v>0</v>
      </c>
      <c r="U74" s="48">
        <f>IF(X74&gt;0,T74/X74,0)</f>
        <v>0</v>
      </c>
      <c r="V74" s="49">
        <v>0</v>
      </c>
      <c r="W74" s="48">
        <f>IF(X74&gt;0,V74/X74,0)</f>
        <v>0</v>
      </c>
      <c r="X74" s="49">
        <v>5</v>
      </c>
      <c r="AA74" s="44" t="s">
        <v>135</v>
      </c>
      <c r="AB74" s="53">
        <v>0</v>
      </c>
      <c r="AD74" s="43" t="s">
        <v>136</v>
      </c>
      <c r="AE74" s="53">
        <v>0</v>
      </c>
      <c r="AF74" s="51">
        <v>0</v>
      </c>
      <c r="AG74" s="51">
        <v>0</v>
      </c>
      <c r="AH74" s="53">
        <v>0</v>
      </c>
      <c r="AI74" s="53">
        <v>0</v>
      </c>
    </row>
    <row r="75" spans="1:35" ht="21.75" customHeight="1" x14ac:dyDescent="0.3">
      <c r="A75" s="43" t="s">
        <v>97</v>
      </c>
      <c r="B75" s="50"/>
      <c r="C75" s="51">
        <v>0</v>
      </c>
      <c r="D75" s="48">
        <f>IF(C74&gt;0,C75/C74,0)</f>
        <v>0</v>
      </c>
      <c r="E75" s="51">
        <v>0</v>
      </c>
      <c r="F75" s="48">
        <f>IF(E74&gt;0,E75/E74,0)</f>
        <v>0</v>
      </c>
      <c r="G75" s="51">
        <v>0</v>
      </c>
      <c r="H75" s="48">
        <f>IF(G74&gt;0,G75/G74,0)</f>
        <v>0</v>
      </c>
      <c r="I75" s="51">
        <v>0</v>
      </c>
      <c r="J75" s="48">
        <f>IF(I74&gt;0,I75/I74,0)</f>
        <v>0</v>
      </c>
      <c r="K75" s="51"/>
      <c r="N75" s="46" t="s">
        <v>94</v>
      </c>
      <c r="O75" s="50"/>
      <c r="P75" s="52">
        <v>2</v>
      </c>
      <c r="Q75" s="48">
        <f>IF(P74&gt;0,P75/P74,0)</f>
        <v>0.66666666666666663</v>
      </c>
      <c r="R75" s="52">
        <v>2</v>
      </c>
      <c r="S75" s="48">
        <f>IF(R74&gt;0,R75/R74,0)</f>
        <v>1</v>
      </c>
      <c r="T75" s="52">
        <v>0</v>
      </c>
      <c r="U75" s="48">
        <f>IF(T74&gt;0,T75/T74,0)</f>
        <v>0</v>
      </c>
      <c r="V75" s="52">
        <v>0</v>
      </c>
      <c r="W75" s="48">
        <f>IF(V74&gt;0,V75/V74,0)</f>
        <v>0</v>
      </c>
      <c r="X75" s="52"/>
      <c r="AD75" s="43" t="s">
        <v>137</v>
      </c>
      <c r="AE75" s="53">
        <v>0</v>
      </c>
      <c r="AF75" s="51">
        <v>0</v>
      </c>
      <c r="AG75" s="51">
        <v>0</v>
      </c>
      <c r="AH75" s="53">
        <v>0</v>
      </c>
      <c r="AI75" s="53">
        <v>0</v>
      </c>
    </row>
    <row r="76" spans="1:35" ht="21.75" customHeight="1" x14ac:dyDescent="0.3">
      <c r="A76" s="43" t="s">
        <v>97</v>
      </c>
      <c r="B76" s="43" t="s">
        <v>134</v>
      </c>
      <c r="C76" s="47">
        <v>0</v>
      </c>
      <c r="D76" s="48">
        <f>IF(K76&gt;0,C76/K76,0)</f>
        <v>0</v>
      </c>
      <c r="E76" s="47">
        <v>0</v>
      </c>
      <c r="F76" s="48">
        <f>IF(K76&gt;0,E76/K76,0)</f>
        <v>0</v>
      </c>
      <c r="G76" s="47">
        <v>0</v>
      </c>
      <c r="H76" s="48">
        <f>IF(K76&gt;0,G76/K76,0)</f>
        <v>0</v>
      </c>
      <c r="I76" s="47">
        <v>0</v>
      </c>
      <c r="J76" s="48">
        <f>IF(K76&gt;0,I76/K76,0)</f>
        <v>0</v>
      </c>
      <c r="K76" s="47">
        <v>0</v>
      </c>
      <c r="N76" s="46" t="s">
        <v>94</v>
      </c>
      <c r="O76" s="46" t="s">
        <v>134</v>
      </c>
      <c r="P76" s="49">
        <v>1</v>
      </c>
      <c r="Q76" s="48">
        <f>IF(X76&gt;0,P76/X76,0)</f>
        <v>0.25</v>
      </c>
      <c r="R76" s="49">
        <v>2</v>
      </c>
      <c r="S76" s="48">
        <f>IF(X76&gt;0,R76/X76,0)</f>
        <v>0.5</v>
      </c>
      <c r="T76" s="49">
        <v>0</v>
      </c>
      <c r="U76" s="48">
        <f>IF(X76&gt;0,T76/X76,0)</f>
        <v>0</v>
      </c>
      <c r="V76" s="49">
        <v>0</v>
      </c>
      <c r="W76" s="48">
        <f>IF(X76&gt;0,V76/X76,0)</f>
        <v>0</v>
      </c>
      <c r="X76" s="49">
        <v>4</v>
      </c>
      <c r="AD76" s="43" t="s">
        <v>138</v>
      </c>
      <c r="AE76" s="53">
        <v>0</v>
      </c>
      <c r="AF76" s="51">
        <v>0</v>
      </c>
      <c r="AG76" s="51">
        <v>0</v>
      </c>
      <c r="AH76" s="53">
        <v>0</v>
      </c>
      <c r="AI76" s="53">
        <v>0</v>
      </c>
    </row>
    <row r="77" spans="1:35" ht="21.75" customHeight="1" x14ac:dyDescent="0.3">
      <c r="A77" s="43" t="s">
        <v>97</v>
      </c>
      <c r="B77" s="50"/>
      <c r="C77" s="51">
        <v>0</v>
      </c>
      <c r="D77" s="48">
        <f>IF(C76&gt;0,C77/C76,0)</f>
        <v>0</v>
      </c>
      <c r="E77" s="51">
        <v>0</v>
      </c>
      <c r="F77" s="48">
        <f>IF(E76&gt;0,E77/E76,0)</f>
        <v>0</v>
      </c>
      <c r="G77" s="51">
        <v>0</v>
      </c>
      <c r="H77" s="48">
        <f>IF(G76&gt;0,G77/G76,0)</f>
        <v>0</v>
      </c>
      <c r="I77" s="51">
        <v>0</v>
      </c>
      <c r="J77" s="48">
        <f>IF(I76&gt;0,I77/I76,0)</f>
        <v>0</v>
      </c>
      <c r="K77" s="51"/>
      <c r="N77" s="46" t="s">
        <v>94</v>
      </c>
      <c r="O77" s="50"/>
      <c r="P77" s="52">
        <v>0</v>
      </c>
      <c r="Q77" s="48">
        <f>IF(P76&gt;0,P77/P76,0)</f>
        <v>0</v>
      </c>
      <c r="R77" s="52">
        <v>1</v>
      </c>
      <c r="S77" s="48">
        <f>IF(R76&gt;0,R77/R76,0)</f>
        <v>0.5</v>
      </c>
      <c r="T77" s="52">
        <v>0</v>
      </c>
      <c r="U77" s="48">
        <f>IF(T76&gt;0,T77/T76,0)</f>
        <v>0</v>
      </c>
      <c r="V77" s="52">
        <v>0</v>
      </c>
      <c r="W77" s="48">
        <f>IF(V76&gt;0,V77/V76,0)</f>
        <v>0</v>
      </c>
      <c r="X77" s="52"/>
      <c r="AE77" s="54"/>
      <c r="AH77" s="54"/>
      <c r="AI77" s="54"/>
    </row>
    <row r="78" spans="1:35" ht="24" customHeight="1" x14ac:dyDescent="0.3">
      <c r="A78" s="43" t="s">
        <v>97</v>
      </c>
      <c r="B78" s="43" t="s">
        <v>136</v>
      </c>
      <c r="C78" s="47">
        <v>0</v>
      </c>
      <c r="D78" s="48">
        <f>IF(K78&gt;0,C78/K78,0)</f>
        <v>0</v>
      </c>
      <c r="E78" s="47">
        <v>0</v>
      </c>
      <c r="F78" s="48">
        <f>IF(K78&gt;0,E78/K78,0)</f>
        <v>0</v>
      </c>
      <c r="G78" s="47">
        <v>0</v>
      </c>
      <c r="H78" s="48">
        <f>IF(K78&gt;0,G78/K78,0)</f>
        <v>0</v>
      </c>
      <c r="I78" s="47">
        <v>0</v>
      </c>
      <c r="J78" s="48">
        <f>IF(K78&gt;0,I78/K78,0)</f>
        <v>0</v>
      </c>
      <c r="K78" s="47">
        <v>0</v>
      </c>
      <c r="N78" s="46" t="s">
        <v>94</v>
      </c>
      <c r="O78" s="46" t="s">
        <v>136</v>
      </c>
      <c r="P78" s="49">
        <v>2</v>
      </c>
      <c r="Q78" s="48">
        <f>IF(X78&gt;0,P78/X78,0)</f>
        <v>0.4</v>
      </c>
      <c r="R78" s="49">
        <v>1</v>
      </c>
      <c r="S78" s="48">
        <f>IF(X78&gt;0,R78/X78,0)</f>
        <v>0.2</v>
      </c>
      <c r="T78" s="49">
        <v>1</v>
      </c>
      <c r="U78" s="48">
        <f>IF(X78&gt;0,T78/X78,0)</f>
        <v>0.2</v>
      </c>
      <c r="V78" s="49">
        <v>1</v>
      </c>
      <c r="W78" s="48">
        <f>IF(X78&gt;0,V78/X78,0)</f>
        <v>0.2</v>
      </c>
      <c r="X78" s="49">
        <v>5</v>
      </c>
      <c r="AA78" s="46"/>
      <c r="AB78" s="44" t="s">
        <v>101</v>
      </c>
      <c r="AD78" s="46" t="s">
        <v>94</v>
      </c>
      <c r="AE78" s="55" t="s">
        <v>101</v>
      </c>
      <c r="AF78" s="44" t="s">
        <v>102</v>
      </c>
      <c r="AG78" s="44" t="s">
        <v>26</v>
      </c>
      <c r="AH78" s="55" t="s">
        <v>106</v>
      </c>
      <c r="AI78" s="55" t="s">
        <v>125</v>
      </c>
    </row>
    <row r="79" spans="1:35" ht="21.75" customHeight="1" x14ac:dyDescent="0.3">
      <c r="A79" s="43" t="s">
        <v>97</v>
      </c>
      <c r="B79" s="50"/>
      <c r="C79" s="51">
        <v>0</v>
      </c>
      <c r="D79" s="48">
        <f>IF(C78&gt;0,C79/C78,0)</f>
        <v>0</v>
      </c>
      <c r="E79" s="51">
        <v>0</v>
      </c>
      <c r="F79" s="48">
        <f>IF(E78&gt;0,E79/E78,0)</f>
        <v>0</v>
      </c>
      <c r="G79" s="51">
        <v>0</v>
      </c>
      <c r="H79" s="48">
        <f>IF(G78&gt;0,G79/G78,0)</f>
        <v>0</v>
      </c>
      <c r="I79" s="51">
        <v>0</v>
      </c>
      <c r="J79" s="48">
        <f>IF(I78&gt;0,I79/I78,0)</f>
        <v>0</v>
      </c>
      <c r="K79" s="51"/>
      <c r="N79" s="46" t="s">
        <v>94</v>
      </c>
      <c r="O79" s="50"/>
      <c r="P79" s="52">
        <v>2</v>
      </c>
      <c r="Q79" s="48">
        <f>IF(P78&gt;0,P79/P78,0)</f>
        <v>1</v>
      </c>
      <c r="R79" s="52">
        <v>1</v>
      </c>
      <c r="S79" s="48">
        <f>IF(R78&gt;0,R79/R78,0)</f>
        <v>1</v>
      </c>
      <c r="T79" s="52">
        <v>1</v>
      </c>
      <c r="U79" s="48">
        <f>IF(T78&gt;0,T79/T78,0)</f>
        <v>1</v>
      </c>
      <c r="V79" s="52">
        <v>1</v>
      </c>
      <c r="W79" s="48">
        <f>IF(V78&gt;0,V79/V78,0)</f>
        <v>1</v>
      </c>
      <c r="X79" s="52"/>
      <c r="AA79" s="44" t="s">
        <v>126</v>
      </c>
      <c r="AB79" s="53">
        <v>0.46</v>
      </c>
      <c r="AD79" s="46" t="s">
        <v>124</v>
      </c>
      <c r="AE79" s="53">
        <v>0.12</v>
      </c>
      <c r="AF79" s="51">
        <v>8</v>
      </c>
      <c r="AG79" s="51">
        <v>4</v>
      </c>
      <c r="AH79" s="53">
        <v>0.5</v>
      </c>
      <c r="AI79" s="53">
        <v>0.38</v>
      </c>
    </row>
    <row r="80" spans="1:35" ht="21.75" customHeight="1" x14ac:dyDescent="0.3">
      <c r="A80" s="162" t="s">
        <v>139</v>
      </c>
      <c r="B80" s="163"/>
      <c r="C80" s="163"/>
      <c r="D80" s="163"/>
      <c r="E80" s="163"/>
      <c r="F80" s="164"/>
      <c r="G80" s="157" t="s">
        <v>140</v>
      </c>
      <c r="H80" s="158"/>
      <c r="I80" s="158"/>
      <c r="J80" s="158"/>
      <c r="K80" s="158"/>
      <c r="L80" s="158"/>
      <c r="N80" s="162" t="s">
        <v>139</v>
      </c>
      <c r="O80" s="163"/>
      <c r="P80" s="163"/>
      <c r="Q80" s="163"/>
      <c r="R80" s="163"/>
      <c r="S80" s="164"/>
      <c r="T80" s="157" t="s">
        <v>140</v>
      </c>
      <c r="U80" s="158"/>
      <c r="V80" s="158"/>
      <c r="W80" s="158"/>
      <c r="X80" s="158"/>
      <c r="Y80" s="158"/>
      <c r="AA80" s="44" t="s">
        <v>128</v>
      </c>
      <c r="AB80" s="53">
        <v>0.56000000000000005</v>
      </c>
      <c r="AD80" s="46" t="s">
        <v>127</v>
      </c>
      <c r="AE80" s="53">
        <v>0.62</v>
      </c>
      <c r="AF80" s="51">
        <v>8</v>
      </c>
      <c r="AG80" s="51">
        <v>5</v>
      </c>
      <c r="AH80" s="53">
        <v>0.62</v>
      </c>
      <c r="AI80" s="53">
        <v>0</v>
      </c>
    </row>
    <row r="81" spans="1:48" ht="21.75" customHeight="1" x14ac:dyDescent="0.3">
      <c r="A81" s="56">
        <v>0</v>
      </c>
      <c r="B81" s="57"/>
      <c r="C81" s="58">
        <v>0</v>
      </c>
      <c r="D81" s="57"/>
      <c r="E81" s="58">
        <v>0</v>
      </c>
      <c r="F81" s="57"/>
      <c r="G81" s="56">
        <v>0</v>
      </c>
      <c r="H81" s="57"/>
      <c r="I81" s="56">
        <v>0</v>
      </c>
      <c r="J81" s="57"/>
      <c r="K81" s="56">
        <v>0</v>
      </c>
      <c r="L81" s="57"/>
      <c r="N81" s="56">
        <v>16</v>
      </c>
      <c r="O81" s="57"/>
      <c r="P81" s="58">
        <v>13</v>
      </c>
      <c r="Q81" s="57"/>
      <c r="R81" s="58">
        <v>4</v>
      </c>
      <c r="S81" s="57"/>
      <c r="T81" s="56">
        <v>23</v>
      </c>
      <c r="U81" s="57"/>
      <c r="V81" s="56">
        <v>8</v>
      </c>
      <c r="W81" s="57"/>
      <c r="X81" s="56">
        <v>8</v>
      </c>
      <c r="Y81" s="57"/>
      <c r="AA81" s="44" t="s">
        <v>129</v>
      </c>
      <c r="AB81" s="53">
        <v>0.57999999999999996</v>
      </c>
      <c r="AD81" s="46" t="s">
        <v>130</v>
      </c>
      <c r="AE81" s="53">
        <v>0.56999999999999995</v>
      </c>
      <c r="AF81" s="51">
        <v>7</v>
      </c>
      <c r="AG81" s="51">
        <v>5</v>
      </c>
      <c r="AH81" s="53">
        <v>0.71</v>
      </c>
      <c r="AI81" s="53">
        <v>0.14000000000000001</v>
      </c>
    </row>
    <row r="82" spans="1:48" ht="21.75" customHeight="1" x14ac:dyDescent="0.3">
      <c r="A82" s="59">
        <v>0</v>
      </c>
      <c r="B82" s="60">
        <v>0</v>
      </c>
      <c r="C82" s="61">
        <v>0</v>
      </c>
      <c r="D82" s="60">
        <v>0</v>
      </c>
      <c r="E82" s="61">
        <v>0</v>
      </c>
      <c r="F82" s="60">
        <v>0</v>
      </c>
      <c r="G82" s="59">
        <v>0</v>
      </c>
      <c r="H82" s="60">
        <v>0</v>
      </c>
      <c r="I82" s="59">
        <v>0</v>
      </c>
      <c r="J82" s="60">
        <v>0</v>
      </c>
      <c r="K82" s="59">
        <v>0</v>
      </c>
      <c r="L82" s="60">
        <v>0</v>
      </c>
      <c r="N82" s="59">
        <v>9</v>
      </c>
      <c r="O82" s="60">
        <v>0.56000000000000005</v>
      </c>
      <c r="P82" s="61">
        <v>10</v>
      </c>
      <c r="Q82" s="60">
        <v>0.77</v>
      </c>
      <c r="R82" s="61">
        <v>3</v>
      </c>
      <c r="S82" s="60">
        <v>0.75</v>
      </c>
      <c r="T82" s="59">
        <v>9</v>
      </c>
      <c r="U82" s="60">
        <v>0.39</v>
      </c>
      <c r="V82" s="59">
        <v>6</v>
      </c>
      <c r="W82" s="60">
        <v>0.75</v>
      </c>
      <c r="X82" s="59">
        <v>2</v>
      </c>
      <c r="Y82" s="60">
        <v>0.25</v>
      </c>
      <c r="AA82" s="44" t="s">
        <v>131</v>
      </c>
      <c r="AB82" s="53">
        <v>0.28999999999999998</v>
      </c>
      <c r="AD82" s="46" t="s">
        <v>132</v>
      </c>
      <c r="AE82" s="53">
        <v>0.8</v>
      </c>
      <c r="AF82" s="51">
        <v>5</v>
      </c>
      <c r="AG82" s="51">
        <v>4</v>
      </c>
      <c r="AH82" s="53">
        <v>0.8</v>
      </c>
      <c r="AI82" s="53">
        <v>0</v>
      </c>
    </row>
    <row r="83" spans="1:48" ht="21.75" customHeight="1" x14ac:dyDescent="0.3">
      <c r="A83" s="62"/>
      <c r="B83" s="63"/>
      <c r="C83" s="58">
        <v>0</v>
      </c>
      <c r="D83" s="57"/>
      <c r="E83" s="64">
        <v>0</v>
      </c>
      <c r="F83" s="57"/>
      <c r="G83" s="56"/>
      <c r="H83" s="57"/>
      <c r="I83" s="64">
        <v>0</v>
      </c>
      <c r="J83" s="65"/>
      <c r="K83" s="56">
        <v>0</v>
      </c>
      <c r="L83" s="57"/>
      <c r="N83" s="62"/>
      <c r="O83" s="63"/>
      <c r="P83" s="58">
        <v>2</v>
      </c>
      <c r="Q83" s="57"/>
      <c r="R83" s="64">
        <v>1</v>
      </c>
      <c r="S83" s="57"/>
      <c r="T83" s="56"/>
      <c r="U83" s="57"/>
      <c r="V83" s="64">
        <v>2</v>
      </c>
      <c r="W83" s="65"/>
      <c r="X83" s="56">
        <v>6</v>
      </c>
      <c r="Y83" s="57"/>
      <c r="AA83" s="44" t="s">
        <v>133</v>
      </c>
      <c r="AB83" s="53">
        <v>0.17</v>
      </c>
      <c r="AD83" s="46" t="s">
        <v>134</v>
      </c>
      <c r="AE83" s="53">
        <v>0.5</v>
      </c>
      <c r="AF83" s="51">
        <v>4</v>
      </c>
      <c r="AG83" s="51">
        <v>2</v>
      </c>
      <c r="AH83" s="53">
        <v>0.5</v>
      </c>
      <c r="AI83" s="53">
        <v>0</v>
      </c>
    </row>
    <row r="84" spans="1:48" ht="21.75" customHeight="1" x14ac:dyDescent="0.3">
      <c r="A84" s="66"/>
      <c r="B84" s="67"/>
      <c r="C84" s="61">
        <v>0</v>
      </c>
      <c r="D84" s="60">
        <v>0</v>
      </c>
      <c r="E84" s="68">
        <v>0</v>
      </c>
      <c r="F84" s="69">
        <v>0</v>
      </c>
      <c r="G84" s="59"/>
      <c r="H84" s="60"/>
      <c r="I84" s="68">
        <v>0</v>
      </c>
      <c r="J84" s="70">
        <v>0</v>
      </c>
      <c r="K84" s="59">
        <v>0</v>
      </c>
      <c r="L84" s="60">
        <v>0</v>
      </c>
      <c r="N84" s="66"/>
      <c r="O84" s="67"/>
      <c r="P84" s="61">
        <v>1</v>
      </c>
      <c r="Q84" s="60">
        <v>0.5</v>
      </c>
      <c r="R84" s="68">
        <v>1</v>
      </c>
      <c r="S84" s="69">
        <v>1</v>
      </c>
      <c r="T84" s="59"/>
      <c r="U84" s="60"/>
      <c r="V84" s="68">
        <v>0</v>
      </c>
      <c r="W84" s="70">
        <v>0</v>
      </c>
      <c r="X84" s="59">
        <v>3</v>
      </c>
      <c r="Y84" s="60">
        <v>0.5</v>
      </c>
      <c r="AA84" s="44" t="s">
        <v>135</v>
      </c>
      <c r="AB84" s="53">
        <v>0.32</v>
      </c>
      <c r="AD84" s="46" t="s">
        <v>136</v>
      </c>
      <c r="AE84" s="53">
        <v>1</v>
      </c>
      <c r="AF84" s="51">
        <v>5</v>
      </c>
      <c r="AG84" s="51">
        <v>5</v>
      </c>
      <c r="AH84" s="53">
        <v>1</v>
      </c>
      <c r="AI84" s="53">
        <v>0</v>
      </c>
    </row>
    <row r="85" spans="1:48" ht="21.75" customHeight="1" x14ac:dyDescent="0.3">
      <c r="A85" s="71"/>
      <c r="B85" s="72"/>
      <c r="AD85" s="46" t="s">
        <v>137</v>
      </c>
      <c r="AE85" s="53">
        <v>0.56999999999999995</v>
      </c>
      <c r="AF85" s="51">
        <v>37</v>
      </c>
      <c r="AG85" s="51">
        <v>25</v>
      </c>
      <c r="AH85" s="53">
        <v>0.68</v>
      </c>
      <c r="AI85" s="53">
        <v>0.11</v>
      </c>
    </row>
    <row r="86" spans="1:48" ht="21.75" customHeight="1" x14ac:dyDescent="0.3">
      <c r="D86" s="73"/>
      <c r="AD86" s="46" t="s">
        <v>138</v>
      </c>
      <c r="AE86" s="53">
        <v>0.32</v>
      </c>
      <c r="AF86" s="51">
        <v>47</v>
      </c>
      <c r="AG86" s="51">
        <v>20</v>
      </c>
      <c r="AH86" s="53">
        <v>0.43</v>
      </c>
      <c r="AI86" s="53">
        <v>0.11</v>
      </c>
    </row>
    <row r="88" spans="1:48" ht="14.25" customHeight="1" x14ac:dyDescent="0.3">
      <c r="A88" s="155" t="s">
        <v>141</v>
      </c>
      <c r="B88" s="151"/>
      <c r="C88" s="151"/>
      <c r="D88" s="151"/>
      <c r="E88" s="151"/>
      <c r="F88" s="151"/>
      <c r="G88" s="151"/>
      <c r="H88" s="151"/>
      <c r="I88" s="151"/>
      <c r="J88" s="151"/>
      <c r="K88" s="151"/>
    </row>
    <row r="89" spans="1:48" ht="14.25" customHeight="1" x14ac:dyDescent="0.3">
      <c r="A89" s="74"/>
      <c r="B89" s="75" t="s">
        <v>142</v>
      </c>
      <c r="C89" s="75" t="s">
        <v>102</v>
      </c>
      <c r="D89" s="75" t="s">
        <v>143</v>
      </c>
      <c r="E89" s="75" t="s">
        <v>26</v>
      </c>
      <c r="F89" s="12" t="s">
        <v>103</v>
      </c>
      <c r="G89" s="74" t="s">
        <v>104</v>
      </c>
      <c r="H89" s="75" t="s">
        <v>105</v>
      </c>
      <c r="I89" s="74"/>
      <c r="J89" s="75" t="s">
        <v>142</v>
      </c>
      <c r="K89" s="75" t="s">
        <v>102</v>
      </c>
      <c r="L89" s="75" t="s">
        <v>143</v>
      </c>
      <c r="M89" s="75" t="s">
        <v>26</v>
      </c>
      <c r="N89" s="12" t="s">
        <v>103</v>
      </c>
      <c r="O89" s="74" t="s">
        <v>104</v>
      </c>
      <c r="P89" s="75" t="s">
        <v>105</v>
      </c>
      <c r="Q89" s="74"/>
      <c r="R89" s="75" t="s">
        <v>142</v>
      </c>
      <c r="S89" s="75" t="s">
        <v>102</v>
      </c>
      <c r="T89" s="75" t="s">
        <v>143</v>
      </c>
      <c r="U89" s="75" t="s">
        <v>26</v>
      </c>
      <c r="V89" s="75" t="s">
        <v>103</v>
      </c>
      <c r="W89" s="75" t="s">
        <v>104</v>
      </c>
      <c r="X89" s="12" t="s">
        <v>105</v>
      </c>
      <c r="Y89" s="74"/>
      <c r="Z89" s="75" t="s">
        <v>142</v>
      </c>
      <c r="AA89" s="75" t="s">
        <v>102</v>
      </c>
      <c r="AB89" s="75" t="s">
        <v>143</v>
      </c>
      <c r="AC89" s="75" t="s">
        <v>26</v>
      </c>
      <c r="AD89" s="12" t="s">
        <v>103</v>
      </c>
      <c r="AE89" s="74" t="s">
        <v>104</v>
      </c>
      <c r="AF89" s="75" t="s">
        <v>105</v>
      </c>
      <c r="AG89" s="74"/>
      <c r="AH89" s="75" t="s">
        <v>142</v>
      </c>
      <c r="AI89" s="75" t="s">
        <v>102</v>
      </c>
      <c r="AJ89" s="75" t="s">
        <v>143</v>
      </c>
      <c r="AK89" s="75" t="s">
        <v>26</v>
      </c>
      <c r="AL89" s="75" t="s">
        <v>103</v>
      </c>
      <c r="AM89" s="75" t="s">
        <v>104</v>
      </c>
      <c r="AN89" s="12" t="s">
        <v>105</v>
      </c>
      <c r="AO89" s="74"/>
      <c r="AP89" s="75" t="s">
        <v>142</v>
      </c>
      <c r="AQ89" s="75" t="s">
        <v>102</v>
      </c>
      <c r="AR89" s="75" t="s">
        <v>143</v>
      </c>
      <c r="AS89" s="75" t="s">
        <v>26</v>
      </c>
      <c r="AT89" s="75" t="s">
        <v>103</v>
      </c>
      <c r="AU89" s="75" t="s">
        <v>104</v>
      </c>
      <c r="AV89" s="12" t="s">
        <v>105</v>
      </c>
    </row>
    <row r="90" spans="1:48" ht="14.25" customHeight="1" x14ac:dyDescent="0.3">
      <c r="A90" s="76" t="s">
        <v>144</v>
      </c>
      <c r="B90" s="10" t="s">
        <v>145</v>
      </c>
      <c r="C90" s="77">
        <v>0</v>
      </c>
      <c r="D90" s="77">
        <v>0</v>
      </c>
      <c r="E90" s="77">
        <v>0</v>
      </c>
      <c r="F90" s="78">
        <v>0</v>
      </c>
      <c r="G90" s="78">
        <v>0</v>
      </c>
      <c r="H90" s="77">
        <v>0</v>
      </c>
      <c r="I90" s="76" t="s">
        <v>146</v>
      </c>
      <c r="J90" s="10" t="s">
        <v>145</v>
      </c>
      <c r="K90" s="77">
        <v>14</v>
      </c>
      <c r="L90" s="79">
        <v>0.1429</v>
      </c>
      <c r="M90" s="77">
        <v>3</v>
      </c>
      <c r="N90" s="78">
        <v>2</v>
      </c>
      <c r="O90" s="78">
        <v>2</v>
      </c>
      <c r="P90" s="77">
        <v>1</v>
      </c>
      <c r="Q90" s="76" t="s">
        <v>87</v>
      </c>
      <c r="R90" s="10" t="s">
        <v>145</v>
      </c>
      <c r="S90" s="77">
        <v>0</v>
      </c>
      <c r="T90" s="10" t="s">
        <v>80</v>
      </c>
      <c r="U90" s="77">
        <v>0</v>
      </c>
      <c r="V90" s="77">
        <v>0</v>
      </c>
      <c r="W90" s="77">
        <v>0</v>
      </c>
      <c r="X90" s="78">
        <v>0</v>
      </c>
      <c r="Y90" s="76" t="s">
        <v>85</v>
      </c>
      <c r="Z90" s="10" t="s">
        <v>145</v>
      </c>
      <c r="AA90" s="77">
        <v>2</v>
      </c>
      <c r="AB90" s="79">
        <v>0.75</v>
      </c>
      <c r="AC90" s="77">
        <v>1</v>
      </c>
      <c r="AD90" s="78">
        <v>1</v>
      </c>
      <c r="AE90" s="78">
        <v>0</v>
      </c>
      <c r="AF90" s="77">
        <v>0</v>
      </c>
      <c r="AG90" s="76" t="s">
        <v>86</v>
      </c>
      <c r="AH90" s="10" t="s">
        <v>145</v>
      </c>
      <c r="AI90" s="77">
        <v>0</v>
      </c>
      <c r="AJ90" s="10" t="s">
        <v>80</v>
      </c>
      <c r="AK90" s="77">
        <v>0</v>
      </c>
      <c r="AL90" s="77">
        <v>0</v>
      </c>
      <c r="AM90" s="77">
        <v>0</v>
      </c>
      <c r="AN90" s="78">
        <v>0</v>
      </c>
      <c r="AO90" s="76" t="s">
        <v>88</v>
      </c>
      <c r="AP90" s="10" t="s">
        <v>145</v>
      </c>
      <c r="AQ90" s="77">
        <v>1</v>
      </c>
      <c r="AR90" s="77">
        <v>1</v>
      </c>
      <c r="AS90" s="77">
        <v>1</v>
      </c>
      <c r="AT90" s="77">
        <v>0</v>
      </c>
      <c r="AU90" s="77">
        <v>0</v>
      </c>
      <c r="AV90" s="78">
        <v>0</v>
      </c>
    </row>
    <row r="91" spans="1:48" ht="14.25" customHeight="1" x14ac:dyDescent="0.3">
      <c r="A91" s="76" t="s">
        <v>144</v>
      </c>
      <c r="B91" s="10" t="s">
        <v>147</v>
      </c>
      <c r="C91" s="77">
        <v>0</v>
      </c>
      <c r="D91" s="10" t="s">
        <v>80</v>
      </c>
      <c r="E91" s="77">
        <v>0</v>
      </c>
      <c r="F91" s="78">
        <v>0</v>
      </c>
      <c r="G91" s="80">
        <v>0</v>
      </c>
      <c r="H91" s="77">
        <v>0</v>
      </c>
      <c r="I91" s="76" t="s">
        <v>146</v>
      </c>
      <c r="J91" s="10" t="s">
        <v>147</v>
      </c>
      <c r="K91" s="77">
        <v>8</v>
      </c>
      <c r="L91" s="79">
        <v>0.1875</v>
      </c>
      <c r="M91" s="77">
        <v>1</v>
      </c>
      <c r="N91" s="78">
        <v>2</v>
      </c>
      <c r="O91" s="80">
        <v>1</v>
      </c>
      <c r="P91" s="77">
        <v>0</v>
      </c>
      <c r="Q91" s="76" t="s">
        <v>87</v>
      </c>
      <c r="R91" s="10" t="s">
        <v>147</v>
      </c>
      <c r="S91" s="77">
        <v>0</v>
      </c>
      <c r="T91" s="10" t="s">
        <v>80</v>
      </c>
      <c r="U91" s="77">
        <v>0</v>
      </c>
      <c r="V91" s="77">
        <v>0</v>
      </c>
      <c r="W91" s="77">
        <v>0</v>
      </c>
      <c r="X91" s="78">
        <v>0</v>
      </c>
      <c r="Y91" s="76" t="s">
        <v>85</v>
      </c>
      <c r="Z91" s="10" t="s">
        <v>147</v>
      </c>
      <c r="AA91" s="77">
        <v>4</v>
      </c>
      <c r="AB91" s="79">
        <v>0.375</v>
      </c>
      <c r="AC91" s="77">
        <v>0</v>
      </c>
      <c r="AD91" s="78">
        <v>3</v>
      </c>
      <c r="AE91" s="80">
        <v>0</v>
      </c>
      <c r="AF91" s="77">
        <v>0</v>
      </c>
      <c r="AG91" s="76" t="s">
        <v>86</v>
      </c>
      <c r="AH91" s="10" t="s">
        <v>147</v>
      </c>
      <c r="AI91" s="77">
        <v>2</v>
      </c>
      <c r="AJ91" s="79">
        <v>0.5</v>
      </c>
      <c r="AK91" s="77">
        <v>1</v>
      </c>
      <c r="AL91" s="77">
        <v>0</v>
      </c>
      <c r="AM91" s="77">
        <v>0</v>
      </c>
      <c r="AN91" s="78">
        <v>0</v>
      </c>
      <c r="AO91" s="76" t="s">
        <v>88</v>
      </c>
      <c r="AP91" s="10" t="s">
        <v>147</v>
      </c>
      <c r="AQ91" s="77">
        <v>1</v>
      </c>
      <c r="AR91" s="77">
        <v>0</v>
      </c>
      <c r="AS91" s="77">
        <v>0</v>
      </c>
      <c r="AT91" s="77">
        <v>0</v>
      </c>
      <c r="AU91" s="77">
        <v>0</v>
      </c>
      <c r="AV91" s="78">
        <v>0</v>
      </c>
    </row>
    <row r="92" spans="1:48" ht="14.25" customHeight="1" x14ac:dyDescent="0.3">
      <c r="A92" s="76" t="s">
        <v>144</v>
      </c>
      <c r="B92" s="10" t="s">
        <v>148</v>
      </c>
      <c r="C92" s="77">
        <v>0</v>
      </c>
      <c r="D92" s="10" t="s">
        <v>80</v>
      </c>
      <c r="E92" s="77">
        <v>0</v>
      </c>
      <c r="F92" s="78">
        <v>0</v>
      </c>
      <c r="G92" s="80">
        <v>0</v>
      </c>
      <c r="H92" s="77">
        <v>0</v>
      </c>
      <c r="I92" s="76" t="s">
        <v>146</v>
      </c>
      <c r="J92" s="10" t="s">
        <v>148</v>
      </c>
      <c r="K92" s="77">
        <v>0</v>
      </c>
      <c r="L92" s="10" t="s">
        <v>80</v>
      </c>
      <c r="M92" s="77">
        <v>0</v>
      </c>
      <c r="N92" s="78">
        <v>0</v>
      </c>
      <c r="O92" s="80">
        <v>0</v>
      </c>
      <c r="P92" s="77">
        <v>0</v>
      </c>
      <c r="Q92" s="76" t="s">
        <v>87</v>
      </c>
      <c r="R92" s="10" t="s">
        <v>148</v>
      </c>
      <c r="S92" s="77">
        <v>0</v>
      </c>
      <c r="T92" s="10" t="s">
        <v>80</v>
      </c>
      <c r="U92" s="77">
        <v>0</v>
      </c>
      <c r="V92" s="77">
        <v>0</v>
      </c>
      <c r="W92" s="77">
        <v>0</v>
      </c>
      <c r="X92" s="78">
        <v>0</v>
      </c>
      <c r="Y92" s="76" t="s">
        <v>85</v>
      </c>
      <c r="Z92" s="10" t="s">
        <v>148</v>
      </c>
      <c r="AA92" s="77">
        <v>2</v>
      </c>
      <c r="AB92" s="79">
        <v>0.75</v>
      </c>
      <c r="AC92" s="77">
        <v>1</v>
      </c>
      <c r="AD92" s="78">
        <v>1</v>
      </c>
      <c r="AE92" s="80">
        <v>0</v>
      </c>
      <c r="AF92" s="77">
        <v>0</v>
      </c>
      <c r="AG92" s="76" t="s">
        <v>86</v>
      </c>
      <c r="AH92" s="10" t="s">
        <v>148</v>
      </c>
      <c r="AI92" s="77">
        <v>3</v>
      </c>
      <c r="AJ92" s="79">
        <v>0.66669999999999996</v>
      </c>
      <c r="AK92" s="77">
        <v>1</v>
      </c>
      <c r="AL92" s="77">
        <v>2</v>
      </c>
      <c r="AM92" s="77">
        <v>0</v>
      </c>
      <c r="AN92" s="78">
        <v>0</v>
      </c>
      <c r="AO92" s="76" t="s">
        <v>88</v>
      </c>
      <c r="AP92" s="10" t="s">
        <v>148</v>
      </c>
      <c r="AQ92" s="77">
        <v>0</v>
      </c>
      <c r="AR92" s="10" t="s">
        <v>80</v>
      </c>
      <c r="AS92" s="77">
        <v>0</v>
      </c>
      <c r="AT92" s="77">
        <v>0</v>
      </c>
      <c r="AU92" s="77">
        <v>0</v>
      </c>
      <c r="AV92" s="78">
        <v>0</v>
      </c>
    </row>
    <row r="93" spans="1:48" ht="14.25" customHeight="1" x14ac:dyDescent="0.3">
      <c r="A93" s="76" t="s">
        <v>144</v>
      </c>
      <c r="B93" s="10" t="s">
        <v>149</v>
      </c>
      <c r="C93" s="77">
        <v>0</v>
      </c>
      <c r="D93" s="10" t="s">
        <v>80</v>
      </c>
      <c r="E93" s="77">
        <v>0</v>
      </c>
      <c r="F93" s="78">
        <v>0</v>
      </c>
      <c r="G93" s="80">
        <v>0</v>
      </c>
      <c r="H93" s="77">
        <v>0</v>
      </c>
      <c r="I93" s="76" t="s">
        <v>146</v>
      </c>
      <c r="J93" s="10" t="s">
        <v>149</v>
      </c>
      <c r="K93" s="77">
        <v>1</v>
      </c>
      <c r="L93" s="77">
        <v>0</v>
      </c>
      <c r="M93" s="77">
        <v>0</v>
      </c>
      <c r="N93" s="78">
        <v>0</v>
      </c>
      <c r="O93" s="80">
        <v>0</v>
      </c>
      <c r="P93" s="77">
        <v>0</v>
      </c>
      <c r="Q93" s="76" t="s">
        <v>87</v>
      </c>
      <c r="R93" s="10" t="s">
        <v>149</v>
      </c>
      <c r="S93" s="77">
        <v>0</v>
      </c>
      <c r="T93" s="10" t="s">
        <v>80</v>
      </c>
      <c r="U93" s="77">
        <v>0</v>
      </c>
      <c r="V93" s="77">
        <v>0</v>
      </c>
      <c r="W93" s="77">
        <v>0</v>
      </c>
      <c r="X93" s="78">
        <v>0</v>
      </c>
      <c r="Y93" s="76" t="s">
        <v>85</v>
      </c>
      <c r="Z93" s="10" t="s">
        <v>149</v>
      </c>
      <c r="AA93" s="77">
        <v>0</v>
      </c>
      <c r="AB93" s="10" t="s">
        <v>80</v>
      </c>
      <c r="AC93" s="77">
        <v>0</v>
      </c>
      <c r="AD93" s="78">
        <v>0</v>
      </c>
      <c r="AE93" s="80">
        <v>0</v>
      </c>
      <c r="AF93" s="77">
        <v>0</v>
      </c>
      <c r="AG93" s="76" t="s">
        <v>86</v>
      </c>
      <c r="AH93" s="10" t="s">
        <v>149</v>
      </c>
      <c r="AI93" s="77">
        <v>1</v>
      </c>
      <c r="AJ93" s="77">
        <v>0</v>
      </c>
      <c r="AK93" s="77">
        <v>0</v>
      </c>
      <c r="AL93" s="77">
        <v>0</v>
      </c>
      <c r="AM93" s="77">
        <v>0</v>
      </c>
      <c r="AN93" s="78">
        <v>0</v>
      </c>
      <c r="AO93" s="76" t="s">
        <v>88</v>
      </c>
      <c r="AP93" s="10" t="s">
        <v>149</v>
      </c>
      <c r="AQ93" s="77">
        <v>0</v>
      </c>
      <c r="AR93" s="10" t="s">
        <v>80</v>
      </c>
      <c r="AS93" s="77">
        <v>0</v>
      </c>
      <c r="AT93" s="77">
        <v>0</v>
      </c>
      <c r="AU93" s="77">
        <v>0</v>
      </c>
      <c r="AV93" s="78">
        <v>0</v>
      </c>
    </row>
    <row r="94" spans="1:48" ht="14.25" customHeight="1" x14ac:dyDescent="0.3">
      <c r="A94" s="76" t="s">
        <v>144</v>
      </c>
      <c r="B94" s="10" t="s">
        <v>150</v>
      </c>
      <c r="C94" s="77">
        <v>0</v>
      </c>
      <c r="D94" s="10" t="s">
        <v>80</v>
      </c>
      <c r="E94" s="77">
        <v>0</v>
      </c>
      <c r="F94" s="78">
        <v>0</v>
      </c>
      <c r="G94" s="80">
        <v>0</v>
      </c>
      <c r="H94" s="77">
        <v>0</v>
      </c>
      <c r="I94" s="76" t="s">
        <v>146</v>
      </c>
      <c r="J94" s="10" t="s">
        <v>150</v>
      </c>
      <c r="K94" s="77">
        <v>6</v>
      </c>
      <c r="L94" s="79">
        <v>0.33329999999999999</v>
      </c>
      <c r="M94" s="77">
        <v>1</v>
      </c>
      <c r="N94" s="78">
        <v>2</v>
      </c>
      <c r="O94" s="80">
        <v>0</v>
      </c>
      <c r="P94" s="77">
        <v>0</v>
      </c>
      <c r="Q94" s="76" t="s">
        <v>87</v>
      </c>
      <c r="R94" s="10" t="s">
        <v>150</v>
      </c>
      <c r="S94" s="77">
        <v>0</v>
      </c>
      <c r="T94" s="10" t="s">
        <v>80</v>
      </c>
      <c r="U94" s="77">
        <v>0</v>
      </c>
      <c r="V94" s="77">
        <v>0</v>
      </c>
      <c r="W94" s="77">
        <v>0</v>
      </c>
      <c r="X94" s="78">
        <v>0</v>
      </c>
      <c r="Y94" s="76" t="s">
        <v>85</v>
      </c>
      <c r="Z94" s="10" t="s">
        <v>150</v>
      </c>
      <c r="AA94" s="77">
        <v>5</v>
      </c>
      <c r="AB94" s="79">
        <v>0.6</v>
      </c>
      <c r="AC94" s="77">
        <v>2</v>
      </c>
      <c r="AD94" s="78">
        <v>2</v>
      </c>
      <c r="AE94" s="80">
        <v>0</v>
      </c>
      <c r="AF94" s="77">
        <v>0</v>
      </c>
      <c r="AG94" s="76" t="s">
        <v>86</v>
      </c>
      <c r="AH94" s="10" t="s">
        <v>150</v>
      </c>
      <c r="AI94" s="77">
        <v>5</v>
      </c>
      <c r="AJ94" s="79">
        <v>0.8</v>
      </c>
      <c r="AK94" s="77">
        <v>3</v>
      </c>
      <c r="AL94" s="77">
        <v>2</v>
      </c>
      <c r="AM94" s="77">
        <v>0</v>
      </c>
      <c r="AN94" s="78">
        <v>0</v>
      </c>
      <c r="AO94" s="76" t="s">
        <v>88</v>
      </c>
      <c r="AP94" s="10" t="s">
        <v>150</v>
      </c>
      <c r="AQ94" s="77">
        <v>0</v>
      </c>
      <c r="AR94" s="10" t="s">
        <v>80</v>
      </c>
      <c r="AS94" s="77">
        <v>0</v>
      </c>
      <c r="AT94" s="77">
        <v>0</v>
      </c>
      <c r="AU94" s="77">
        <v>0</v>
      </c>
      <c r="AV94" s="78">
        <v>0</v>
      </c>
    </row>
    <row r="95" spans="1:48" ht="14.25" customHeight="1" x14ac:dyDescent="0.3">
      <c r="A95" s="81" t="s">
        <v>144</v>
      </c>
      <c r="B95" s="82" t="s">
        <v>151</v>
      </c>
      <c r="C95" s="83">
        <v>0</v>
      </c>
      <c r="D95" s="10" t="s">
        <v>80</v>
      </c>
      <c r="E95" s="77">
        <v>0</v>
      </c>
      <c r="F95" s="78">
        <v>0</v>
      </c>
      <c r="G95" s="80">
        <v>0</v>
      </c>
      <c r="H95" s="77">
        <v>0</v>
      </c>
      <c r="I95" s="81" t="s">
        <v>146</v>
      </c>
      <c r="J95" s="82" t="s">
        <v>151</v>
      </c>
      <c r="K95" s="83">
        <v>1</v>
      </c>
      <c r="L95" s="79">
        <v>-0.5</v>
      </c>
      <c r="M95" s="77">
        <v>0</v>
      </c>
      <c r="N95" s="78">
        <v>0</v>
      </c>
      <c r="O95" s="80">
        <v>1</v>
      </c>
      <c r="P95" s="77">
        <v>0</v>
      </c>
      <c r="Q95" s="76" t="s">
        <v>87</v>
      </c>
      <c r="R95" s="10" t="s">
        <v>151</v>
      </c>
      <c r="S95" s="77">
        <v>0</v>
      </c>
      <c r="T95" s="10" t="s">
        <v>80</v>
      </c>
      <c r="U95" s="77">
        <v>0</v>
      </c>
      <c r="V95" s="77">
        <v>0</v>
      </c>
      <c r="W95" s="77">
        <v>0</v>
      </c>
      <c r="X95" s="78">
        <v>0</v>
      </c>
      <c r="Y95" s="81" t="s">
        <v>85</v>
      </c>
      <c r="Z95" s="82" t="s">
        <v>151</v>
      </c>
      <c r="AA95" s="83">
        <v>1</v>
      </c>
      <c r="AB95" s="77">
        <v>0</v>
      </c>
      <c r="AC95" s="77">
        <v>0</v>
      </c>
      <c r="AD95" s="78">
        <v>0</v>
      </c>
      <c r="AE95" s="80">
        <v>0</v>
      </c>
      <c r="AF95" s="77">
        <v>0</v>
      </c>
      <c r="AG95" s="76" t="s">
        <v>86</v>
      </c>
      <c r="AH95" s="10" t="s">
        <v>151</v>
      </c>
      <c r="AI95" s="77">
        <v>2</v>
      </c>
      <c r="AJ95" s="77">
        <v>1</v>
      </c>
      <c r="AK95" s="77">
        <v>2</v>
      </c>
      <c r="AL95" s="77">
        <v>0</v>
      </c>
      <c r="AM95" s="77">
        <v>0</v>
      </c>
      <c r="AN95" s="78">
        <v>0</v>
      </c>
      <c r="AO95" s="76" t="s">
        <v>88</v>
      </c>
      <c r="AP95" s="10" t="s">
        <v>151</v>
      </c>
      <c r="AQ95" s="77">
        <v>0</v>
      </c>
      <c r="AR95" s="10" t="s">
        <v>80</v>
      </c>
      <c r="AS95" s="77">
        <v>0</v>
      </c>
      <c r="AT95" s="77">
        <v>0</v>
      </c>
      <c r="AU95" s="77">
        <v>0</v>
      </c>
      <c r="AV95" s="78">
        <v>0</v>
      </c>
    </row>
    <row r="96" spans="1:48" ht="14.25" customHeight="1" x14ac:dyDescent="0.3">
      <c r="A96" s="84" t="s">
        <v>144</v>
      </c>
      <c r="B96" s="85" t="s">
        <v>152</v>
      </c>
      <c r="C96" s="86">
        <v>0</v>
      </c>
      <c r="D96" s="85" t="s">
        <v>80</v>
      </c>
      <c r="E96" s="86">
        <v>0</v>
      </c>
      <c r="F96" s="86">
        <v>0</v>
      </c>
      <c r="G96" s="87">
        <v>0</v>
      </c>
      <c r="H96" s="86">
        <v>0</v>
      </c>
      <c r="I96" s="84" t="s">
        <v>146</v>
      </c>
      <c r="J96" s="85" t="s">
        <v>153</v>
      </c>
      <c r="K96" s="86">
        <v>22</v>
      </c>
      <c r="L96" s="88">
        <v>0.15909999999999999</v>
      </c>
      <c r="M96" s="86">
        <v>4</v>
      </c>
      <c r="N96" s="86">
        <v>4</v>
      </c>
      <c r="O96" s="87">
        <v>3</v>
      </c>
      <c r="P96" s="86">
        <v>1</v>
      </c>
      <c r="Q96" s="84" t="s">
        <v>87</v>
      </c>
      <c r="R96" s="85" t="s">
        <v>153</v>
      </c>
      <c r="S96" s="86">
        <v>0</v>
      </c>
      <c r="T96" s="85" t="s">
        <v>80</v>
      </c>
      <c r="U96" s="86">
        <v>0</v>
      </c>
      <c r="V96" s="86">
        <v>0</v>
      </c>
      <c r="W96" s="86">
        <v>0</v>
      </c>
      <c r="X96" s="89">
        <v>0</v>
      </c>
      <c r="Y96" s="84" t="s">
        <v>85</v>
      </c>
      <c r="Z96" s="85" t="s">
        <v>153</v>
      </c>
      <c r="AA96" s="86">
        <v>8</v>
      </c>
      <c r="AB96" s="88">
        <v>0.5625</v>
      </c>
      <c r="AC96" s="86">
        <v>2</v>
      </c>
      <c r="AD96" s="86">
        <v>5</v>
      </c>
      <c r="AE96" s="87">
        <v>0</v>
      </c>
      <c r="AF96" s="86">
        <v>0</v>
      </c>
      <c r="AG96" s="84" t="s">
        <v>86</v>
      </c>
      <c r="AH96" s="85" t="s">
        <v>153</v>
      </c>
      <c r="AI96" s="86">
        <v>5</v>
      </c>
      <c r="AJ96" s="88">
        <v>0.6</v>
      </c>
      <c r="AK96" s="86">
        <v>2</v>
      </c>
      <c r="AL96" s="86">
        <v>2</v>
      </c>
      <c r="AM96" s="86">
        <v>0</v>
      </c>
      <c r="AN96" s="89">
        <v>0</v>
      </c>
      <c r="AO96" s="84" t="s">
        <v>88</v>
      </c>
      <c r="AP96" s="85" t="s">
        <v>153</v>
      </c>
      <c r="AQ96" s="86">
        <v>2</v>
      </c>
      <c r="AR96" s="88">
        <v>0.5</v>
      </c>
      <c r="AS96" s="86">
        <v>1</v>
      </c>
      <c r="AT96" s="86">
        <v>0</v>
      </c>
      <c r="AU96" s="86">
        <v>0</v>
      </c>
      <c r="AV96" s="89">
        <v>0</v>
      </c>
    </row>
    <row r="97" spans="1:48" ht="14.25" customHeight="1" x14ac:dyDescent="0.3">
      <c r="A97" s="90" t="s">
        <v>144</v>
      </c>
      <c r="B97" s="91" t="s">
        <v>154</v>
      </c>
      <c r="C97" s="92">
        <v>0</v>
      </c>
      <c r="D97" s="93" t="s">
        <v>80</v>
      </c>
      <c r="E97" s="94">
        <v>0</v>
      </c>
      <c r="F97" s="94">
        <v>0</v>
      </c>
      <c r="G97" s="95">
        <v>0</v>
      </c>
      <c r="H97" s="94">
        <v>0</v>
      </c>
      <c r="I97" s="90" t="s">
        <v>146</v>
      </c>
      <c r="J97" s="91" t="s">
        <v>155</v>
      </c>
      <c r="K97" s="92">
        <v>8</v>
      </c>
      <c r="L97" s="96">
        <v>0.1875</v>
      </c>
      <c r="M97" s="94">
        <v>1</v>
      </c>
      <c r="N97" s="94">
        <v>2</v>
      </c>
      <c r="O97" s="95">
        <v>1</v>
      </c>
      <c r="P97" s="94">
        <v>0</v>
      </c>
      <c r="Q97" s="90" t="s">
        <v>87</v>
      </c>
      <c r="R97" s="97" t="s">
        <v>155</v>
      </c>
      <c r="S97" s="98">
        <v>0</v>
      </c>
      <c r="T97" s="93" t="s">
        <v>80</v>
      </c>
      <c r="U97" s="99">
        <v>0</v>
      </c>
      <c r="V97" s="99">
        <v>0</v>
      </c>
      <c r="W97" s="99">
        <v>0</v>
      </c>
      <c r="X97" s="100">
        <v>0</v>
      </c>
      <c r="Y97" s="90" t="s">
        <v>85</v>
      </c>
      <c r="Z97" s="91" t="s">
        <v>155</v>
      </c>
      <c r="AA97" s="92">
        <v>6</v>
      </c>
      <c r="AB97" s="96">
        <v>0.5</v>
      </c>
      <c r="AC97" s="94">
        <v>2</v>
      </c>
      <c r="AD97" s="94">
        <v>2</v>
      </c>
      <c r="AE97" s="95">
        <v>0</v>
      </c>
      <c r="AF97" s="94">
        <v>0</v>
      </c>
      <c r="AG97" s="90" t="s">
        <v>86</v>
      </c>
      <c r="AH97" s="97" t="s">
        <v>155</v>
      </c>
      <c r="AI97" s="98">
        <v>8</v>
      </c>
      <c r="AJ97" s="96">
        <v>0.75</v>
      </c>
      <c r="AK97" s="99">
        <v>5</v>
      </c>
      <c r="AL97" s="99">
        <v>2</v>
      </c>
      <c r="AM97" s="99">
        <v>0</v>
      </c>
      <c r="AN97" s="100">
        <v>0</v>
      </c>
      <c r="AO97" s="90" t="s">
        <v>88</v>
      </c>
      <c r="AP97" s="97" t="s">
        <v>155</v>
      </c>
      <c r="AQ97" s="98">
        <v>0</v>
      </c>
      <c r="AR97" s="93" t="s">
        <v>80</v>
      </c>
      <c r="AS97" s="99">
        <v>0</v>
      </c>
      <c r="AT97" s="99">
        <v>0</v>
      </c>
      <c r="AU97" s="99">
        <v>0</v>
      </c>
      <c r="AV97" s="100">
        <v>0</v>
      </c>
    </row>
    <row r="98" spans="1:48" ht="14.2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1"/>
      <c r="AJ98" s="10"/>
      <c r="AK98" s="10"/>
      <c r="AL98" s="10"/>
      <c r="AM98" s="26"/>
      <c r="AN98" s="32"/>
      <c r="AO98" s="10"/>
      <c r="AP98" s="10"/>
      <c r="AQ98" s="101"/>
      <c r="AR98" s="10"/>
      <c r="AS98" s="10"/>
      <c r="AT98" s="10"/>
      <c r="AU98" s="26"/>
      <c r="AV98" s="32"/>
    </row>
    <row r="99" spans="1:48" ht="14.25" customHeight="1" x14ac:dyDescent="0.3">
      <c r="A99" s="102"/>
      <c r="B99" s="103" t="s">
        <v>156</v>
      </c>
      <c r="C99" s="104" t="s">
        <v>102</v>
      </c>
      <c r="D99" s="104" t="s">
        <v>143</v>
      </c>
      <c r="E99" s="104" t="s">
        <v>26</v>
      </c>
      <c r="F99" s="104" t="s">
        <v>103</v>
      </c>
      <c r="G99" s="104" t="s">
        <v>104</v>
      </c>
      <c r="H99" s="104" t="s">
        <v>105</v>
      </c>
      <c r="I99" s="102"/>
      <c r="J99" s="103" t="s">
        <v>156</v>
      </c>
      <c r="K99" s="104" t="s">
        <v>102</v>
      </c>
      <c r="L99" s="104" t="s">
        <v>143</v>
      </c>
      <c r="M99" s="104" t="s">
        <v>26</v>
      </c>
      <c r="N99" s="104" t="s">
        <v>103</v>
      </c>
      <c r="O99" s="104" t="s">
        <v>104</v>
      </c>
      <c r="P99" s="104" t="s">
        <v>105</v>
      </c>
      <c r="Q99" s="10"/>
      <c r="R99" s="103" t="s">
        <v>156</v>
      </c>
      <c r="S99" s="104" t="s">
        <v>102</v>
      </c>
      <c r="T99" s="104" t="s">
        <v>143</v>
      </c>
      <c r="U99" s="104" t="s">
        <v>26</v>
      </c>
      <c r="V99" s="104" t="s">
        <v>103</v>
      </c>
      <c r="W99" s="104" t="s">
        <v>104</v>
      </c>
      <c r="X99" s="105" t="s">
        <v>105</v>
      </c>
      <c r="Y99" s="10"/>
      <c r="Z99" s="103" t="s">
        <v>156</v>
      </c>
      <c r="AA99" s="104" t="s">
        <v>102</v>
      </c>
      <c r="AB99" s="104" t="s">
        <v>143</v>
      </c>
      <c r="AC99" s="104" t="s">
        <v>26</v>
      </c>
      <c r="AD99" s="104" t="s">
        <v>103</v>
      </c>
      <c r="AE99" s="104" t="s">
        <v>104</v>
      </c>
      <c r="AF99" s="104" t="s">
        <v>105</v>
      </c>
      <c r="AG99" s="10"/>
      <c r="AH99" s="103" t="s">
        <v>156</v>
      </c>
      <c r="AI99" s="104" t="s">
        <v>102</v>
      </c>
      <c r="AJ99" s="104" t="s">
        <v>143</v>
      </c>
      <c r="AK99" s="104" t="s">
        <v>26</v>
      </c>
      <c r="AL99" s="104" t="s">
        <v>103</v>
      </c>
      <c r="AM99" s="104" t="s">
        <v>104</v>
      </c>
      <c r="AN99" s="105" t="s">
        <v>105</v>
      </c>
      <c r="AO99" s="10"/>
      <c r="AP99" s="103" t="s">
        <v>156</v>
      </c>
      <c r="AQ99" s="104" t="s">
        <v>102</v>
      </c>
      <c r="AR99" s="104" t="s">
        <v>143</v>
      </c>
      <c r="AS99" s="104" t="s">
        <v>26</v>
      </c>
      <c r="AT99" s="104" t="s">
        <v>103</v>
      </c>
      <c r="AU99" s="104" t="s">
        <v>104</v>
      </c>
      <c r="AV99" s="105" t="s">
        <v>105</v>
      </c>
    </row>
    <row r="100" spans="1:48" ht="14.25" customHeight="1" x14ac:dyDescent="0.3">
      <c r="A100" s="76" t="s">
        <v>144</v>
      </c>
      <c r="B100" s="106" t="s">
        <v>157</v>
      </c>
      <c r="C100" s="107">
        <v>0</v>
      </c>
      <c r="D100" s="108" t="s">
        <v>80</v>
      </c>
      <c r="E100" s="107">
        <v>0</v>
      </c>
      <c r="F100" s="107">
        <v>0</v>
      </c>
      <c r="G100" s="107">
        <v>0</v>
      </c>
      <c r="H100" s="109">
        <v>0</v>
      </c>
      <c r="I100" s="76" t="s">
        <v>146</v>
      </c>
      <c r="J100" s="110" t="s">
        <v>157</v>
      </c>
      <c r="K100" s="92">
        <v>4</v>
      </c>
      <c r="L100" s="111">
        <v>0.25</v>
      </c>
      <c r="M100" s="92">
        <v>1</v>
      </c>
      <c r="N100" s="92">
        <v>1</v>
      </c>
      <c r="O100" s="92">
        <v>1</v>
      </c>
      <c r="P100" s="92">
        <v>0</v>
      </c>
      <c r="Q100" s="76" t="s">
        <v>87</v>
      </c>
      <c r="R100" s="110" t="s">
        <v>157</v>
      </c>
      <c r="S100" s="92">
        <v>0</v>
      </c>
      <c r="T100" s="108" t="s">
        <v>80</v>
      </c>
      <c r="U100" s="92">
        <v>0</v>
      </c>
      <c r="V100" s="92">
        <v>0</v>
      </c>
      <c r="W100" s="92">
        <v>0</v>
      </c>
      <c r="X100" s="112">
        <v>0</v>
      </c>
      <c r="Y100" s="76" t="s">
        <v>85</v>
      </c>
      <c r="Z100" s="110" t="s">
        <v>157</v>
      </c>
      <c r="AA100" s="92">
        <v>2</v>
      </c>
      <c r="AB100" s="111">
        <v>0.75</v>
      </c>
      <c r="AC100" s="92">
        <v>1</v>
      </c>
      <c r="AD100" s="92">
        <v>1</v>
      </c>
      <c r="AE100" s="92">
        <v>0</v>
      </c>
      <c r="AF100" s="92">
        <v>0</v>
      </c>
      <c r="AG100" s="76" t="s">
        <v>86</v>
      </c>
      <c r="AH100" s="110" t="s">
        <v>157</v>
      </c>
      <c r="AI100" s="92">
        <v>2</v>
      </c>
      <c r="AJ100" s="111">
        <v>0.5</v>
      </c>
      <c r="AK100" s="92">
        <v>0</v>
      </c>
      <c r="AL100" s="92">
        <v>2</v>
      </c>
      <c r="AM100" s="92">
        <v>0</v>
      </c>
      <c r="AN100" s="112">
        <v>0</v>
      </c>
      <c r="AO100" s="76" t="s">
        <v>88</v>
      </c>
      <c r="AP100" s="110" t="s">
        <v>157</v>
      </c>
      <c r="AQ100" s="92">
        <v>2</v>
      </c>
      <c r="AR100" s="111">
        <v>0.5</v>
      </c>
      <c r="AS100" s="92">
        <v>1</v>
      </c>
      <c r="AT100" s="92">
        <v>0</v>
      </c>
      <c r="AU100" s="92">
        <v>0</v>
      </c>
      <c r="AV100" s="112">
        <v>0</v>
      </c>
    </row>
    <row r="101" spans="1:48" ht="14.25" customHeight="1" x14ac:dyDescent="0.3">
      <c r="A101" s="76" t="s">
        <v>144</v>
      </c>
      <c r="B101" s="76" t="s">
        <v>158</v>
      </c>
      <c r="C101" s="77">
        <v>0</v>
      </c>
      <c r="D101" s="10" t="s">
        <v>80</v>
      </c>
      <c r="E101" s="77">
        <v>0</v>
      </c>
      <c r="F101" s="77">
        <v>0</v>
      </c>
      <c r="G101" s="77">
        <v>0</v>
      </c>
      <c r="H101" s="78">
        <v>0</v>
      </c>
      <c r="I101" s="76" t="s">
        <v>146</v>
      </c>
      <c r="J101" s="76" t="s">
        <v>158</v>
      </c>
      <c r="K101" s="77">
        <v>0</v>
      </c>
      <c r="L101" s="10" t="s">
        <v>80</v>
      </c>
      <c r="M101" s="77">
        <v>0</v>
      </c>
      <c r="N101" s="77">
        <v>0</v>
      </c>
      <c r="O101" s="77">
        <v>0</v>
      </c>
      <c r="P101" s="77">
        <v>0</v>
      </c>
      <c r="Q101" s="76" t="s">
        <v>87</v>
      </c>
      <c r="R101" s="76" t="s">
        <v>158</v>
      </c>
      <c r="S101" s="77">
        <v>0</v>
      </c>
      <c r="T101" s="10" t="s">
        <v>80</v>
      </c>
      <c r="U101" s="77">
        <v>0</v>
      </c>
      <c r="V101" s="77">
        <v>0</v>
      </c>
      <c r="W101" s="77">
        <v>0</v>
      </c>
      <c r="X101" s="78">
        <v>0</v>
      </c>
      <c r="Y101" s="76" t="s">
        <v>85</v>
      </c>
      <c r="Z101" s="76" t="s">
        <v>158</v>
      </c>
      <c r="AA101" s="77">
        <v>2</v>
      </c>
      <c r="AB101" s="79">
        <v>0.5</v>
      </c>
      <c r="AC101" s="77">
        <v>1</v>
      </c>
      <c r="AD101" s="77">
        <v>0</v>
      </c>
      <c r="AE101" s="77">
        <v>0</v>
      </c>
      <c r="AF101" s="77">
        <v>0</v>
      </c>
      <c r="AG101" s="76" t="s">
        <v>86</v>
      </c>
      <c r="AH101" s="76" t="s">
        <v>158</v>
      </c>
      <c r="AI101" s="77">
        <v>0</v>
      </c>
      <c r="AJ101" s="10" t="s">
        <v>80</v>
      </c>
      <c r="AK101" s="77">
        <v>0</v>
      </c>
      <c r="AL101" s="77">
        <v>0</v>
      </c>
      <c r="AM101" s="77">
        <v>0</v>
      </c>
      <c r="AN101" s="78">
        <v>0</v>
      </c>
      <c r="AO101" s="76" t="s">
        <v>88</v>
      </c>
      <c r="AP101" s="76" t="s">
        <v>158</v>
      </c>
      <c r="AQ101" s="77">
        <v>1</v>
      </c>
      <c r="AR101" s="77">
        <v>1</v>
      </c>
      <c r="AS101" s="77">
        <v>1</v>
      </c>
      <c r="AT101" s="77">
        <v>0</v>
      </c>
      <c r="AU101" s="77">
        <v>0</v>
      </c>
      <c r="AV101" s="78">
        <v>0</v>
      </c>
    </row>
    <row r="102" spans="1:48" ht="14.25" customHeight="1" x14ac:dyDescent="0.3">
      <c r="A102" s="76" t="s">
        <v>144</v>
      </c>
      <c r="B102" s="76" t="s">
        <v>159</v>
      </c>
      <c r="C102" s="77">
        <v>0</v>
      </c>
      <c r="D102" s="10" t="s">
        <v>80</v>
      </c>
      <c r="E102" s="77">
        <v>0</v>
      </c>
      <c r="F102" s="77">
        <v>0</v>
      </c>
      <c r="G102" s="77">
        <v>0</v>
      </c>
      <c r="H102" s="78">
        <v>0</v>
      </c>
      <c r="I102" s="76" t="s">
        <v>146</v>
      </c>
      <c r="J102" s="76" t="s">
        <v>159</v>
      </c>
      <c r="K102" s="77">
        <v>4</v>
      </c>
      <c r="L102" s="79">
        <v>0.25</v>
      </c>
      <c r="M102" s="77">
        <v>1</v>
      </c>
      <c r="N102" s="77">
        <v>1</v>
      </c>
      <c r="O102" s="77">
        <v>1</v>
      </c>
      <c r="P102" s="77">
        <v>0</v>
      </c>
      <c r="Q102" s="76" t="s">
        <v>87</v>
      </c>
      <c r="R102" s="76" t="s">
        <v>159</v>
      </c>
      <c r="S102" s="77">
        <v>0</v>
      </c>
      <c r="T102" s="10" t="s">
        <v>80</v>
      </c>
      <c r="U102" s="77">
        <v>0</v>
      </c>
      <c r="V102" s="77">
        <v>0</v>
      </c>
      <c r="W102" s="77">
        <v>0</v>
      </c>
      <c r="X102" s="78">
        <v>0</v>
      </c>
      <c r="Y102" s="76" t="s">
        <v>85</v>
      </c>
      <c r="Z102" s="76" t="s">
        <v>159</v>
      </c>
      <c r="AA102" s="77">
        <v>0</v>
      </c>
      <c r="AB102" s="10" t="s">
        <v>80</v>
      </c>
      <c r="AC102" s="77">
        <v>0</v>
      </c>
      <c r="AD102" s="77">
        <v>0</v>
      </c>
      <c r="AE102" s="77">
        <v>0</v>
      </c>
      <c r="AF102" s="77">
        <v>0</v>
      </c>
      <c r="AG102" s="76" t="s">
        <v>86</v>
      </c>
      <c r="AH102" s="76" t="s">
        <v>159</v>
      </c>
      <c r="AI102" s="77">
        <v>0</v>
      </c>
      <c r="AJ102" s="10" t="s">
        <v>80</v>
      </c>
      <c r="AK102" s="77">
        <v>0</v>
      </c>
      <c r="AL102" s="77">
        <v>0</v>
      </c>
      <c r="AM102" s="77">
        <v>0</v>
      </c>
      <c r="AN102" s="78">
        <v>0</v>
      </c>
      <c r="AO102" s="76" t="s">
        <v>88</v>
      </c>
      <c r="AP102" s="76" t="s">
        <v>159</v>
      </c>
      <c r="AQ102" s="77">
        <v>1</v>
      </c>
      <c r="AR102" s="77">
        <v>0</v>
      </c>
      <c r="AS102" s="77">
        <v>0</v>
      </c>
      <c r="AT102" s="77">
        <v>0</v>
      </c>
      <c r="AU102" s="77">
        <v>0</v>
      </c>
      <c r="AV102" s="78">
        <v>0</v>
      </c>
    </row>
    <row r="103" spans="1:48" ht="14.25" customHeight="1" x14ac:dyDescent="0.3">
      <c r="A103" s="76" t="s">
        <v>144</v>
      </c>
      <c r="B103" s="76" t="s">
        <v>160</v>
      </c>
      <c r="C103" s="77">
        <v>0</v>
      </c>
      <c r="D103" s="10" t="s">
        <v>80</v>
      </c>
      <c r="E103" s="77">
        <v>0</v>
      </c>
      <c r="F103" s="77">
        <v>0</v>
      </c>
      <c r="G103" s="77">
        <v>0</v>
      </c>
      <c r="H103" s="78">
        <v>0</v>
      </c>
      <c r="I103" s="76" t="s">
        <v>146</v>
      </c>
      <c r="J103" s="76" t="s">
        <v>160</v>
      </c>
      <c r="K103" s="77">
        <v>0</v>
      </c>
      <c r="L103" s="10" t="s">
        <v>80</v>
      </c>
      <c r="M103" s="77">
        <v>0</v>
      </c>
      <c r="N103" s="77">
        <v>0</v>
      </c>
      <c r="O103" s="77">
        <v>0</v>
      </c>
      <c r="P103" s="77">
        <v>0</v>
      </c>
      <c r="Q103" s="76" t="s">
        <v>87</v>
      </c>
      <c r="R103" s="76" t="s">
        <v>160</v>
      </c>
      <c r="S103" s="77">
        <v>0</v>
      </c>
      <c r="T103" s="10" t="s">
        <v>80</v>
      </c>
      <c r="U103" s="77">
        <v>0</v>
      </c>
      <c r="V103" s="77">
        <v>0</v>
      </c>
      <c r="W103" s="77">
        <v>0</v>
      </c>
      <c r="X103" s="78">
        <v>0</v>
      </c>
      <c r="Y103" s="76" t="s">
        <v>85</v>
      </c>
      <c r="Z103" s="76" t="s">
        <v>160</v>
      </c>
      <c r="AA103" s="77">
        <v>0</v>
      </c>
      <c r="AB103" s="10" t="s">
        <v>80</v>
      </c>
      <c r="AC103" s="77">
        <v>0</v>
      </c>
      <c r="AD103" s="77">
        <v>0</v>
      </c>
      <c r="AE103" s="77">
        <v>0</v>
      </c>
      <c r="AF103" s="77">
        <v>0</v>
      </c>
      <c r="AG103" s="76" t="s">
        <v>86</v>
      </c>
      <c r="AH103" s="76" t="s">
        <v>160</v>
      </c>
      <c r="AI103" s="77">
        <v>2</v>
      </c>
      <c r="AJ103" s="77">
        <v>0</v>
      </c>
      <c r="AK103" s="77">
        <v>0</v>
      </c>
      <c r="AL103" s="77">
        <v>2</v>
      </c>
      <c r="AM103" s="77">
        <v>0</v>
      </c>
      <c r="AN103" s="78">
        <v>0</v>
      </c>
      <c r="AO103" s="76" t="s">
        <v>88</v>
      </c>
      <c r="AP103" s="76" t="s">
        <v>160</v>
      </c>
      <c r="AQ103" s="77">
        <v>0</v>
      </c>
      <c r="AR103" s="10" t="s">
        <v>80</v>
      </c>
      <c r="AS103" s="77">
        <v>0</v>
      </c>
      <c r="AT103" s="77">
        <v>0</v>
      </c>
      <c r="AU103" s="77">
        <v>0</v>
      </c>
      <c r="AV103" s="78">
        <v>0</v>
      </c>
    </row>
    <row r="104" spans="1:48" ht="14.25" customHeight="1" x14ac:dyDescent="0.3">
      <c r="A104" s="76" t="s">
        <v>144</v>
      </c>
      <c r="B104" s="110" t="s">
        <v>161</v>
      </c>
      <c r="C104" s="92">
        <v>0</v>
      </c>
      <c r="D104" s="91" t="s">
        <v>80</v>
      </c>
      <c r="E104" s="92">
        <v>0</v>
      </c>
      <c r="F104" s="92">
        <v>0</v>
      </c>
      <c r="G104" s="92">
        <v>0</v>
      </c>
      <c r="H104" s="112">
        <v>0</v>
      </c>
      <c r="I104" s="76" t="s">
        <v>146</v>
      </c>
      <c r="J104" s="110" t="s">
        <v>161</v>
      </c>
      <c r="K104" s="92">
        <v>0</v>
      </c>
      <c r="L104" s="91" t="s">
        <v>80</v>
      </c>
      <c r="M104" s="92">
        <v>0</v>
      </c>
      <c r="N104" s="92">
        <v>0</v>
      </c>
      <c r="O104" s="92">
        <v>0</v>
      </c>
      <c r="P104" s="92">
        <v>0</v>
      </c>
      <c r="Q104" s="76" t="s">
        <v>87</v>
      </c>
      <c r="R104" s="110" t="s">
        <v>161</v>
      </c>
      <c r="S104" s="92">
        <v>0</v>
      </c>
      <c r="T104" s="91" t="s">
        <v>80</v>
      </c>
      <c r="U104" s="92">
        <v>0</v>
      </c>
      <c r="V104" s="92">
        <v>0</v>
      </c>
      <c r="W104" s="92">
        <v>0</v>
      </c>
      <c r="X104" s="112">
        <v>0</v>
      </c>
      <c r="Y104" s="76" t="s">
        <v>85</v>
      </c>
      <c r="Z104" s="110" t="s">
        <v>161</v>
      </c>
      <c r="AA104" s="92">
        <v>0</v>
      </c>
      <c r="AB104" s="91" t="s">
        <v>80</v>
      </c>
      <c r="AC104" s="92">
        <v>0</v>
      </c>
      <c r="AD104" s="92">
        <v>0</v>
      </c>
      <c r="AE104" s="92">
        <v>0</v>
      </c>
      <c r="AF104" s="92">
        <v>0</v>
      </c>
      <c r="AG104" s="76" t="s">
        <v>86</v>
      </c>
      <c r="AH104" s="110" t="s">
        <v>161</v>
      </c>
      <c r="AI104" s="92">
        <v>0</v>
      </c>
      <c r="AJ104" s="91" t="s">
        <v>80</v>
      </c>
      <c r="AK104" s="92">
        <v>0</v>
      </c>
      <c r="AL104" s="92">
        <v>0</v>
      </c>
      <c r="AM104" s="92">
        <v>0</v>
      </c>
      <c r="AN104" s="112">
        <v>0</v>
      </c>
      <c r="AO104" s="76" t="s">
        <v>88</v>
      </c>
      <c r="AP104" s="110" t="s">
        <v>161</v>
      </c>
      <c r="AQ104" s="92">
        <v>0</v>
      </c>
      <c r="AR104" s="91" t="s">
        <v>80</v>
      </c>
      <c r="AS104" s="92">
        <v>0</v>
      </c>
      <c r="AT104" s="92">
        <v>0</v>
      </c>
      <c r="AU104" s="92">
        <v>0</v>
      </c>
      <c r="AV104" s="112">
        <v>0</v>
      </c>
    </row>
    <row r="105" spans="1:48" ht="14.25" customHeight="1" x14ac:dyDescent="0.3">
      <c r="A105" s="76" t="s">
        <v>144</v>
      </c>
      <c r="B105" s="76" t="s">
        <v>162</v>
      </c>
      <c r="C105" s="77">
        <v>0</v>
      </c>
      <c r="D105" s="10" t="s">
        <v>80</v>
      </c>
      <c r="E105" s="77">
        <v>0</v>
      </c>
      <c r="F105" s="77">
        <v>0</v>
      </c>
      <c r="G105" s="77">
        <v>0</v>
      </c>
      <c r="H105" s="78">
        <v>0</v>
      </c>
      <c r="I105" s="76" t="s">
        <v>146</v>
      </c>
      <c r="J105" s="76" t="s">
        <v>162</v>
      </c>
      <c r="K105" s="77">
        <v>0</v>
      </c>
      <c r="L105" s="10" t="s">
        <v>80</v>
      </c>
      <c r="M105" s="77">
        <v>0</v>
      </c>
      <c r="N105" s="77">
        <v>0</v>
      </c>
      <c r="O105" s="77">
        <v>0</v>
      </c>
      <c r="P105" s="77">
        <v>0</v>
      </c>
      <c r="Q105" s="76" t="s">
        <v>87</v>
      </c>
      <c r="R105" s="76" t="s">
        <v>162</v>
      </c>
      <c r="S105" s="77">
        <v>0</v>
      </c>
      <c r="T105" s="10" t="s">
        <v>80</v>
      </c>
      <c r="U105" s="77">
        <v>0</v>
      </c>
      <c r="V105" s="77">
        <v>0</v>
      </c>
      <c r="W105" s="77">
        <v>0</v>
      </c>
      <c r="X105" s="78">
        <v>0</v>
      </c>
      <c r="Y105" s="76" t="s">
        <v>85</v>
      </c>
      <c r="Z105" s="76" t="s">
        <v>162</v>
      </c>
      <c r="AA105" s="77">
        <v>0</v>
      </c>
      <c r="AB105" s="10" t="s">
        <v>80</v>
      </c>
      <c r="AC105" s="77">
        <v>0</v>
      </c>
      <c r="AD105" s="77">
        <v>0</v>
      </c>
      <c r="AE105" s="77">
        <v>0</v>
      </c>
      <c r="AF105" s="77">
        <v>0</v>
      </c>
      <c r="AG105" s="76" t="s">
        <v>86</v>
      </c>
      <c r="AH105" s="76" t="s">
        <v>162</v>
      </c>
      <c r="AI105" s="77">
        <v>0</v>
      </c>
      <c r="AJ105" s="10" t="s">
        <v>80</v>
      </c>
      <c r="AK105" s="77">
        <v>0</v>
      </c>
      <c r="AL105" s="77">
        <v>0</v>
      </c>
      <c r="AM105" s="77">
        <v>0</v>
      </c>
      <c r="AN105" s="78">
        <v>0</v>
      </c>
      <c r="AO105" s="76" t="s">
        <v>88</v>
      </c>
      <c r="AP105" s="76" t="s">
        <v>162</v>
      </c>
      <c r="AQ105" s="77">
        <v>0</v>
      </c>
      <c r="AR105" s="10" t="s">
        <v>80</v>
      </c>
      <c r="AS105" s="77">
        <v>0</v>
      </c>
      <c r="AT105" s="77">
        <v>0</v>
      </c>
      <c r="AU105" s="77">
        <v>0</v>
      </c>
      <c r="AV105" s="78">
        <v>0</v>
      </c>
    </row>
    <row r="106" spans="1:48" ht="14.25" customHeight="1" x14ac:dyDescent="0.3">
      <c r="A106" s="76" t="s">
        <v>144</v>
      </c>
      <c r="B106" s="76" t="s">
        <v>163</v>
      </c>
      <c r="C106" s="77">
        <v>0</v>
      </c>
      <c r="D106" s="10" t="s">
        <v>80</v>
      </c>
      <c r="E106" s="77">
        <v>0</v>
      </c>
      <c r="F106" s="77">
        <v>0</v>
      </c>
      <c r="G106" s="77">
        <v>0</v>
      </c>
      <c r="H106" s="78">
        <v>0</v>
      </c>
      <c r="I106" s="76" t="s">
        <v>146</v>
      </c>
      <c r="J106" s="76" t="s">
        <v>163</v>
      </c>
      <c r="K106" s="77">
        <v>0</v>
      </c>
      <c r="L106" s="10" t="s">
        <v>80</v>
      </c>
      <c r="M106" s="77">
        <v>0</v>
      </c>
      <c r="N106" s="77">
        <v>0</v>
      </c>
      <c r="O106" s="77">
        <v>0</v>
      </c>
      <c r="P106" s="77">
        <v>0</v>
      </c>
      <c r="Q106" s="76" t="s">
        <v>87</v>
      </c>
      <c r="R106" s="76" t="s">
        <v>163</v>
      </c>
      <c r="S106" s="77">
        <v>0</v>
      </c>
      <c r="T106" s="10" t="s">
        <v>80</v>
      </c>
      <c r="U106" s="77">
        <v>0</v>
      </c>
      <c r="V106" s="77">
        <v>0</v>
      </c>
      <c r="W106" s="77">
        <v>0</v>
      </c>
      <c r="X106" s="78">
        <v>0</v>
      </c>
      <c r="Y106" s="76" t="s">
        <v>85</v>
      </c>
      <c r="Z106" s="76" t="s">
        <v>163</v>
      </c>
      <c r="AA106" s="77">
        <v>0</v>
      </c>
      <c r="AB106" s="10" t="s">
        <v>80</v>
      </c>
      <c r="AC106" s="77">
        <v>0</v>
      </c>
      <c r="AD106" s="77">
        <v>0</v>
      </c>
      <c r="AE106" s="77">
        <v>0</v>
      </c>
      <c r="AF106" s="77">
        <v>0</v>
      </c>
      <c r="AG106" s="76" t="s">
        <v>86</v>
      </c>
      <c r="AH106" s="76" t="s">
        <v>163</v>
      </c>
      <c r="AI106" s="77">
        <v>0</v>
      </c>
      <c r="AJ106" s="10" t="s">
        <v>80</v>
      </c>
      <c r="AK106" s="77">
        <v>0</v>
      </c>
      <c r="AL106" s="77">
        <v>0</v>
      </c>
      <c r="AM106" s="77">
        <v>0</v>
      </c>
      <c r="AN106" s="78">
        <v>0</v>
      </c>
      <c r="AO106" s="76" t="s">
        <v>88</v>
      </c>
      <c r="AP106" s="76" t="s">
        <v>163</v>
      </c>
      <c r="AQ106" s="77">
        <v>0</v>
      </c>
      <c r="AR106" s="10" t="s">
        <v>80</v>
      </c>
      <c r="AS106" s="77">
        <v>0</v>
      </c>
      <c r="AT106" s="77">
        <v>0</v>
      </c>
      <c r="AU106" s="77">
        <v>0</v>
      </c>
      <c r="AV106" s="78">
        <v>0</v>
      </c>
    </row>
    <row r="107" spans="1:48" ht="14.25" customHeight="1" x14ac:dyDescent="0.3">
      <c r="A107" s="76" t="s">
        <v>144</v>
      </c>
      <c r="B107" s="76" t="s">
        <v>164</v>
      </c>
      <c r="C107" s="77">
        <v>0</v>
      </c>
      <c r="D107" s="10" t="s">
        <v>80</v>
      </c>
      <c r="E107" s="77">
        <v>0</v>
      </c>
      <c r="F107" s="77">
        <v>0</v>
      </c>
      <c r="G107" s="77">
        <v>0</v>
      </c>
      <c r="H107" s="78">
        <v>0</v>
      </c>
      <c r="I107" s="76" t="s">
        <v>146</v>
      </c>
      <c r="J107" s="76" t="s">
        <v>164</v>
      </c>
      <c r="K107" s="77">
        <v>0</v>
      </c>
      <c r="L107" s="10" t="s">
        <v>80</v>
      </c>
      <c r="M107" s="77">
        <v>0</v>
      </c>
      <c r="N107" s="77">
        <v>0</v>
      </c>
      <c r="O107" s="77">
        <v>0</v>
      </c>
      <c r="P107" s="77">
        <v>0</v>
      </c>
      <c r="Q107" s="76" t="s">
        <v>87</v>
      </c>
      <c r="R107" s="76" t="s">
        <v>164</v>
      </c>
      <c r="S107" s="77">
        <v>0</v>
      </c>
      <c r="T107" s="10" t="s">
        <v>80</v>
      </c>
      <c r="U107" s="77">
        <v>0</v>
      </c>
      <c r="V107" s="77">
        <v>0</v>
      </c>
      <c r="W107" s="77">
        <v>0</v>
      </c>
      <c r="X107" s="78">
        <v>0</v>
      </c>
      <c r="Y107" s="76" t="s">
        <v>85</v>
      </c>
      <c r="Z107" s="76" t="s">
        <v>164</v>
      </c>
      <c r="AA107" s="77">
        <v>0</v>
      </c>
      <c r="AB107" s="10" t="s">
        <v>80</v>
      </c>
      <c r="AC107" s="77">
        <v>0</v>
      </c>
      <c r="AD107" s="77">
        <v>0</v>
      </c>
      <c r="AE107" s="77">
        <v>0</v>
      </c>
      <c r="AF107" s="77">
        <v>0</v>
      </c>
      <c r="AG107" s="76" t="s">
        <v>86</v>
      </c>
      <c r="AH107" s="76" t="s">
        <v>164</v>
      </c>
      <c r="AI107" s="77">
        <v>0</v>
      </c>
      <c r="AJ107" s="10" t="s">
        <v>80</v>
      </c>
      <c r="AK107" s="77">
        <v>0</v>
      </c>
      <c r="AL107" s="77">
        <v>0</v>
      </c>
      <c r="AM107" s="77">
        <v>0</v>
      </c>
      <c r="AN107" s="78">
        <v>0</v>
      </c>
      <c r="AO107" s="76" t="s">
        <v>88</v>
      </c>
      <c r="AP107" s="76" t="s">
        <v>164</v>
      </c>
      <c r="AQ107" s="77">
        <v>0</v>
      </c>
      <c r="AR107" s="10" t="s">
        <v>80</v>
      </c>
      <c r="AS107" s="77">
        <v>0</v>
      </c>
      <c r="AT107" s="77">
        <v>0</v>
      </c>
      <c r="AU107" s="77">
        <v>0</v>
      </c>
      <c r="AV107" s="78">
        <v>0</v>
      </c>
    </row>
    <row r="108" spans="1:48" ht="14.25" customHeight="1" x14ac:dyDescent="0.3">
      <c r="A108" s="76" t="s">
        <v>144</v>
      </c>
      <c r="B108" s="110" t="s">
        <v>165</v>
      </c>
      <c r="C108" s="92">
        <v>0</v>
      </c>
      <c r="D108" s="91" t="s">
        <v>80</v>
      </c>
      <c r="E108" s="92">
        <v>0</v>
      </c>
      <c r="F108" s="92">
        <v>0</v>
      </c>
      <c r="G108" s="92">
        <v>0</v>
      </c>
      <c r="H108" s="112">
        <v>0</v>
      </c>
      <c r="I108" s="76" t="s">
        <v>146</v>
      </c>
      <c r="J108" s="110" t="s">
        <v>165</v>
      </c>
      <c r="K108" s="92">
        <v>18</v>
      </c>
      <c r="L108" s="113">
        <v>0.1389</v>
      </c>
      <c r="M108" s="92">
        <v>3</v>
      </c>
      <c r="N108" s="92">
        <v>3</v>
      </c>
      <c r="O108" s="92">
        <v>2</v>
      </c>
      <c r="P108" s="92">
        <v>1</v>
      </c>
      <c r="Q108" s="76" t="s">
        <v>87</v>
      </c>
      <c r="R108" s="110" t="s">
        <v>165</v>
      </c>
      <c r="S108" s="92">
        <v>0</v>
      </c>
      <c r="T108" s="91" t="s">
        <v>80</v>
      </c>
      <c r="U108" s="92">
        <v>0</v>
      </c>
      <c r="V108" s="92">
        <v>0</v>
      </c>
      <c r="W108" s="92">
        <v>0</v>
      </c>
      <c r="X108" s="112">
        <v>0</v>
      </c>
      <c r="Y108" s="76" t="s">
        <v>85</v>
      </c>
      <c r="Z108" s="110" t="s">
        <v>165</v>
      </c>
      <c r="AA108" s="92">
        <v>6</v>
      </c>
      <c r="AB108" s="113">
        <v>0.5</v>
      </c>
      <c r="AC108" s="92">
        <v>1</v>
      </c>
      <c r="AD108" s="92">
        <v>4</v>
      </c>
      <c r="AE108" s="92">
        <v>0</v>
      </c>
      <c r="AF108" s="92">
        <v>0</v>
      </c>
      <c r="AG108" s="76" t="s">
        <v>86</v>
      </c>
      <c r="AH108" s="110" t="s">
        <v>165</v>
      </c>
      <c r="AI108" s="92">
        <v>3</v>
      </c>
      <c r="AJ108" s="113">
        <v>0.66669999999999996</v>
      </c>
      <c r="AK108" s="92">
        <v>2</v>
      </c>
      <c r="AL108" s="92">
        <v>0</v>
      </c>
      <c r="AM108" s="92">
        <v>0</v>
      </c>
      <c r="AN108" s="112">
        <v>0</v>
      </c>
      <c r="AO108" s="76" t="s">
        <v>88</v>
      </c>
      <c r="AP108" s="110" t="s">
        <v>165</v>
      </c>
      <c r="AQ108" s="92">
        <v>0</v>
      </c>
      <c r="AR108" s="91" t="s">
        <v>80</v>
      </c>
      <c r="AS108" s="92">
        <v>0</v>
      </c>
      <c r="AT108" s="92">
        <v>0</v>
      </c>
      <c r="AU108" s="92">
        <v>0</v>
      </c>
      <c r="AV108" s="112">
        <v>0</v>
      </c>
    </row>
    <row r="109" spans="1:48" ht="14.25" customHeight="1" x14ac:dyDescent="0.3">
      <c r="A109" s="76" t="s">
        <v>144</v>
      </c>
      <c r="B109" s="76" t="s">
        <v>166</v>
      </c>
      <c r="C109" s="77">
        <v>0</v>
      </c>
      <c r="D109" s="10" t="s">
        <v>80</v>
      </c>
      <c r="E109" s="77">
        <v>0</v>
      </c>
      <c r="F109" s="77">
        <v>0</v>
      </c>
      <c r="G109" s="77">
        <v>0</v>
      </c>
      <c r="H109" s="78">
        <v>0</v>
      </c>
      <c r="I109" s="76" t="s">
        <v>146</v>
      </c>
      <c r="J109" s="76" t="s">
        <v>166</v>
      </c>
      <c r="K109" s="77">
        <v>14</v>
      </c>
      <c r="L109" s="79">
        <v>0.1429</v>
      </c>
      <c r="M109" s="77">
        <v>3</v>
      </c>
      <c r="N109" s="77">
        <v>2</v>
      </c>
      <c r="O109" s="77">
        <v>2</v>
      </c>
      <c r="P109" s="77">
        <v>1</v>
      </c>
      <c r="Q109" s="76" t="s">
        <v>87</v>
      </c>
      <c r="R109" s="76" t="s">
        <v>166</v>
      </c>
      <c r="S109" s="77">
        <v>0</v>
      </c>
      <c r="T109" s="10" t="s">
        <v>80</v>
      </c>
      <c r="U109" s="77">
        <v>0</v>
      </c>
      <c r="V109" s="77">
        <v>0</v>
      </c>
      <c r="W109" s="77">
        <v>0</v>
      </c>
      <c r="X109" s="78">
        <v>0</v>
      </c>
      <c r="Y109" s="76" t="s">
        <v>85</v>
      </c>
      <c r="Z109" s="76" t="s">
        <v>166</v>
      </c>
      <c r="AA109" s="77">
        <v>0</v>
      </c>
      <c r="AB109" s="10" t="s">
        <v>80</v>
      </c>
      <c r="AC109" s="77">
        <v>0</v>
      </c>
      <c r="AD109" s="77">
        <v>0</v>
      </c>
      <c r="AE109" s="77">
        <v>0</v>
      </c>
      <c r="AF109" s="77">
        <v>0</v>
      </c>
      <c r="AG109" s="76" t="s">
        <v>86</v>
      </c>
      <c r="AH109" s="76" t="s">
        <v>166</v>
      </c>
      <c r="AI109" s="77">
        <v>0</v>
      </c>
      <c r="AJ109" s="10" t="s">
        <v>80</v>
      </c>
      <c r="AK109" s="77">
        <v>0</v>
      </c>
      <c r="AL109" s="77">
        <v>0</v>
      </c>
      <c r="AM109" s="77">
        <v>0</v>
      </c>
      <c r="AN109" s="78">
        <v>0</v>
      </c>
      <c r="AO109" s="76" t="s">
        <v>88</v>
      </c>
      <c r="AP109" s="76" t="s">
        <v>166</v>
      </c>
      <c r="AQ109" s="77">
        <v>0</v>
      </c>
      <c r="AR109" s="10" t="s">
        <v>80</v>
      </c>
      <c r="AS109" s="77">
        <v>0</v>
      </c>
      <c r="AT109" s="77">
        <v>0</v>
      </c>
      <c r="AU109" s="77">
        <v>0</v>
      </c>
      <c r="AV109" s="78">
        <v>0</v>
      </c>
    </row>
    <row r="110" spans="1:48" ht="14.25" customHeight="1" x14ac:dyDescent="0.3">
      <c r="A110" s="76" t="s">
        <v>144</v>
      </c>
      <c r="B110" s="76" t="s">
        <v>167</v>
      </c>
      <c r="C110" s="77">
        <v>0</v>
      </c>
      <c r="D110" s="10" t="s">
        <v>80</v>
      </c>
      <c r="E110" s="77">
        <v>0</v>
      </c>
      <c r="F110" s="77">
        <v>0</v>
      </c>
      <c r="G110" s="77">
        <v>0</v>
      </c>
      <c r="H110" s="78">
        <v>0</v>
      </c>
      <c r="I110" s="76" t="s">
        <v>146</v>
      </c>
      <c r="J110" s="76" t="s">
        <v>167</v>
      </c>
      <c r="K110" s="77">
        <v>4</v>
      </c>
      <c r="L110" s="79">
        <v>0.125</v>
      </c>
      <c r="M110" s="77">
        <v>0</v>
      </c>
      <c r="N110" s="77">
        <v>1</v>
      </c>
      <c r="O110" s="77">
        <v>0</v>
      </c>
      <c r="P110" s="77">
        <v>0</v>
      </c>
      <c r="Q110" s="76" t="s">
        <v>87</v>
      </c>
      <c r="R110" s="76" t="s">
        <v>167</v>
      </c>
      <c r="S110" s="77">
        <v>0</v>
      </c>
      <c r="T110" s="10" t="s">
        <v>80</v>
      </c>
      <c r="U110" s="77">
        <v>0</v>
      </c>
      <c r="V110" s="77">
        <v>0</v>
      </c>
      <c r="W110" s="77">
        <v>0</v>
      </c>
      <c r="X110" s="78">
        <v>0</v>
      </c>
      <c r="Y110" s="76" t="s">
        <v>85</v>
      </c>
      <c r="Z110" s="76" t="s">
        <v>167</v>
      </c>
      <c r="AA110" s="77">
        <v>4</v>
      </c>
      <c r="AB110" s="79">
        <v>0.375</v>
      </c>
      <c r="AC110" s="77">
        <v>0</v>
      </c>
      <c r="AD110" s="77">
        <v>3</v>
      </c>
      <c r="AE110" s="77">
        <v>0</v>
      </c>
      <c r="AF110" s="77">
        <v>0</v>
      </c>
      <c r="AG110" s="76" t="s">
        <v>86</v>
      </c>
      <c r="AH110" s="76" t="s">
        <v>167</v>
      </c>
      <c r="AI110" s="77">
        <v>2</v>
      </c>
      <c r="AJ110" s="79">
        <v>0.5</v>
      </c>
      <c r="AK110" s="77">
        <v>1</v>
      </c>
      <c r="AL110" s="77">
        <v>0</v>
      </c>
      <c r="AM110" s="77">
        <v>0</v>
      </c>
      <c r="AN110" s="78">
        <v>0</v>
      </c>
      <c r="AO110" s="76" t="s">
        <v>88</v>
      </c>
      <c r="AP110" s="76" t="s">
        <v>167</v>
      </c>
      <c r="AQ110" s="77">
        <v>0</v>
      </c>
      <c r="AR110" s="10" t="s">
        <v>80</v>
      </c>
      <c r="AS110" s="77">
        <v>0</v>
      </c>
      <c r="AT110" s="77">
        <v>0</v>
      </c>
      <c r="AU110" s="77">
        <v>0</v>
      </c>
      <c r="AV110" s="78">
        <v>0</v>
      </c>
    </row>
    <row r="111" spans="1:48" ht="14.25" customHeight="1" x14ac:dyDescent="0.3">
      <c r="A111" s="76" t="s">
        <v>144</v>
      </c>
      <c r="B111" s="81" t="s">
        <v>168</v>
      </c>
      <c r="C111" s="83">
        <v>0</v>
      </c>
      <c r="D111" s="82" t="s">
        <v>80</v>
      </c>
      <c r="E111" s="83">
        <v>0</v>
      </c>
      <c r="F111" s="83">
        <v>0</v>
      </c>
      <c r="G111" s="83">
        <v>0</v>
      </c>
      <c r="H111" s="114">
        <v>0</v>
      </c>
      <c r="I111" s="76" t="s">
        <v>146</v>
      </c>
      <c r="J111" s="81" t="s">
        <v>168</v>
      </c>
      <c r="K111" s="83">
        <v>0</v>
      </c>
      <c r="L111" s="82" t="s">
        <v>80</v>
      </c>
      <c r="M111" s="83">
        <v>0</v>
      </c>
      <c r="N111" s="83">
        <v>0</v>
      </c>
      <c r="O111" s="83">
        <v>0</v>
      </c>
      <c r="P111" s="83">
        <v>0</v>
      </c>
      <c r="Q111" s="76" t="s">
        <v>87</v>
      </c>
      <c r="R111" s="81" t="s">
        <v>168</v>
      </c>
      <c r="S111" s="83">
        <v>0</v>
      </c>
      <c r="T111" s="82" t="s">
        <v>80</v>
      </c>
      <c r="U111" s="83">
        <v>0</v>
      </c>
      <c r="V111" s="83">
        <v>0</v>
      </c>
      <c r="W111" s="83">
        <v>0</v>
      </c>
      <c r="X111" s="114">
        <v>0</v>
      </c>
      <c r="Y111" s="76" t="s">
        <v>85</v>
      </c>
      <c r="Z111" s="81" t="s">
        <v>168</v>
      </c>
      <c r="AA111" s="83">
        <v>2</v>
      </c>
      <c r="AB111" s="115">
        <v>0.5</v>
      </c>
      <c r="AC111" s="83">
        <v>1</v>
      </c>
      <c r="AD111" s="83">
        <v>1</v>
      </c>
      <c r="AE111" s="83">
        <v>0</v>
      </c>
      <c r="AF111" s="83">
        <v>0</v>
      </c>
      <c r="AG111" s="76" t="s">
        <v>86</v>
      </c>
      <c r="AH111" s="81" t="s">
        <v>168</v>
      </c>
      <c r="AI111" s="83">
        <v>1</v>
      </c>
      <c r="AJ111" s="83">
        <v>1</v>
      </c>
      <c r="AK111" s="83">
        <v>1</v>
      </c>
      <c r="AL111" s="83">
        <v>0</v>
      </c>
      <c r="AM111" s="83">
        <v>0</v>
      </c>
      <c r="AN111" s="114">
        <v>0</v>
      </c>
      <c r="AO111" s="76" t="s">
        <v>88</v>
      </c>
      <c r="AP111" s="81" t="s">
        <v>168</v>
      </c>
      <c r="AQ111" s="83">
        <v>0</v>
      </c>
      <c r="AR111" s="82" t="s">
        <v>80</v>
      </c>
      <c r="AS111" s="83">
        <v>0</v>
      </c>
      <c r="AT111" s="83">
        <v>0</v>
      </c>
      <c r="AU111" s="83">
        <v>0</v>
      </c>
      <c r="AV111" s="114">
        <v>0</v>
      </c>
    </row>
    <row r="112" spans="1:48" ht="14.25" customHeight="1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</row>
    <row r="113" spans="1:55" ht="14.25" customHeight="1" x14ac:dyDescent="0.3">
      <c r="A113" s="26"/>
      <c r="B113" s="103" t="s">
        <v>169</v>
      </c>
      <c r="C113" s="104" t="s">
        <v>102</v>
      </c>
      <c r="D113" s="104" t="s">
        <v>143</v>
      </c>
      <c r="E113" s="104" t="s">
        <v>26</v>
      </c>
      <c r="F113" s="104" t="s">
        <v>103</v>
      </c>
      <c r="G113" s="104" t="s">
        <v>104</v>
      </c>
      <c r="H113" s="104" t="s">
        <v>105</v>
      </c>
      <c r="I113" s="26"/>
      <c r="J113" s="103" t="s">
        <v>169</v>
      </c>
      <c r="K113" s="104" t="s">
        <v>102</v>
      </c>
      <c r="L113" s="104" t="s">
        <v>143</v>
      </c>
      <c r="M113" s="104" t="s">
        <v>26</v>
      </c>
      <c r="N113" s="104" t="s">
        <v>103</v>
      </c>
      <c r="O113" s="104" t="s">
        <v>104</v>
      </c>
      <c r="P113" s="104" t="s">
        <v>105</v>
      </c>
      <c r="Q113" s="26"/>
      <c r="R113" s="103" t="s">
        <v>169</v>
      </c>
      <c r="S113" s="104" t="s">
        <v>102</v>
      </c>
      <c r="T113" s="104" t="s">
        <v>143</v>
      </c>
      <c r="U113" s="104" t="s">
        <v>26</v>
      </c>
      <c r="V113" s="104" t="s">
        <v>103</v>
      </c>
      <c r="W113" s="104" t="s">
        <v>104</v>
      </c>
      <c r="X113" s="105" t="s">
        <v>105</v>
      </c>
      <c r="Y113" s="26"/>
      <c r="Z113" s="103" t="s">
        <v>169</v>
      </c>
      <c r="AA113" s="104" t="s">
        <v>102</v>
      </c>
      <c r="AB113" s="104" t="s">
        <v>143</v>
      </c>
      <c r="AC113" s="104" t="s">
        <v>26</v>
      </c>
      <c r="AD113" s="104" t="s">
        <v>103</v>
      </c>
      <c r="AE113" s="104" t="s">
        <v>104</v>
      </c>
      <c r="AF113" s="104" t="s">
        <v>105</v>
      </c>
      <c r="AG113" s="26"/>
      <c r="AH113" s="103" t="s">
        <v>169</v>
      </c>
      <c r="AI113" s="104" t="s">
        <v>102</v>
      </c>
      <c r="AJ113" s="104" t="s">
        <v>143</v>
      </c>
      <c r="AK113" s="104" t="s">
        <v>26</v>
      </c>
      <c r="AL113" s="104" t="s">
        <v>103</v>
      </c>
      <c r="AM113" s="104" t="s">
        <v>104</v>
      </c>
      <c r="AN113" s="105" t="s">
        <v>105</v>
      </c>
      <c r="AO113" s="26"/>
      <c r="AP113" s="103" t="s">
        <v>169</v>
      </c>
      <c r="AQ113" s="104" t="s">
        <v>102</v>
      </c>
      <c r="AR113" s="104" t="s">
        <v>143</v>
      </c>
      <c r="AS113" s="104" t="s">
        <v>26</v>
      </c>
      <c r="AT113" s="104" t="s">
        <v>103</v>
      </c>
      <c r="AU113" s="104" t="s">
        <v>104</v>
      </c>
      <c r="AV113" s="105" t="s">
        <v>105</v>
      </c>
    </row>
    <row r="114" spans="1:55" ht="14.25" customHeight="1" x14ac:dyDescent="0.3">
      <c r="A114" s="76" t="s">
        <v>144</v>
      </c>
      <c r="B114" s="110" t="s">
        <v>170</v>
      </c>
      <c r="C114" s="92">
        <v>0</v>
      </c>
      <c r="D114" s="108" t="s">
        <v>80</v>
      </c>
      <c r="E114" s="92">
        <v>0</v>
      </c>
      <c r="F114" s="92">
        <v>0</v>
      </c>
      <c r="G114" s="92">
        <v>0</v>
      </c>
      <c r="H114" s="92">
        <v>0</v>
      </c>
      <c r="I114" s="76" t="s">
        <v>146</v>
      </c>
      <c r="J114" s="110" t="s">
        <v>170</v>
      </c>
      <c r="K114" s="92">
        <v>6</v>
      </c>
      <c r="L114" s="111">
        <v>8.3299999999999999E-2</v>
      </c>
      <c r="M114" s="92">
        <v>0</v>
      </c>
      <c r="N114" s="92">
        <v>2</v>
      </c>
      <c r="O114" s="92">
        <v>1</v>
      </c>
      <c r="P114" s="92">
        <v>0</v>
      </c>
      <c r="Q114" s="76" t="s">
        <v>87</v>
      </c>
      <c r="R114" s="110" t="s">
        <v>170</v>
      </c>
      <c r="S114" s="92">
        <v>0</v>
      </c>
      <c r="T114" s="108" t="s">
        <v>80</v>
      </c>
      <c r="U114" s="92">
        <v>0</v>
      </c>
      <c r="V114" s="92">
        <v>0</v>
      </c>
      <c r="W114" s="92">
        <v>0</v>
      </c>
      <c r="X114" s="112">
        <v>0</v>
      </c>
      <c r="Y114" s="76" t="s">
        <v>85</v>
      </c>
      <c r="Z114" s="110" t="s">
        <v>170</v>
      </c>
      <c r="AA114" s="92">
        <v>2</v>
      </c>
      <c r="AB114" s="111">
        <v>0.5</v>
      </c>
      <c r="AC114" s="92">
        <v>1</v>
      </c>
      <c r="AD114" s="92">
        <v>0</v>
      </c>
      <c r="AE114" s="92">
        <v>0</v>
      </c>
      <c r="AF114" s="92">
        <v>0</v>
      </c>
      <c r="AG114" s="76" t="s">
        <v>86</v>
      </c>
      <c r="AH114" s="110" t="s">
        <v>170</v>
      </c>
      <c r="AI114" s="92">
        <v>4</v>
      </c>
      <c r="AJ114" s="111">
        <v>0.5</v>
      </c>
      <c r="AK114" s="92">
        <v>1</v>
      </c>
      <c r="AL114" s="92">
        <v>2</v>
      </c>
      <c r="AM114" s="92">
        <v>0</v>
      </c>
      <c r="AN114" s="112">
        <v>0</v>
      </c>
      <c r="AO114" s="76" t="s">
        <v>88</v>
      </c>
      <c r="AP114" s="110" t="s">
        <v>170</v>
      </c>
      <c r="AQ114" s="92">
        <v>0</v>
      </c>
      <c r="AR114" s="108" t="s">
        <v>80</v>
      </c>
      <c r="AS114" s="92">
        <v>0</v>
      </c>
      <c r="AT114" s="92">
        <v>0</v>
      </c>
      <c r="AU114" s="92">
        <v>0</v>
      </c>
      <c r="AV114" s="112">
        <v>0</v>
      </c>
    </row>
    <row r="115" spans="1:55" ht="14.25" customHeight="1" x14ac:dyDescent="0.3">
      <c r="A115" s="76" t="s">
        <v>144</v>
      </c>
      <c r="B115" s="76" t="s">
        <v>171</v>
      </c>
      <c r="C115" s="77">
        <v>0</v>
      </c>
      <c r="D115" s="10" t="s">
        <v>80</v>
      </c>
      <c r="E115" s="77">
        <v>0</v>
      </c>
      <c r="F115" s="77">
        <v>0</v>
      </c>
      <c r="G115" s="77">
        <v>0</v>
      </c>
      <c r="H115" s="77">
        <v>0</v>
      </c>
      <c r="I115" s="76" t="s">
        <v>146</v>
      </c>
      <c r="J115" s="76" t="s">
        <v>171</v>
      </c>
      <c r="K115" s="77">
        <v>0</v>
      </c>
      <c r="L115" s="10" t="s">
        <v>80</v>
      </c>
      <c r="M115" s="77">
        <v>0</v>
      </c>
      <c r="N115" s="77">
        <v>0</v>
      </c>
      <c r="O115" s="77">
        <v>0</v>
      </c>
      <c r="P115" s="77">
        <v>0</v>
      </c>
      <c r="Q115" s="76" t="s">
        <v>87</v>
      </c>
      <c r="R115" s="76" t="s">
        <v>171</v>
      </c>
      <c r="S115" s="77">
        <v>0</v>
      </c>
      <c r="T115" s="10" t="s">
        <v>80</v>
      </c>
      <c r="U115" s="77">
        <v>0</v>
      </c>
      <c r="V115" s="77">
        <v>0</v>
      </c>
      <c r="W115" s="77">
        <v>0</v>
      </c>
      <c r="X115" s="78">
        <v>0</v>
      </c>
      <c r="Y115" s="76" t="s">
        <v>85</v>
      </c>
      <c r="Z115" s="76" t="s">
        <v>171</v>
      </c>
      <c r="AA115" s="77">
        <v>0</v>
      </c>
      <c r="AB115" s="10" t="s">
        <v>80</v>
      </c>
      <c r="AC115" s="77">
        <v>0</v>
      </c>
      <c r="AD115" s="77">
        <v>0</v>
      </c>
      <c r="AE115" s="77">
        <v>0</v>
      </c>
      <c r="AF115" s="77">
        <v>0</v>
      </c>
      <c r="AG115" s="76" t="s">
        <v>86</v>
      </c>
      <c r="AH115" s="76" t="s">
        <v>171</v>
      </c>
      <c r="AI115" s="77">
        <v>1</v>
      </c>
      <c r="AJ115" s="77">
        <v>0</v>
      </c>
      <c r="AK115" s="77">
        <v>0</v>
      </c>
      <c r="AL115" s="77">
        <v>0</v>
      </c>
      <c r="AM115" s="77">
        <v>0</v>
      </c>
      <c r="AN115" s="78">
        <v>0</v>
      </c>
      <c r="AO115" s="76" t="s">
        <v>88</v>
      </c>
      <c r="AP115" s="76" t="s">
        <v>171</v>
      </c>
      <c r="AQ115" s="77">
        <v>0</v>
      </c>
      <c r="AR115" s="10" t="s">
        <v>80</v>
      </c>
      <c r="AS115" s="77">
        <v>0</v>
      </c>
      <c r="AT115" s="77">
        <v>0</v>
      </c>
      <c r="AU115" s="77">
        <v>0</v>
      </c>
      <c r="AV115" s="78">
        <v>0</v>
      </c>
    </row>
    <row r="116" spans="1:55" ht="14.25" customHeight="1" x14ac:dyDescent="0.3">
      <c r="A116" s="76" t="s">
        <v>144</v>
      </c>
      <c r="B116" s="76" t="s">
        <v>172</v>
      </c>
      <c r="C116" s="77">
        <v>0</v>
      </c>
      <c r="D116" s="10" t="s">
        <v>80</v>
      </c>
      <c r="E116" s="77">
        <v>0</v>
      </c>
      <c r="F116" s="77">
        <v>0</v>
      </c>
      <c r="G116" s="77">
        <v>0</v>
      </c>
      <c r="H116" s="77">
        <v>0</v>
      </c>
      <c r="I116" s="76" t="s">
        <v>146</v>
      </c>
      <c r="J116" s="76" t="s">
        <v>172</v>
      </c>
      <c r="K116" s="77">
        <v>5</v>
      </c>
      <c r="L116" s="77">
        <v>0</v>
      </c>
      <c r="M116" s="77">
        <v>0</v>
      </c>
      <c r="N116" s="77">
        <v>2</v>
      </c>
      <c r="O116" s="77">
        <v>0</v>
      </c>
      <c r="P116" s="77">
        <v>0</v>
      </c>
      <c r="Q116" s="76" t="s">
        <v>87</v>
      </c>
      <c r="R116" s="76" t="s">
        <v>172</v>
      </c>
      <c r="S116" s="77">
        <v>0</v>
      </c>
      <c r="T116" s="10" t="s">
        <v>80</v>
      </c>
      <c r="U116" s="77">
        <v>0</v>
      </c>
      <c r="V116" s="77">
        <v>0</v>
      </c>
      <c r="W116" s="77">
        <v>0</v>
      </c>
      <c r="X116" s="78">
        <v>0</v>
      </c>
      <c r="Y116" s="76" t="s">
        <v>85</v>
      </c>
      <c r="Z116" s="76" t="s">
        <v>172</v>
      </c>
      <c r="AA116" s="77">
        <v>1</v>
      </c>
      <c r="AB116" s="77">
        <v>1</v>
      </c>
      <c r="AC116" s="77">
        <v>1</v>
      </c>
      <c r="AD116" s="77">
        <v>0</v>
      </c>
      <c r="AE116" s="77">
        <v>0</v>
      </c>
      <c r="AF116" s="77">
        <v>0</v>
      </c>
      <c r="AG116" s="76" t="s">
        <v>86</v>
      </c>
      <c r="AH116" s="76" t="s">
        <v>172</v>
      </c>
      <c r="AI116" s="77">
        <v>2</v>
      </c>
      <c r="AJ116" s="77">
        <v>0</v>
      </c>
      <c r="AK116" s="77">
        <v>0</v>
      </c>
      <c r="AL116" s="77">
        <v>2</v>
      </c>
      <c r="AM116" s="77">
        <v>0</v>
      </c>
      <c r="AN116" s="78">
        <v>0</v>
      </c>
      <c r="AO116" s="76" t="s">
        <v>88</v>
      </c>
      <c r="AP116" s="76" t="s">
        <v>172</v>
      </c>
      <c r="AQ116" s="77">
        <v>0</v>
      </c>
      <c r="AR116" s="10" t="s">
        <v>80</v>
      </c>
      <c r="AS116" s="77">
        <v>0</v>
      </c>
      <c r="AT116" s="77">
        <v>0</v>
      </c>
      <c r="AU116" s="77">
        <v>0</v>
      </c>
      <c r="AV116" s="78">
        <v>0</v>
      </c>
    </row>
    <row r="117" spans="1:55" ht="14.25" customHeight="1" x14ac:dyDescent="0.3">
      <c r="A117" s="76" t="s">
        <v>144</v>
      </c>
      <c r="B117" s="76" t="s">
        <v>173</v>
      </c>
      <c r="C117" s="77">
        <v>0</v>
      </c>
      <c r="D117" s="10" t="s">
        <v>80</v>
      </c>
      <c r="E117" s="77">
        <v>0</v>
      </c>
      <c r="F117" s="77">
        <v>0</v>
      </c>
      <c r="G117" s="77">
        <v>0</v>
      </c>
      <c r="H117" s="77">
        <v>0</v>
      </c>
      <c r="I117" s="76" t="s">
        <v>146</v>
      </c>
      <c r="J117" s="76" t="s">
        <v>173</v>
      </c>
      <c r="K117" s="77">
        <v>1</v>
      </c>
      <c r="L117" s="77">
        <v>0</v>
      </c>
      <c r="M117" s="77">
        <v>0</v>
      </c>
      <c r="N117" s="77">
        <v>0</v>
      </c>
      <c r="O117" s="77">
        <v>1</v>
      </c>
      <c r="P117" s="77">
        <v>0</v>
      </c>
      <c r="Q117" s="76" t="s">
        <v>87</v>
      </c>
      <c r="R117" s="76" t="s">
        <v>173</v>
      </c>
      <c r="S117" s="77">
        <v>0</v>
      </c>
      <c r="T117" s="10" t="s">
        <v>80</v>
      </c>
      <c r="U117" s="77">
        <v>0</v>
      </c>
      <c r="V117" s="77">
        <v>0</v>
      </c>
      <c r="W117" s="77">
        <v>0</v>
      </c>
      <c r="X117" s="78">
        <v>0</v>
      </c>
      <c r="Y117" s="76" t="s">
        <v>85</v>
      </c>
      <c r="Z117" s="76" t="s">
        <v>173</v>
      </c>
      <c r="AA117" s="77">
        <v>1</v>
      </c>
      <c r="AB117" s="77">
        <v>0</v>
      </c>
      <c r="AC117" s="77">
        <v>0</v>
      </c>
      <c r="AD117" s="77">
        <v>0</v>
      </c>
      <c r="AE117" s="77">
        <v>0</v>
      </c>
      <c r="AF117" s="77">
        <v>0</v>
      </c>
      <c r="AG117" s="76" t="s">
        <v>86</v>
      </c>
      <c r="AH117" s="76" t="s">
        <v>173</v>
      </c>
      <c r="AI117" s="77">
        <v>1</v>
      </c>
      <c r="AJ117" s="77">
        <v>1</v>
      </c>
      <c r="AK117" s="77">
        <v>1</v>
      </c>
      <c r="AL117" s="77">
        <v>0</v>
      </c>
      <c r="AM117" s="77">
        <v>0</v>
      </c>
      <c r="AN117" s="78">
        <v>0</v>
      </c>
      <c r="AO117" s="76" t="s">
        <v>88</v>
      </c>
      <c r="AP117" s="76" t="s">
        <v>173</v>
      </c>
      <c r="AQ117" s="77">
        <v>0</v>
      </c>
      <c r="AR117" s="10" t="s">
        <v>80</v>
      </c>
      <c r="AS117" s="77">
        <v>0</v>
      </c>
      <c r="AT117" s="77">
        <v>0</v>
      </c>
      <c r="AU117" s="77">
        <v>0</v>
      </c>
      <c r="AV117" s="78">
        <v>0</v>
      </c>
    </row>
    <row r="118" spans="1:55" ht="14.25" customHeight="1" x14ac:dyDescent="0.3">
      <c r="A118" s="76" t="s">
        <v>144</v>
      </c>
      <c r="B118" s="110" t="s">
        <v>174</v>
      </c>
      <c r="C118" s="92">
        <v>0</v>
      </c>
      <c r="D118" s="91" t="s">
        <v>80</v>
      </c>
      <c r="E118" s="92">
        <v>0</v>
      </c>
      <c r="F118" s="92">
        <v>0</v>
      </c>
      <c r="G118" s="92">
        <v>0</v>
      </c>
      <c r="H118" s="92">
        <v>0</v>
      </c>
      <c r="I118" s="76" t="s">
        <v>146</v>
      </c>
      <c r="J118" s="110" t="s">
        <v>174</v>
      </c>
      <c r="K118" s="92">
        <v>0</v>
      </c>
      <c r="L118" s="91" t="s">
        <v>80</v>
      </c>
      <c r="M118" s="92">
        <v>0</v>
      </c>
      <c r="N118" s="92">
        <v>0</v>
      </c>
      <c r="O118" s="92">
        <v>0</v>
      </c>
      <c r="P118" s="92">
        <v>0</v>
      </c>
      <c r="Q118" s="76" t="s">
        <v>87</v>
      </c>
      <c r="R118" s="110" t="s">
        <v>174</v>
      </c>
      <c r="S118" s="92">
        <v>0</v>
      </c>
      <c r="T118" s="91" t="s">
        <v>80</v>
      </c>
      <c r="U118" s="92">
        <v>0</v>
      </c>
      <c r="V118" s="92">
        <v>0</v>
      </c>
      <c r="W118" s="92">
        <v>0</v>
      </c>
      <c r="X118" s="112">
        <v>0</v>
      </c>
      <c r="Y118" s="76" t="s">
        <v>85</v>
      </c>
      <c r="Z118" s="110" t="s">
        <v>174</v>
      </c>
      <c r="AA118" s="92">
        <v>2</v>
      </c>
      <c r="AB118" s="113">
        <v>0.75</v>
      </c>
      <c r="AC118" s="92">
        <v>1</v>
      </c>
      <c r="AD118" s="92">
        <v>0</v>
      </c>
      <c r="AE118" s="92">
        <v>0</v>
      </c>
      <c r="AF118" s="92">
        <v>0</v>
      </c>
      <c r="AG118" s="76" t="s">
        <v>86</v>
      </c>
      <c r="AH118" s="110" t="s">
        <v>174</v>
      </c>
      <c r="AI118" s="92">
        <v>4</v>
      </c>
      <c r="AJ118" s="113">
        <v>1.5</v>
      </c>
      <c r="AK118" s="92">
        <v>4</v>
      </c>
      <c r="AL118" s="92">
        <v>0</v>
      </c>
      <c r="AM118" s="92">
        <v>0</v>
      </c>
      <c r="AN118" s="112">
        <v>0</v>
      </c>
      <c r="AO118" s="76" t="s">
        <v>88</v>
      </c>
      <c r="AP118" s="110" t="s">
        <v>174</v>
      </c>
      <c r="AQ118" s="92">
        <v>0</v>
      </c>
      <c r="AR118" s="91" t="s">
        <v>80</v>
      </c>
      <c r="AS118" s="92">
        <v>0</v>
      </c>
      <c r="AT118" s="92">
        <v>0</v>
      </c>
      <c r="AU118" s="92">
        <v>0</v>
      </c>
      <c r="AV118" s="112">
        <v>0</v>
      </c>
    </row>
    <row r="119" spans="1:55" ht="14.25" customHeight="1" x14ac:dyDescent="0.3">
      <c r="A119" s="76" t="s">
        <v>144</v>
      </c>
      <c r="B119" s="76" t="s">
        <v>175</v>
      </c>
      <c r="C119" s="77">
        <v>0</v>
      </c>
      <c r="D119" s="10" t="s">
        <v>80</v>
      </c>
      <c r="E119" s="77">
        <v>0</v>
      </c>
      <c r="F119" s="77">
        <v>0</v>
      </c>
      <c r="G119" s="77">
        <v>0</v>
      </c>
      <c r="H119" s="77">
        <v>0</v>
      </c>
      <c r="I119" s="76" t="s">
        <v>146</v>
      </c>
      <c r="J119" s="76" t="s">
        <v>175</v>
      </c>
      <c r="K119" s="77">
        <v>0</v>
      </c>
      <c r="L119" s="10" t="s">
        <v>80</v>
      </c>
      <c r="M119" s="77">
        <v>0</v>
      </c>
      <c r="N119" s="77">
        <v>0</v>
      </c>
      <c r="O119" s="77">
        <v>0</v>
      </c>
      <c r="P119" s="77">
        <v>0</v>
      </c>
      <c r="Q119" s="76" t="s">
        <v>87</v>
      </c>
      <c r="R119" s="76" t="s">
        <v>175</v>
      </c>
      <c r="S119" s="77">
        <v>0</v>
      </c>
      <c r="T119" s="10" t="s">
        <v>80</v>
      </c>
      <c r="U119" s="77">
        <v>0</v>
      </c>
      <c r="V119" s="77">
        <v>0</v>
      </c>
      <c r="W119" s="77">
        <v>0</v>
      </c>
      <c r="X119" s="78">
        <v>0</v>
      </c>
      <c r="Y119" s="76" t="s">
        <v>85</v>
      </c>
      <c r="Z119" s="76" t="s">
        <v>175</v>
      </c>
      <c r="AA119" s="77">
        <v>0</v>
      </c>
      <c r="AB119" s="10" t="s">
        <v>80</v>
      </c>
      <c r="AC119" s="77">
        <v>0</v>
      </c>
      <c r="AD119" s="77">
        <v>0</v>
      </c>
      <c r="AE119" s="77">
        <v>0</v>
      </c>
      <c r="AF119" s="77">
        <v>0</v>
      </c>
      <c r="AG119" s="76" t="s">
        <v>86</v>
      </c>
      <c r="AH119" s="76" t="s">
        <v>175</v>
      </c>
      <c r="AI119" s="77">
        <v>0</v>
      </c>
      <c r="AJ119" s="10" t="s">
        <v>80</v>
      </c>
      <c r="AK119" s="77">
        <v>0</v>
      </c>
      <c r="AL119" s="77">
        <v>0</v>
      </c>
      <c r="AM119" s="77">
        <v>0</v>
      </c>
      <c r="AN119" s="78">
        <v>0</v>
      </c>
      <c r="AO119" s="76" t="s">
        <v>88</v>
      </c>
      <c r="AP119" s="76" t="s">
        <v>175</v>
      </c>
      <c r="AQ119" s="77">
        <v>0</v>
      </c>
      <c r="AR119" s="10" t="s">
        <v>80</v>
      </c>
      <c r="AS119" s="77">
        <v>0</v>
      </c>
      <c r="AT119" s="77">
        <v>0</v>
      </c>
      <c r="AU119" s="77">
        <v>0</v>
      </c>
      <c r="AV119" s="78">
        <v>0</v>
      </c>
    </row>
    <row r="120" spans="1:55" ht="14.25" customHeight="1" x14ac:dyDescent="0.3">
      <c r="A120" s="76" t="s">
        <v>144</v>
      </c>
      <c r="B120" s="76" t="s">
        <v>176</v>
      </c>
      <c r="C120" s="77">
        <v>0</v>
      </c>
      <c r="D120" s="10" t="s">
        <v>80</v>
      </c>
      <c r="E120" s="77">
        <v>0</v>
      </c>
      <c r="F120" s="77">
        <v>0</v>
      </c>
      <c r="G120" s="77">
        <v>0</v>
      </c>
      <c r="H120" s="77">
        <v>0</v>
      </c>
      <c r="I120" s="76" t="s">
        <v>146</v>
      </c>
      <c r="J120" s="76" t="s">
        <v>176</v>
      </c>
      <c r="K120" s="77">
        <v>0</v>
      </c>
      <c r="L120" s="10" t="s">
        <v>80</v>
      </c>
      <c r="M120" s="77">
        <v>0</v>
      </c>
      <c r="N120" s="77">
        <v>0</v>
      </c>
      <c r="O120" s="77">
        <v>0</v>
      </c>
      <c r="P120" s="77">
        <v>0</v>
      </c>
      <c r="Q120" s="76" t="s">
        <v>87</v>
      </c>
      <c r="R120" s="76" t="s">
        <v>176</v>
      </c>
      <c r="S120" s="77">
        <v>0</v>
      </c>
      <c r="T120" s="10" t="s">
        <v>80</v>
      </c>
      <c r="U120" s="77">
        <v>0</v>
      </c>
      <c r="V120" s="77">
        <v>0</v>
      </c>
      <c r="W120" s="77">
        <v>0</v>
      </c>
      <c r="X120" s="78">
        <v>0</v>
      </c>
      <c r="Y120" s="76" t="s">
        <v>85</v>
      </c>
      <c r="Z120" s="76" t="s">
        <v>176</v>
      </c>
      <c r="AA120" s="77">
        <v>2</v>
      </c>
      <c r="AB120" s="79">
        <v>0.5</v>
      </c>
      <c r="AC120" s="77">
        <v>1</v>
      </c>
      <c r="AD120" s="77">
        <v>0</v>
      </c>
      <c r="AE120" s="77">
        <v>0</v>
      </c>
      <c r="AF120" s="77">
        <v>0</v>
      </c>
      <c r="AG120" s="76" t="s">
        <v>86</v>
      </c>
      <c r="AH120" s="76" t="s">
        <v>176</v>
      </c>
      <c r="AI120" s="77">
        <v>3</v>
      </c>
      <c r="AJ120" s="77">
        <v>1</v>
      </c>
      <c r="AK120" s="77">
        <v>3</v>
      </c>
      <c r="AL120" s="77">
        <v>0</v>
      </c>
      <c r="AM120" s="77">
        <v>0</v>
      </c>
      <c r="AN120" s="78">
        <v>0</v>
      </c>
      <c r="AO120" s="76" t="s">
        <v>88</v>
      </c>
      <c r="AP120" s="76" t="s">
        <v>176</v>
      </c>
      <c r="AQ120" s="77">
        <v>0</v>
      </c>
      <c r="AR120" s="10" t="s">
        <v>80</v>
      </c>
      <c r="AS120" s="77">
        <v>0</v>
      </c>
      <c r="AT120" s="77">
        <v>0</v>
      </c>
      <c r="AU120" s="77">
        <v>0</v>
      </c>
      <c r="AV120" s="78">
        <v>0</v>
      </c>
    </row>
    <row r="121" spans="1:55" ht="14.25" customHeight="1" x14ac:dyDescent="0.3">
      <c r="A121" s="76" t="s">
        <v>144</v>
      </c>
      <c r="B121" s="76" t="s">
        <v>177</v>
      </c>
      <c r="C121" s="77">
        <v>0</v>
      </c>
      <c r="D121" s="10" t="s">
        <v>80</v>
      </c>
      <c r="E121" s="77">
        <v>0</v>
      </c>
      <c r="F121" s="77">
        <v>0</v>
      </c>
      <c r="G121" s="77">
        <v>0</v>
      </c>
      <c r="H121" s="77">
        <v>0</v>
      </c>
      <c r="I121" s="76" t="s">
        <v>146</v>
      </c>
      <c r="J121" s="76" t="s">
        <v>177</v>
      </c>
      <c r="K121" s="77">
        <v>0</v>
      </c>
      <c r="L121" s="10" t="s">
        <v>80</v>
      </c>
      <c r="M121" s="77">
        <v>0</v>
      </c>
      <c r="N121" s="77">
        <v>0</v>
      </c>
      <c r="O121" s="77">
        <v>0</v>
      </c>
      <c r="P121" s="77">
        <v>0</v>
      </c>
      <c r="Q121" s="76" t="s">
        <v>87</v>
      </c>
      <c r="R121" s="76" t="s">
        <v>177</v>
      </c>
      <c r="S121" s="77">
        <v>0</v>
      </c>
      <c r="T121" s="10" t="s">
        <v>80</v>
      </c>
      <c r="U121" s="77">
        <v>0</v>
      </c>
      <c r="V121" s="77">
        <v>0</v>
      </c>
      <c r="W121" s="77">
        <v>0</v>
      </c>
      <c r="X121" s="78">
        <v>0</v>
      </c>
      <c r="Y121" s="76" t="s">
        <v>85</v>
      </c>
      <c r="Z121" s="76" t="s">
        <v>177</v>
      </c>
      <c r="AA121" s="77">
        <v>0</v>
      </c>
      <c r="AB121" s="10" t="s">
        <v>80</v>
      </c>
      <c r="AC121" s="77">
        <v>0</v>
      </c>
      <c r="AD121" s="77">
        <v>0</v>
      </c>
      <c r="AE121" s="77">
        <v>0</v>
      </c>
      <c r="AF121" s="77">
        <v>0</v>
      </c>
      <c r="AG121" s="76" t="s">
        <v>86</v>
      </c>
      <c r="AH121" s="76" t="s">
        <v>177</v>
      </c>
      <c r="AI121" s="77">
        <v>1</v>
      </c>
      <c r="AJ121" s="77">
        <v>1</v>
      </c>
      <c r="AK121" s="77">
        <v>1</v>
      </c>
      <c r="AL121" s="77">
        <v>0</v>
      </c>
      <c r="AM121" s="77">
        <v>0</v>
      </c>
      <c r="AN121" s="78">
        <v>0</v>
      </c>
      <c r="AO121" s="76" t="s">
        <v>88</v>
      </c>
      <c r="AP121" s="76" t="s">
        <v>177</v>
      </c>
      <c r="AQ121" s="77">
        <v>0</v>
      </c>
      <c r="AR121" s="10" t="s">
        <v>80</v>
      </c>
      <c r="AS121" s="77">
        <v>0</v>
      </c>
      <c r="AT121" s="77">
        <v>0</v>
      </c>
      <c r="AU121" s="77">
        <v>0</v>
      </c>
      <c r="AV121" s="78">
        <v>0</v>
      </c>
    </row>
    <row r="122" spans="1:55" ht="14.25" customHeight="1" x14ac:dyDescent="0.3">
      <c r="A122" s="76" t="s">
        <v>144</v>
      </c>
      <c r="B122" s="110" t="s">
        <v>178</v>
      </c>
      <c r="C122" s="92">
        <v>0</v>
      </c>
      <c r="D122" s="91" t="s">
        <v>80</v>
      </c>
      <c r="E122" s="92">
        <v>0</v>
      </c>
      <c r="F122" s="92">
        <v>0</v>
      </c>
      <c r="G122" s="92">
        <v>0</v>
      </c>
      <c r="H122" s="92">
        <v>0</v>
      </c>
      <c r="I122" s="76" t="s">
        <v>146</v>
      </c>
      <c r="J122" s="110" t="s">
        <v>178</v>
      </c>
      <c r="K122" s="92">
        <v>2</v>
      </c>
      <c r="L122" s="113">
        <v>0.5</v>
      </c>
      <c r="M122" s="92">
        <v>1</v>
      </c>
      <c r="N122" s="92">
        <v>0</v>
      </c>
      <c r="O122" s="92">
        <v>0</v>
      </c>
      <c r="P122" s="92">
        <v>0</v>
      </c>
      <c r="Q122" s="76" t="s">
        <v>87</v>
      </c>
      <c r="R122" s="110" t="s">
        <v>178</v>
      </c>
      <c r="S122" s="92">
        <v>0</v>
      </c>
      <c r="T122" s="91" t="s">
        <v>80</v>
      </c>
      <c r="U122" s="92">
        <v>0</v>
      </c>
      <c r="V122" s="92">
        <v>0</v>
      </c>
      <c r="W122" s="92">
        <v>0</v>
      </c>
      <c r="X122" s="112">
        <v>0</v>
      </c>
      <c r="Y122" s="76" t="s">
        <v>85</v>
      </c>
      <c r="Z122" s="110" t="s">
        <v>178</v>
      </c>
      <c r="AA122" s="92">
        <v>2</v>
      </c>
      <c r="AB122" s="113">
        <v>0.5</v>
      </c>
      <c r="AC122" s="92">
        <v>0</v>
      </c>
      <c r="AD122" s="92">
        <v>2</v>
      </c>
      <c r="AE122" s="92">
        <v>0</v>
      </c>
      <c r="AF122" s="92">
        <v>0</v>
      </c>
      <c r="AG122" s="76" t="s">
        <v>86</v>
      </c>
      <c r="AH122" s="110" t="s">
        <v>178</v>
      </c>
      <c r="AI122" s="92">
        <v>0</v>
      </c>
      <c r="AJ122" s="91" t="s">
        <v>80</v>
      </c>
      <c r="AK122" s="92">
        <v>0</v>
      </c>
      <c r="AL122" s="92">
        <v>0</v>
      </c>
      <c r="AM122" s="92">
        <v>0</v>
      </c>
      <c r="AN122" s="112">
        <v>0</v>
      </c>
      <c r="AO122" s="76" t="s">
        <v>88</v>
      </c>
      <c r="AP122" s="110" t="s">
        <v>178</v>
      </c>
      <c r="AQ122" s="92">
        <v>0</v>
      </c>
      <c r="AR122" s="91" t="s">
        <v>80</v>
      </c>
      <c r="AS122" s="92">
        <v>0</v>
      </c>
      <c r="AT122" s="92">
        <v>0</v>
      </c>
      <c r="AU122" s="92">
        <v>0</v>
      </c>
      <c r="AV122" s="112">
        <v>0</v>
      </c>
    </row>
    <row r="123" spans="1:55" ht="14.25" customHeight="1" x14ac:dyDescent="0.3">
      <c r="A123" s="76" t="s">
        <v>144</v>
      </c>
      <c r="B123" s="76" t="s">
        <v>179</v>
      </c>
      <c r="C123" s="77">
        <v>0</v>
      </c>
      <c r="D123" s="10" t="s">
        <v>80</v>
      </c>
      <c r="E123" s="77">
        <v>0</v>
      </c>
      <c r="F123" s="77">
        <v>0</v>
      </c>
      <c r="G123" s="77">
        <v>0</v>
      </c>
      <c r="H123" s="77">
        <v>0</v>
      </c>
      <c r="I123" s="76" t="s">
        <v>146</v>
      </c>
      <c r="J123" s="76" t="s">
        <v>179</v>
      </c>
      <c r="K123" s="77">
        <v>1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  <c r="Q123" s="76" t="s">
        <v>87</v>
      </c>
      <c r="R123" s="76" t="s">
        <v>179</v>
      </c>
      <c r="S123" s="77">
        <v>0</v>
      </c>
      <c r="T123" s="10" t="s">
        <v>80</v>
      </c>
      <c r="U123" s="77">
        <v>0</v>
      </c>
      <c r="V123" s="77">
        <v>0</v>
      </c>
      <c r="W123" s="77">
        <v>0</v>
      </c>
      <c r="X123" s="78">
        <v>0</v>
      </c>
      <c r="Y123" s="76" t="s">
        <v>85</v>
      </c>
      <c r="Z123" s="76" t="s">
        <v>179</v>
      </c>
      <c r="AA123" s="77">
        <v>0</v>
      </c>
      <c r="AB123" s="10" t="s">
        <v>80</v>
      </c>
      <c r="AC123" s="77">
        <v>0</v>
      </c>
      <c r="AD123" s="77">
        <v>0</v>
      </c>
      <c r="AE123" s="77">
        <v>0</v>
      </c>
      <c r="AF123" s="77">
        <v>0</v>
      </c>
      <c r="AG123" s="76" t="s">
        <v>86</v>
      </c>
      <c r="AH123" s="76" t="s">
        <v>179</v>
      </c>
      <c r="AI123" s="77">
        <v>0</v>
      </c>
      <c r="AJ123" s="10" t="s">
        <v>80</v>
      </c>
      <c r="AK123" s="77">
        <v>0</v>
      </c>
      <c r="AL123" s="77">
        <v>0</v>
      </c>
      <c r="AM123" s="77">
        <v>0</v>
      </c>
      <c r="AN123" s="78">
        <v>0</v>
      </c>
      <c r="AO123" s="76" t="s">
        <v>88</v>
      </c>
      <c r="AP123" s="76" t="s">
        <v>179</v>
      </c>
      <c r="AQ123" s="77">
        <v>0</v>
      </c>
      <c r="AR123" s="10" t="s">
        <v>80</v>
      </c>
      <c r="AS123" s="77">
        <v>0</v>
      </c>
      <c r="AT123" s="77">
        <v>0</v>
      </c>
      <c r="AU123" s="77">
        <v>0</v>
      </c>
      <c r="AV123" s="78">
        <v>0</v>
      </c>
    </row>
    <row r="124" spans="1:55" ht="14.25" customHeight="1" x14ac:dyDescent="0.3">
      <c r="A124" s="76" t="s">
        <v>144</v>
      </c>
      <c r="B124" s="76" t="s">
        <v>180</v>
      </c>
      <c r="C124" s="77">
        <v>0</v>
      </c>
      <c r="D124" s="10" t="s">
        <v>80</v>
      </c>
      <c r="E124" s="77">
        <v>0</v>
      </c>
      <c r="F124" s="77">
        <v>0</v>
      </c>
      <c r="G124" s="77">
        <v>0</v>
      </c>
      <c r="H124" s="77">
        <v>0</v>
      </c>
      <c r="I124" s="76" t="s">
        <v>146</v>
      </c>
      <c r="J124" s="76" t="s">
        <v>180</v>
      </c>
      <c r="K124" s="77">
        <v>1</v>
      </c>
      <c r="L124" s="77">
        <v>1</v>
      </c>
      <c r="M124" s="77">
        <v>1</v>
      </c>
      <c r="N124" s="77">
        <v>0</v>
      </c>
      <c r="O124" s="77">
        <v>0</v>
      </c>
      <c r="P124" s="77">
        <v>0</v>
      </c>
      <c r="Q124" s="76" t="s">
        <v>87</v>
      </c>
      <c r="R124" s="76" t="s">
        <v>180</v>
      </c>
      <c r="S124" s="77">
        <v>0</v>
      </c>
      <c r="T124" s="10" t="s">
        <v>80</v>
      </c>
      <c r="U124" s="77">
        <v>0</v>
      </c>
      <c r="V124" s="77">
        <v>0</v>
      </c>
      <c r="W124" s="77">
        <v>0</v>
      </c>
      <c r="X124" s="78">
        <v>0</v>
      </c>
      <c r="Y124" s="76" t="s">
        <v>85</v>
      </c>
      <c r="Z124" s="76" t="s">
        <v>180</v>
      </c>
      <c r="AA124" s="77">
        <v>2</v>
      </c>
      <c r="AB124" s="79">
        <v>0.5</v>
      </c>
      <c r="AC124" s="77">
        <v>0</v>
      </c>
      <c r="AD124" s="77">
        <v>2</v>
      </c>
      <c r="AE124" s="77">
        <v>0</v>
      </c>
      <c r="AF124" s="77">
        <v>0</v>
      </c>
      <c r="AG124" s="76" t="s">
        <v>86</v>
      </c>
      <c r="AH124" s="76" t="s">
        <v>180</v>
      </c>
      <c r="AI124" s="77">
        <v>0</v>
      </c>
      <c r="AJ124" s="10" t="s">
        <v>80</v>
      </c>
      <c r="AK124" s="77">
        <v>0</v>
      </c>
      <c r="AL124" s="77">
        <v>0</v>
      </c>
      <c r="AM124" s="77">
        <v>0</v>
      </c>
      <c r="AN124" s="78">
        <v>0</v>
      </c>
      <c r="AO124" s="76" t="s">
        <v>88</v>
      </c>
      <c r="AP124" s="76" t="s">
        <v>180</v>
      </c>
      <c r="AQ124" s="77">
        <v>0</v>
      </c>
      <c r="AR124" s="10" t="s">
        <v>80</v>
      </c>
      <c r="AS124" s="77">
        <v>0</v>
      </c>
      <c r="AT124" s="77">
        <v>0</v>
      </c>
      <c r="AU124" s="77">
        <v>0</v>
      </c>
      <c r="AV124" s="78">
        <v>0</v>
      </c>
    </row>
    <row r="125" spans="1:55" ht="14.25" customHeight="1" x14ac:dyDescent="0.3">
      <c r="A125" s="76" t="s">
        <v>144</v>
      </c>
      <c r="B125" s="81" t="s">
        <v>181</v>
      </c>
      <c r="C125" s="83">
        <v>0</v>
      </c>
      <c r="D125" s="82" t="s">
        <v>80</v>
      </c>
      <c r="E125" s="83">
        <v>0</v>
      </c>
      <c r="F125" s="83">
        <v>0</v>
      </c>
      <c r="G125" s="83">
        <v>0</v>
      </c>
      <c r="H125" s="83">
        <v>0</v>
      </c>
      <c r="I125" s="76" t="s">
        <v>146</v>
      </c>
      <c r="J125" s="81" t="s">
        <v>181</v>
      </c>
      <c r="K125" s="83">
        <v>0</v>
      </c>
      <c r="L125" s="82" t="s">
        <v>80</v>
      </c>
      <c r="M125" s="83">
        <v>0</v>
      </c>
      <c r="N125" s="83">
        <v>0</v>
      </c>
      <c r="O125" s="83">
        <v>0</v>
      </c>
      <c r="P125" s="83">
        <v>0</v>
      </c>
      <c r="Q125" s="76" t="s">
        <v>87</v>
      </c>
      <c r="R125" s="81" t="s">
        <v>181</v>
      </c>
      <c r="S125" s="83">
        <v>0</v>
      </c>
      <c r="T125" s="82" t="s">
        <v>80</v>
      </c>
      <c r="U125" s="83">
        <v>0</v>
      </c>
      <c r="V125" s="83">
        <v>0</v>
      </c>
      <c r="W125" s="83">
        <v>0</v>
      </c>
      <c r="X125" s="114">
        <v>0</v>
      </c>
      <c r="Y125" s="76" t="s">
        <v>85</v>
      </c>
      <c r="Z125" s="81" t="s">
        <v>181</v>
      </c>
      <c r="AA125" s="83">
        <v>0</v>
      </c>
      <c r="AB125" s="82" t="s">
        <v>80</v>
      </c>
      <c r="AC125" s="83">
        <v>0</v>
      </c>
      <c r="AD125" s="83">
        <v>0</v>
      </c>
      <c r="AE125" s="83">
        <v>0</v>
      </c>
      <c r="AF125" s="83">
        <v>0</v>
      </c>
      <c r="AG125" s="76" t="s">
        <v>86</v>
      </c>
      <c r="AH125" s="81" t="s">
        <v>181</v>
      </c>
      <c r="AI125" s="83">
        <v>0</v>
      </c>
      <c r="AJ125" s="82" t="s">
        <v>80</v>
      </c>
      <c r="AK125" s="83">
        <v>0</v>
      </c>
      <c r="AL125" s="83">
        <v>0</v>
      </c>
      <c r="AM125" s="83">
        <v>0</v>
      </c>
      <c r="AN125" s="114">
        <v>0</v>
      </c>
      <c r="AO125" s="76" t="s">
        <v>88</v>
      </c>
      <c r="AP125" s="81" t="s">
        <v>181</v>
      </c>
      <c r="AQ125" s="83">
        <v>0</v>
      </c>
      <c r="AR125" s="82" t="s">
        <v>80</v>
      </c>
      <c r="AS125" s="83">
        <v>0</v>
      </c>
      <c r="AT125" s="83">
        <v>0</v>
      </c>
      <c r="AU125" s="83">
        <v>0</v>
      </c>
      <c r="AV125" s="114">
        <v>0</v>
      </c>
    </row>
    <row r="127" spans="1:55" ht="14.25" customHeight="1" x14ac:dyDescent="0.3">
      <c r="A127" s="155" t="s">
        <v>182</v>
      </c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</row>
    <row r="128" spans="1:55" ht="14.25" customHeight="1" x14ac:dyDescent="0.3">
      <c r="A128" s="116">
        <f t="shared" ref="A128:F137" si="0">A147</f>
        <v>0</v>
      </c>
      <c r="B128" s="116" t="str">
        <f t="shared" si="0"/>
        <v>SQ #</v>
      </c>
      <c r="C128" s="116" t="str">
        <f t="shared" si="0"/>
        <v>SQ +</v>
      </c>
      <c r="D128" s="116" t="str">
        <f t="shared" si="0"/>
        <v>SQ /</v>
      </c>
      <c r="E128" s="116" t="str">
        <f t="shared" si="0"/>
        <v>SQ =</v>
      </c>
      <c r="F128" s="116" t="str">
        <f t="shared" si="0"/>
        <v>SQ TOT</v>
      </c>
      <c r="G128" s="116" t="s">
        <v>183</v>
      </c>
      <c r="H128" s="116" t="str">
        <f t="shared" ref="H128:L137" si="1">G147</f>
        <v>REC #</v>
      </c>
      <c r="I128" s="116" t="str">
        <f t="shared" si="1"/>
        <v>REC +</v>
      </c>
      <c r="J128" s="116" t="str">
        <f t="shared" si="1"/>
        <v>REC /</v>
      </c>
      <c r="K128" s="116" t="str">
        <f t="shared" si="1"/>
        <v>REC =</v>
      </c>
      <c r="L128" s="116" t="str">
        <f t="shared" si="1"/>
        <v>REC TOT</v>
      </c>
      <c r="M128" s="116" t="s">
        <v>184</v>
      </c>
      <c r="N128" s="116" t="str">
        <f t="shared" ref="N128:N144" si="2">L147</f>
        <v>BLQ #</v>
      </c>
      <c r="O128" s="116" t="str">
        <f t="shared" ref="O128:O144" si="3">M147</f>
        <v>BLQ +</v>
      </c>
      <c r="P128" s="116" t="s">
        <v>185</v>
      </c>
      <c r="Q128" s="116" t="str">
        <f t="shared" ref="Q128:Q144" si="4">N147</f>
        <v>BLQ =</v>
      </c>
      <c r="R128" s="116" t="str">
        <f t="shared" ref="R128:R144" si="5">O147</f>
        <v>BLQ /</v>
      </c>
      <c r="S128" s="116" t="str">
        <f t="shared" ref="S128:S144" si="6">P147</f>
        <v>BLQ TOT</v>
      </c>
      <c r="T128" s="116" t="s">
        <v>186</v>
      </c>
      <c r="U128" s="116" t="str">
        <f t="shared" ref="U128:U144" si="7">Q147</f>
        <v>ATQ Q #</v>
      </c>
      <c r="V128" s="116" t="str">
        <f t="shared" ref="V128:V144" si="8">R147</f>
        <v>ATQ Q /</v>
      </c>
      <c r="W128" s="116" t="str">
        <f t="shared" ref="W128:W144" si="9">S147</f>
        <v>ATQ Q =</v>
      </c>
      <c r="X128" s="116" t="str">
        <f t="shared" ref="X128:X144" si="10">T147</f>
        <v>ATQ Q TOT</v>
      </c>
      <c r="Y128" s="116" t="s">
        <v>187</v>
      </c>
      <c r="Z128" s="116" t="str">
        <f t="shared" ref="Z128:Z144" si="11">U147</f>
        <v>ATQ V #</v>
      </c>
      <c r="AA128" s="116" t="str">
        <f t="shared" ref="AA128:AA144" si="12">V147</f>
        <v>ATQ V /</v>
      </c>
      <c r="AB128" s="116" t="str">
        <f t="shared" ref="AB128:AB144" si="13">W147</f>
        <v>ATQ V =</v>
      </c>
      <c r="AC128" s="116" t="str">
        <f t="shared" ref="AC128:AC144" si="14">X147</f>
        <v>ATQ V TOT</v>
      </c>
      <c r="AD128" s="116" t="s">
        <v>188</v>
      </c>
      <c r="AE128" s="116" t="str">
        <f t="shared" ref="AE128:AE144" si="15">Y147</f>
        <v>ATQ X #</v>
      </c>
      <c r="AF128" s="116" t="str">
        <f t="shared" ref="AF128:AF144" si="16">Z147</f>
        <v>ATQ X /</v>
      </c>
      <c r="AG128" s="116" t="str">
        <f t="shared" ref="AG128:AG144" si="17">AA147</f>
        <v>ATQ X =</v>
      </c>
      <c r="AH128" s="116" t="str">
        <f t="shared" ref="AH128:AH144" si="18">AB147</f>
        <v>ATQ X TOT</v>
      </c>
      <c r="AI128" s="116" t="s">
        <v>189</v>
      </c>
      <c r="AJ128" s="116" t="str">
        <f t="shared" ref="AJ128:AJ144" si="19">AC147</f>
        <v>ATQ R# #</v>
      </c>
      <c r="AK128" s="116" t="str">
        <f t="shared" ref="AK128:AK144" si="20">AD147</f>
        <v>ATQ R# /</v>
      </c>
      <c r="AL128" s="116" t="str">
        <f t="shared" ref="AL128:AL144" si="21">AE147</f>
        <v>ATQ R# =</v>
      </c>
      <c r="AM128" s="116" t="str">
        <f t="shared" ref="AM128:AM144" si="22">AF147</f>
        <v>ATQ R# TOT</v>
      </c>
      <c r="AN128" s="116" t="s">
        <v>190</v>
      </c>
      <c r="AO128" s="116" t="str">
        <f t="shared" ref="AO128:AO144" si="23">AG147</f>
        <v>ATQ R! #</v>
      </c>
      <c r="AP128" s="116" t="str">
        <f t="shared" ref="AP128:AP144" si="24">AH147</f>
        <v>ATQ R! /</v>
      </c>
      <c r="AQ128" s="116" t="str">
        <f t="shared" ref="AQ128:AQ144" si="25">AI147</f>
        <v>ATQ R! =</v>
      </c>
      <c r="AR128" s="116" t="str">
        <f t="shared" ref="AR128:AR144" si="26">AJ147</f>
        <v>ATQ R! TOT</v>
      </c>
      <c r="AS128" s="116" t="s">
        <v>191</v>
      </c>
      <c r="AT128" s="116" t="str">
        <f t="shared" ref="AT128:AT144" si="27">AK147</f>
        <v>ATQ R- #</v>
      </c>
      <c r="AU128" s="116" t="str">
        <f t="shared" ref="AU128:AU144" si="28">AL147</f>
        <v>ATQ R- /</v>
      </c>
      <c r="AV128" s="116" t="str">
        <f t="shared" ref="AV128:AV144" si="29">AM147</f>
        <v>ATQ R- =</v>
      </c>
      <c r="AW128" s="116" t="str">
        <f t="shared" ref="AW128:AW144" si="30">AN147</f>
        <v>ATQ R- TOT</v>
      </c>
      <c r="AX128" s="116" t="s">
        <v>192</v>
      </c>
      <c r="AY128" s="116" t="str">
        <f t="shared" ref="AY128:AY144" si="31">AO147</f>
        <v>ATQ TR #</v>
      </c>
      <c r="AZ128" s="116" t="str">
        <f t="shared" ref="AZ128:AZ144" si="32">AP147</f>
        <v>ATQ TR /</v>
      </c>
      <c r="BA128" s="116" t="str">
        <f t="shared" ref="BA128:BA144" si="33">AQ147</f>
        <v>ATQ TR =</v>
      </c>
      <c r="BB128" s="116" t="str">
        <f t="shared" ref="BB128:BB144" si="34">AR147</f>
        <v>ATQ TR TOT</v>
      </c>
      <c r="BC128" s="116" t="s">
        <v>193</v>
      </c>
    </row>
    <row r="129" spans="1:55" ht="14.25" customHeight="1" x14ac:dyDescent="0.3">
      <c r="A129" s="116" t="str">
        <f t="shared" si="0"/>
        <v>Club Atlético San L</v>
      </c>
      <c r="B129" s="117">
        <f t="shared" si="0"/>
        <v>6</v>
      </c>
      <c r="C129" s="117">
        <f t="shared" si="0"/>
        <v>5</v>
      </c>
      <c r="D129" s="117">
        <f t="shared" si="0"/>
        <v>3</v>
      </c>
      <c r="E129" s="117">
        <f t="shared" si="0"/>
        <v>19</v>
      </c>
      <c r="F129" s="117">
        <f t="shared" si="0"/>
        <v>95</v>
      </c>
      <c r="G129" s="118">
        <f t="shared" ref="G129:G144" si="35">IFERROR((1*B129+0.5*D129+0.25*C129-1*E129)/F129,"")</f>
        <v>-0.10789473684210527</v>
      </c>
      <c r="H129" s="117">
        <f t="shared" si="1"/>
        <v>18</v>
      </c>
      <c r="I129" s="117">
        <f t="shared" si="1"/>
        <v>19</v>
      </c>
      <c r="J129" s="117">
        <f t="shared" si="1"/>
        <v>4</v>
      </c>
      <c r="K129" s="117">
        <f t="shared" si="1"/>
        <v>1</v>
      </c>
      <c r="L129" s="117">
        <f t="shared" si="1"/>
        <v>66</v>
      </c>
      <c r="M129" s="118">
        <f t="shared" ref="M129:M144" si="36">IFERROR(((1*H129+0.5*I129-0.5*J129-1*K129)/L129),"")</f>
        <v>0.37121212121212122</v>
      </c>
      <c r="N129" s="117">
        <f t="shared" si="2"/>
        <v>8</v>
      </c>
      <c r="O129" s="117">
        <f t="shared" si="3"/>
        <v>16</v>
      </c>
      <c r="P129" s="118">
        <f t="shared" ref="P129:P144" si="37">IFERROR((N129+O129)/S129,"")</f>
        <v>0.42105263157894735</v>
      </c>
      <c r="Q129" s="117">
        <f t="shared" si="4"/>
        <v>16</v>
      </c>
      <c r="R129" s="117">
        <f t="shared" si="5"/>
        <v>1</v>
      </c>
      <c r="S129" s="117">
        <f t="shared" si="6"/>
        <v>57</v>
      </c>
      <c r="T129" s="118">
        <f t="shared" ref="T129:T144" si="38">IFERROR((N129)/S129,"")</f>
        <v>0.14035087719298245</v>
      </c>
      <c r="U129" s="117">
        <f t="shared" si="7"/>
        <v>16</v>
      </c>
      <c r="V129" s="117">
        <f t="shared" si="8"/>
        <v>0</v>
      </c>
      <c r="W129" s="117">
        <f t="shared" si="9"/>
        <v>1</v>
      </c>
      <c r="X129" s="117">
        <f t="shared" si="10"/>
        <v>23</v>
      </c>
      <c r="Y129" s="118">
        <f t="shared" ref="Y129:Y144" si="39">IFERROR((U129-V129-W129)/X129,"")</f>
        <v>0.65217391304347827</v>
      </c>
      <c r="Z129" s="117">
        <f t="shared" si="11"/>
        <v>10</v>
      </c>
      <c r="AA129" s="117">
        <f t="shared" si="12"/>
        <v>3</v>
      </c>
      <c r="AB129" s="117">
        <f t="shared" si="13"/>
        <v>2</v>
      </c>
      <c r="AC129" s="117">
        <f t="shared" si="14"/>
        <v>30</v>
      </c>
      <c r="AD129" s="118">
        <f t="shared" ref="AD129:AD144" si="40">IFERROR(((Z129-AA129-AB129)/AC129),"")</f>
        <v>0.16666666666666666</v>
      </c>
      <c r="AE129" s="117">
        <f t="shared" si="15"/>
        <v>29</v>
      </c>
      <c r="AF129" s="117">
        <f t="shared" si="16"/>
        <v>2</v>
      </c>
      <c r="AG129" s="117">
        <f t="shared" si="17"/>
        <v>3</v>
      </c>
      <c r="AH129" s="117">
        <f t="shared" si="18"/>
        <v>54</v>
      </c>
      <c r="AI129" s="118">
        <f t="shared" ref="AI129:AI144" si="41">IFERROR(((AE129-AF129-AG129)/AH129),"")</f>
        <v>0.44444444444444442</v>
      </c>
      <c r="AJ129" s="117">
        <f t="shared" si="19"/>
        <v>25</v>
      </c>
      <c r="AK129" s="117">
        <f t="shared" si="20"/>
        <v>1</v>
      </c>
      <c r="AL129" s="117">
        <f t="shared" si="21"/>
        <v>3</v>
      </c>
      <c r="AM129" s="117">
        <f t="shared" si="22"/>
        <v>37</v>
      </c>
      <c r="AN129" s="118">
        <f t="shared" ref="AN129:AN144" si="42">IFERROR((AJ129-AK129-AL129)/AM129,"")</f>
        <v>0.56756756756756754</v>
      </c>
      <c r="AO129" s="117">
        <f t="shared" si="23"/>
        <v>6</v>
      </c>
      <c r="AP129" s="117">
        <f t="shared" si="24"/>
        <v>1</v>
      </c>
      <c r="AQ129" s="117">
        <f t="shared" si="25"/>
        <v>1</v>
      </c>
      <c r="AR129" s="117">
        <f t="shared" si="26"/>
        <v>14</v>
      </c>
      <c r="AS129" s="118">
        <f t="shared" ref="AS129:AS144" si="43">IFERROR((AO129-AP129-AQ129)/AR129,"")</f>
        <v>0.2857142857142857</v>
      </c>
      <c r="AT129" s="117">
        <f t="shared" si="27"/>
        <v>2</v>
      </c>
      <c r="AU129" s="117">
        <f t="shared" si="28"/>
        <v>1</v>
      </c>
      <c r="AV129" s="117">
        <f t="shared" si="29"/>
        <v>0</v>
      </c>
      <c r="AW129" s="117">
        <f t="shared" si="30"/>
        <v>7</v>
      </c>
      <c r="AX129" s="118">
        <f t="shared" ref="AX129:AX144" si="44">IFERROR((AT129-AU129-AV129)/AW129,"")</f>
        <v>0.14285714285714285</v>
      </c>
      <c r="AY129" s="117">
        <f t="shared" si="31"/>
        <v>26</v>
      </c>
      <c r="AZ129" s="117">
        <f t="shared" si="32"/>
        <v>2</v>
      </c>
      <c r="BA129" s="117">
        <f t="shared" si="33"/>
        <v>3</v>
      </c>
      <c r="BB129" s="117">
        <f t="shared" si="34"/>
        <v>56</v>
      </c>
      <c r="BC129" s="118">
        <f t="shared" ref="BC129:BC144" si="45">IFERROR((AY129-AZ129-BA129)/BB129,"")</f>
        <v>0.375</v>
      </c>
    </row>
    <row r="130" spans="1:55" ht="14.25" customHeight="1" x14ac:dyDescent="0.3">
      <c r="A130" s="116" t="str">
        <f t="shared" si="0"/>
        <v>2 Ojuez A.</v>
      </c>
      <c r="B130" s="119">
        <f t="shared" si="0"/>
        <v>0</v>
      </c>
      <c r="C130" s="119">
        <f t="shared" si="0"/>
        <v>2</v>
      </c>
      <c r="D130" s="119">
        <f t="shared" si="0"/>
        <v>0</v>
      </c>
      <c r="E130" s="119">
        <f t="shared" si="0"/>
        <v>1</v>
      </c>
      <c r="F130" s="119">
        <f t="shared" si="0"/>
        <v>7</v>
      </c>
      <c r="G130" s="120">
        <f t="shared" si="35"/>
        <v>-7.1428571428571425E-2</v>
      </c>
      <c r="H130" s="121">
        <f t="shared" si="1"/>
        <v>0</v>
      </c>
      <c r="I130" s="121">
        <f t="shared" si="1"/>
        <v>0</v>
      </c>
      <c r="J130" s="121">
        <f t="shared" si="1"/>
        <v>0</v>
      </c>
      <c r="K130" s="121">
        <f t="shared" si="1"/>
        <v>0</v>
      </c>
      <c r="L130" s="121">
        <f t="shared" si="1"/>
        <v>0</v>
      </c>
      <c r="M130" s="120" t="str">
        <f t="shared" si="36"/>
        <v/>
      </c>
      <c r="N130" s="121">
        <f t="shared" si="2"/>
        <v>1</v>
      </c>
      <c r="O130" s="121">
        <f t="shared" si="3"/>
        <v>1</v>
      </c>
      <c r="P130" s="120">
        <f t="shared" si="37"/>
        <v>0.5</v>
      </c>
      <c r="Q130" s="121">
        <f t="shared" si="4"/>
        <v>1</v>
      </c>
      <c r="R130" s="121">
        <f t="shared" si="5"/>
        <v>0</v>
      </c>
      <c r="S130" s="121">
        <f t="shared" si="6"/>
        <v>4</v>
      </c>
      <c r="T130" s="120">
        <f t="shared" si="38"/>
        <v>0.25</v>
      </c>
      <c r="U130" s="121">
        <f t="shared" si="7"/>
        <v>5</v>
      </c>
      <c r="V130" s="121">
        <f t="shared" si="8"/>
        <v>0</v>
      </c>
      <c r="W130" s="121">
        <f t="shared" si="9"/>
        <v>0</v>
      </c>
      <c r="X130" s="121">
        <f t="shared" si="10"/>
        <v>8</v>
      </c>
      <c r="Y130" s="120">
        <f t="shared" si="39"/>
        <v>0.625</v>
      </c>
      <c r="Z130" s="121">
        <f t="shared" si="11"/>
        <v>0</v>
      </c>
      <c r="AA130" s="121">
        <f t="shared" si="12"/>
        <v>0</v>
      </c>
      <c r="AB130" s="121">
        <f t="shared" si="13"/>
        <v>0</v>
      </c>
      <c r="AC130" s="121">
        <f t="shared" si="14"/>
        <v>0</v>
      </c>
      <c r="AD130" s="120" t="str">
        <f t="shared" si="40"/>
        <v/>
      </c>
      <c r="AE130" s="121">
        <f t="shared" si="15"/>
        <v>0</v>
      </c>
      <c r="AF130" s="121">
        <f t="shared" si="16"/>
        <v>1</v>
      </c>
      <c r="AG130" s="121">
        <f t="shared" si="17"/>
        <v>0</v>
      </c>
      <c r="AH130" s="121">
        <f t="shared" si="18"/>
        <v>1</v>
      </c>
      <c r="AI130" s="120">
        <f t="shared" si="41"/>
        <v>-1</v>
      </c>
      <c r="AJ130" s="121">
        <f t="shared" si="19"/>
        <v>3</v>
      </c>
      <c r="AK130" s="121">
        <f t="shared" si="20"/>
        <v>1</v>
      </c>
      <c r="AL130" s="121">
        <f t="shared" si="21"/>
        <v>0</v>
      </c>
      <c r="AM130" s="121">
        <f t="shared" si="22"/>
        <v>5</v>
      </c>
      <c r="AN130" s="120">
        <f t="shared" si="42"/>
        <v>0.4</v>
      </c>
      <c r="AO130" s="121">
        <f t="shared" si="23"/>
        <v>0</v>
      </c>
      <c r="AP130" s="121">
        <f t="shared" si="24"/>
        <v>0</v>
      </c>
      <c r="AQ130" s="121">
        <f t="shared" si="25"/>
        <v>0</v>
      </c>
      <c r="AR130" s="121">
        <f t="shared" si="26"/>
        <v>1</v>
      </c>
      <c r="AS130" s="120">
        <f t="shared" si="43"/>
        <v>0</v>
      </c>
      <c r="AT130" s="121">
        <f t="shared" si="27"/>
        <v>0</v>
      </c>
      <c r="AU130" s="121">
        <f t="shared" si="28"/>
        <v>0</v>
      </c>
      <c r="AV130" s="121">
        <f t="shared" si="29"/>
        <v>0</v>
      </c>
      <c r="AW130" s="121">
        <f t="shared" si="30"/>
        <v>0</v>
      </c>
      <c r="AX130" s="120" t="str">
        <f t="shared" si="44"/>
        <v/>
      </c>
      <c r="AY130" s="121">
        <f t="shared" si="31"/>
        <v>3</v>
      </c>
      <c r="AZ130" s="121">
        <f t="shared" si="32"/>
        <v>0</v>
      </c>
      <c r="BA130" s="121">
        <f t="shared" si="33"/>
        <v>0</v>
      </c>
      <c r="BB130" s="121">
        <f t="shared" si="34"/>
        <v>4</v>
      </c>
      <c r="BC130" s="120">
        <f t="shared" si="45"/>
        <v>0.75</v>
      </c>
    </row>
    <row r="131" spans="1:55" ht="14.25" customHeight="1" x14ac:dyDescent="0.3">
      <c r="A131" s="116" t="str">
        <f t="shared" si="0"/>
        <v>3 Romeo Winer A.</v>
      </c>
      <c r="B131" s="119">
        <f t="shared" si="0"/>
        <v>0</v>
      </c>
      <c r="C131" s="119">
        <f t="shared" si="0"/>
        <v>0</v>
      </c>
      <c r="D131" s="119">
        <f t="shared" si="0"/>
        <v>0</v>
      </c>
      <c r="E131" s="119">
        <f t="shared" si="0"/>
        <v>0</v>
      </c>
      <c r="F131" s="119">
        <f t="shared" si="0"/>
        <v>0</v>
      </c>
      <c r="G131" s="120" t="str">
        <f t="shared" si="35"/>
        <v/>
      </c>
      <c r="H131" s="121">
        <f t="shared" si="1"/>
        <v>5</v>
      </c>
      <c r="I131" s="121">
        <f t="shared" si="1"/>
        <v>7</v>
      </c>
      <c r="J131" s="121">
        <f t="shared" si="1"/>
        <v>4</v>
      </c>
      <c r="K131" s="121">
        <f t="shared" si="1"/>
        <v>1</v>
      </c>
      <c r="L131" s="121">
        <f t="shared" si="1"/>
        <v>31</v>
      </c>
      <c r="M131" s="120">
        <f t="shared" si="36"/>
        <v>0.17741935483870969</v>
      </c>
      <c r="N131" s="121">
        <f t="shared" si="2"/>
        <v>0</v>
      </c>
      <c r="O131" s="121">
        <f t="shared" si="3"/>
        <v>0</v>
      </c>
      <c r="P131" s="120" t="str">
        <f t="shared" si="37"/>
        <v/>
      </c>
      <c r="Q131" s="121">
        <f t="shared" si="4"/>
        <v>0</v>
      </c>
      <c r="R131" s="121">
        <f t="shared" si="5"/>
        <v>0</v>
      </c>
      <c r="S131" s="121">
        <f t="shared" si="6"/>
        <v>0</v>
      </c>
      <c r="T131" s="120" t="str">
        <f t="shared" si="38"/>
        <v/>
      </c>
      <c r="U131" s="121">
        <f t="shared" si="7"/>
        <v>0</v>
      </c>
      <c r="V131" s="121">
        <f t="shared" si="8"/>
        <v>0</v>
      </c>
      <c r="W131" s="121">
        <f t="shared" si="9"/>
        <v>0</v>
      </c>
      <c r="X131" s="121">
        <f t="shared" si="10"/>
        <v>0</v>
      </c>
      <c r="Y131" s="120" t="str">
        <f t="shared" si="39"/>
        <v/>
      </c>
      <c r="Z131" s="121">
        <f t="shared" si="11"/>
        <v>0</v>
      </c>
      <c r="AA131" s="121">
        <f t="shared" si="12"/>
        <v>0</v>
      </c>
      <c r="AB131" s="121">
        <f t="shared" si="13"/>
        <v>0</v>
      </c>
      <c r="AC131" s="121">
        <f t="shared" si="14"/>
        <v>0</v>
      </c>
      <c r="AD131" s="120" t="str">
        <f t="shared" si="40"/>
        <v/>
      </c>
      <c r="AE131" s="121">
        <f t="shared" si="15"/>
        <v>0</v>
      </c>
      <c r="AF131" s="121">
        <f t="shared" si="16"/>
        <v>0</v>
      </c>
      <c r="AG131" s="121">
        <f t="shared" si="17"/>
        <v>0</v>
      </c>
      <c r="AH131" s="121">
        <f t="shared" si="18"/>
        <v>0</v>
      </c>
      <c r="AI131" s="120" t="str">
        <f t="shared" si="41"/>
        <v/>
      </c>
      <c r="AJ131" s="121">
        <f t="shared" si="19"/>
        <v>0</v>
      </c>
      <c r="AK131" s="121">
        <f t="shared" si="20"/>
        <v>0</v>
      </c>
      <c r="AL131" s="121">
        <f t="shared" si="21"/>
        <v>0</v>
      </c>
      <c r="AM131" s="121">
        <f t="shared" si="22"/>
        <v>0</v>
      </c>
      <c r="AN131" s="120" t="str">
        <f t="shared" si="42"/>
        <v/>
      </c>
      <c r="AO131" s="121">
        <f t="shared" si="23"/>
        <v>0</v>
      </c>
      <c r="AP131" s="121">
        <f t="shared" si="24"/>
        <v>0</v>
      </c>
      <c r="AQ131" s="121">
        <f t="shared" si="25"/>
        <v>0</v>
      </c>
      <c r="AR131" s="121">
        <f t="shared" si="26"/>
        <v>0</v>
      </c>
      <c r="AS131" s="120" t="str">
        <f t="shared" si="43"/>
        <v/>
      </c>
      <c r="AT131" s="121">
        <f t="shared" si="27"/>
        <v>0</v>
      </c>
      <c r="AU131" s="121">
        <f t="shared" si="28"/>
        <v>0</v>
      </c>
      <c r="AV131" s="121">
        <f t="shared" si="29"/>
        <v>0</v>
      </c>
      <c r="AW131" s="121">
        <f t="shared" si="30"/>
        <v>0</v>
      </c>
      <c r="AX131" s="120" t="str">
        <f t="shared" si="44"/>
        <v/>
      </c>
      <c r="AY131" s="121">
        <f t="shared" si="31"/>
        <v>0</v>
      </c>
      <c r="AZ131" s="121">
        <f t="shared" si="32"/>
        <v>0</v>
      </c>
      <c r="BA131" s="121">
        <f t="shared" si="33"/>
        <v>0</v>
      </c>
      <c r="BB131" s="121">
        <f t="shared" si="34"/>
        <v>0</v>
      </c>
      <c r="BC131" s="120" t="str">
        <f t="shared" si="45"/>
        <v/>
      </c>
    </row>
    <row r="132" spans="1:55" ht="14.25" customHeight="1" x14ac:dyDescent="0.3">
      <c r="A132" s="116" t="str">
        <f t="shared" si="0"/>
        <v>4 Vazquez E.</v>
      </c>
      <c r="B132" s="119">
        <f t="shared" si="0"/>
        <v>0</v>
      </c>
      <c r="C132" s="119">
        <f t="shared" si="0"/>
        <v>0</v>
      </c>
      <c r="D132" s="119">
        <f t="shared" si="0"/>
        <v>0</v>
      </c>
      <c r="E132" s="119">
        <f t="shared" si="0"/>
        <v>0</v>
      </c>
      <c r="F132" s="119">
        <f t="shared" si="0"/>
        <v>1</v>
      </c>
      <c r="G132" s="120">
        <f t="shared" si="35"/>
        <v>0</v>
      </c>
      <c r="H132" s="121">
        <f t="shared" si="1"/>
        <v>0</v>
      </c>
      <c r="I132" s="121">
        <f t="shared" si="1"/>
        <v>0</v>
      </c>
      <c r="J132" s="121">
        <f t="shared" si="1"/>
        <v>0</v>
      </c>
      <c r="K132" s="121">
        <f t="shared" si="1"/>
        <v>0</v>
      </c>
      <c r="L132" s="121">
        <f t="shared" si="1"/>
        <v>0</v>
      </c>
      <c r="M132" s="120" t="str">
        <f t="shared" si="36"/>
        <v/>
      </c>
      <c r="N132" s="121">
        <f t="shared" si="2"/>
        <v>0</v>
      </c>
      <c r="O132" s="121">
        <f t="shared" si="3"/>
        <v>0</v>
      </c>
      <c r="P132" s="120" t="str">
        <f t="shared" si="37"/>
        <v/>
      </c>
      <c r="Q132" s="121">
        <f t="shared" si="4"/>
        <v>0</v>
      </c>
      <c r="R132" s="121">
        <f t="shared" si="5"/>
        <v>0</v>
      </c>
      <c r="S132" s="121">
        <f t="shared" si="6"/>
        <v>0</v>
      </c>
      <c r="T132" s="120" t="str">
        <f t="shared" si="38"/>
        <v/>
      </c>
      <c r="U132" s="121">
        <f t="shared" si="7"/>
        <v>0</v>
      </c>
      <c r="V132" s="121">
        <f t="shared" si="8"/>
        <v>0</v>
      </c>
      <c r="W132" s="121">
        <f t="shared" si="9"/>
        <v>0</v>
      </c>
      <c r="X132" s="121">
        <f t="shared" si="10"/>
        <v>0</v>
      </c>
      <c r="Y132" s="120" t="str">
        <f t="shared" si="39"/>
        <v/>
      </c>
      <c r="Z132" s="121">
        <f t="shared" si="11"/>
        <v>0</v>
      </c>
      <c r="AA132" s="121">
        <f t="shared" si="12"/>
        <v>0</v>
      </c>
      <c r="AB132" s="121">
        <f t="shared" si="13"/>
        <v>0</v>
      </c>
      <c r="AC132" s="121">
        <f t="shared" si="14"/>
        <v>0</v>
      </c>
      <c r="AD132" s="120" t="str">
        <f t="shared" si="40"/>
        <v/>
      </c>
      <c r="AE132" s="121">
        <f t="shared" si="15"/>
        <v>0</v>
      </c>
      <c r="AF132" s="121">
        <f t="shared" si="16"/>
        <v>0</v>
      </c>
      <c r="AG132" s="121">
        <f t="shared" si="17"/>
        <v>0</v>
      </c>
      <c r="AH132" s="121">
        <f t="shared" si="18"/>
        <v>0</v>
      </c>
      <c r="AI132" s="120" t="str">
        <f t="shared" si="41"/>
        <v/>
      </c>
      <c r="AJ132" s="121">
        <f t="shared" si="19"/>
        <v>0</v>
      </c>
      <c r="AK132" s="121">
        <f t="shared" si="20"/>
        <v>0</v>
      </c>
      <c r="AL132" s="121">
        <f t="shared" si="21"/>
        <v>0</v>
      </c>
      <c r="AM132" s="121">
        <f t="shared" si="22"/>
        <v>0</v>
      </c>
      <c r="AN132" s="120" t="str">
        <f t="shared" si="42"/>
        <v/>
      </c>
      <c r="AO132" s="121">
        <f t="shared" si="23"/>
        <v>0</v>
      </c>
      <c r="AP132" s="121">
        <f t="shared" si="24"/>
        <v>0</v>
      </c>
      <c r="AQ132" s="121">
        <f t="shared" si="25"/>
        <v>0</v>
      </c>
      <c r="AR132" s="121">
        <f t="shared" si="26"/>
        <v>0</v>
      </c>
      <c r="AS132" s="120" t="str">
        <f t="shared" si="43"/>
        <v/>
      </c>
      <c r="AT132" s="121">
        <f t="shared" si="27"/>
        <v>0</v>
      </c>
      <c r="AU132" s="121">
        <f t="shared" si="28"/>
        <v>0</v>
      </c>
      <c r="AV132" s="121">
        <f t="shared" si="29"/>
        <v>0</v>
      </c>
      <c r="AW132" s="121">
        <f t="shared" si="30"/>
        <v>0</v>
      </c>
      <c r="AX132" s="120" t="str">
        <f t="shared" si="44"/>
        <v/>
      </c>
      <c r="AY132" s="121">
        <f t="shared" si="31"/>
        <v>0</v>
      </c>
      <c r="AZ132" s="121">
        <f t="shared" si="32"/>
        <v>0</v>
      </c>
      <c r="BA132" s="121">
        <f t="shared" si="33"/>
        <v>0</v>
      </c>
      <c r="BB132" s="121">
        <f t="shared" si="34"/>
        <v>0</v>
      </c>
      <c r="BC132" s="120" t="str">
        <f t="shared" si="45"/>
        <v/>
      </c>
    </row>
    <row r="133" spans="1:55" ht="14.25" customHeight="1" x14ac:dyDescent="0.3">
      <c r="A133" s="116" t="str">
        <f t="shared" si="0"/>
        <v>5 Ramos I.</v>
      </c>
      <c r="B133" s="119">
        <f t="shared" si="0"/>
        <v>3</v>
      </c>
      <c r="C133" s="119">
        <f t="shared" si="0"/>
        <v>1</v>
      </c>
      <c r="D133" s="119">
        <f t="shared" si="0"/>
        <v>1</v>
      </c>
      <c r="E133" s="119">
        <f t="shared" si="0"/>
        <v>7</v>
      </c>
      <c r="F133" s="119">
        <f t="shared" si="0"/>
        <v>19</v>
      </c>
      <c r="G133" s="120">
        <f t="shared" si="35"/>
        <v>-0.17105263157894737</v>
      </c>
      <c r="H133" s="121">
        <f t="shared" si="1"/>
        <v>0</v>
      </c>
      <c r="I133" s="121">
        <f t="shared" si="1"/>
        <v>0</v>
      </c>
      <c r="J133" s="121">
        <f t="shared" si="1"/>
        <v>0</v>
      </c>
      <c r="K133" s="121">
        <f t="shared" si="1"/>
        <v>0</v>
      </c>
      <c r="L133" s="121">
        <f t="shared" si="1"/>
        <v>1</v>
      </c>
      <c r="M133" s="120">
        <f t="shared" si="36"/>
        <v>0</v>
      </c>
      <c r="N133" s="121">
        <f t="shared" si="2"/>
        <v>1</v>
      </c>
      <c r="O133" s="121">
        <f t="shared" si="3"/>
        <v>2</v>
      </c>
      <c r="P133" s="120">
        <f t="shared" si="37"/>
        <v>0.17647058823529413</v>
      </c>
      <c r="Q133" s="121">
        <f t="shared" si="4"/>
        <v>7</v>
      </c>
      <c r="R133" s="121">
        <f t="shared" si="5"/>
        <v>1</v>
      </c>
      <c r="S133" s="121">
        <f t="shared" si="6"/>
        <v>17</v>
      </c>
      <c r="T133" s="120">
        <f t="shared" si="38"/>
        <v>5.8823529411764705E-2</v>
      </c>
      <c r="U133" s="121">
        <f t="shared" si="7"/>
        <v>0</v>
      </c>
      <c r="V133" s="121">
        <f t="shared" si="8"/>
        <v>0</v>
      </c>
      <c r="W133" s="121">
        <f t="shared" si="9"/>
        <v>0</v>
      </c>
      <c r="X133" s="121">
        <f t="shared" si="10"/>
        <v>0</v>
      </c>
      <c r="Y133" s="120" t="str">
        <f t="shared" si="39"/>
        <v/>
      </c>
      <c r="Z133" s="121">
        <f t="shared" si="11"/>
        <v>4</v>
      </c>
      <c r="AA133" s="121">
        <f t="shared" si="12"/>
        <v>2</v>
      </c>
      <c r="AB133" s="121">
        <f t="shared" si="13"/>
        <v>0</v>
      </c>
      <c r="AC133" s="121">
        <f t="shared" si="14"/>
        <v>10</v>
      </c>
      <c r="AD133" s="120">
        <f t="shared" si="40"/>
        <v>0.2</v>
      </c>
      <c r="AE133" s="121">
        <f t="shared" si="15"/>
        <v>12</v>
      </c>
      <c r="AF133" s="121">
        <f t="shared" si="16"/>
        <v>1</v>
      </c>
      <c r="AG133" s="121">
        <f t="shared" si="17"/>
        <v>2</v>
      </c>
      <c r="AH133" s="121">
        <f t="shared" si="18"/>
        <v>21</v>
      </c>
      <c r="AI133" s="120">
        <f t="shared" si="41"/>
        <v>0.42857142857142855</v>
      </c>
      <c r="AJ133" s="121">
        <f t="shared" si="19"/>
        <v>4</v>
      </c>
      <c r="AK133" s="121">
        <f t="shared" si="20"/>
        <v>0</v>
      </c>
      <c r="AL133" s="121">
        <f t="shared" si="21"/>
        <v>0</v>
      </c>
      <c r="AM133" s="121">
        <f t="shared" si="22"/>
        <v>4</v>
      </c>
      <c r="AN133" s="120">
        <f t="shared" si="42"/>
        <v>1</v>
      </c>
      <c r="AO133" s="121">
        <f t="shared" si="23"/>
        <v>4</v>
      </c>
      <c r="AP133" s="121">
        <f t="shared" si="24"/>
        <v>1</v>
      </c>
      <c r="AQ133" s="121">
        <f t="shared" si="25"/>
        <v>1</v>
      </c>
      <c r="AR133" s="121">
        <f t="shared" si="26"/>
        <v>8</v>
      </c>
      <c r="AS133" s="120">
        <f t="shared" si="43"/>
        <v>0.25</v>
      </c>
      <c r="AT133" s="121">
        <f t="shared" si="27"/>
        <v>0</v>
      </c>
      <c r="AU133" s="121">
        <f t="shared" si="28"/>
        <v>1</v>
      </c>
      <c r="AV133" s="121">
        <f t="shared" si="29"/>
        <v>0</v>
      </c>
      <c r="AW133" s="121">
        <f t="shared" si="30"/>
        <v>2</v>
      </c>
      <c r="AX133" s="120">
        <f t="shared" si="44"/>
        <v>-0.5</v>
      </c>
      <c r="AY133" s="121">
        <f t="shared" si="31"/>
        <v>8</v>
      </c>
      <c r="AZ133" s="121">
        <f t="shared" si="32"/>
        <v>1</v>
      </c>
      <c r="BA133" s="121">
        <f t="shared" si="33"/>
        <v>1</v>
      </c>
      <c r="BB133" s="121">
        <f t="shared" si="34"/>
        <v>17</v>
      </c>
      <c r="BC133" s="120">
        <f t="shared" si="45"/>
        <v>0.35294117647058826</v>
      </c>
    </row>
    <row r="134" spans="1:55" ht="14.25" customHeight="1" x14ac:dyDescent="0.3">
      <c r="A134" s="116" t="str">
        <f t="shared" si="0"/>
        <v>6 Villarruel J.</v>
      </c>
      <c r="B134" s="119">
        <f t="shared" si="0"/>
        <v>0</v>
      </c>
      <c r="C134" s="119">
        <f t="shared" si="0"/>
        <v>0</v>
      </c>
      <c r="D134" s="119">
        <f t="shared" si="0"/>
        <v>0</v>
      </c>
      <c r="E134" s="119">
        <f t="shared" si="0"/>
        <v>0</v>
      </c>
      <c r="F134" s="119">
        <f t="shared" si="0"/>
        <v>0</v>
      </c>
      <c r="G134" s="120" t="str">
        <f t="shared" si="35"/>
        <v/>
      </c>
      <c r="H134" s="121">
        <f t="shared" si="1"/>
        <v>0</v>
      </c>
      <c r="I134" s="121">
        <f t="shared" si="1"/>
        <v>0</v>
      </c>
      <c r="J134" s="121">
        <f t="shared" si="1"/>
        <v>0</v>
      </c>
      <c r="K134" s="121">
        <f t="shared" si="1"/>
        <v>0</v>
      </c>
      <c r="L134" s="121">
        <f t="shared" si="1"/>
        <v>0</v>
      </c>
      <c r="M134" s="120" t="str">
        <f t="shared" si="36"/>
        <v/>
      </c>
      <c r="N134" s="121">
        <f t="shared" si="2"/>
        <v>0</v>
      </c>
      <c r="O134" s="121">
        <f t="shared" si="3"/>
        <v>0</v>
      </c>
      <c r="P134" s="120" t="str">
        <f t="shared" si="37"/>
        <v/>
      </c>
      <c r="Q134" s="121">
        <f t="shared" si="4"/>
        <v>0</v>
      </c>
      <c r="R134" s="121">
        <f t="shared" si="5"/>
        <v>0</v>
      </c>
      <c r="S134" s="121">
        <f t="shared" si="6"/>
        <v>0</v>
      </c>
      <c r="T134" s="120" t="str">
        <f t="shared" si="38"/>
        <v/>
      </c>
      <c r="U134" s="121">
        <f t="shared" si="7"/>
        <v>0</v>
      </c>
      <c r="V134" s="121">
        <f t="shared" si="8"/>
        <v>0</v>
      </c>
      <c r="W134" s="121">
        <f t="shared" si="9"/>
        <v>0</v>
      </c>
      <c r="X134" s="121">
        <f t="shared" si="10"/>
        <v>0</v>
      </c>
      <c r="Y134" s="120" t="str">
        <f t="shared" si="39"/>
        <v/>
      </c>
      <c r="Z134" s="121">
        <f t="shared" si="11"/>
        <v>0</v>
      </c>
      <c r="AA134" s="121">
        <f t="shared" si="12"/>
        <v>0</v>
      </c>
      <c r="AB134" s="121">
        <f t="shared" si="13"/>
        <v>0</v>
      </c>
      <c r="AC134" s="121">
        <f t="shared" si="14"/>
        <v>0</v>
      </c>
      <c r="AD134" s="120" t="str">
        <f t="shared" si="40"/>
        <v/>
      </c>
      <c r="AE134" s="121">
        <f t="shared" si="15"/>
        <v>0</v>
      </c>
      <c r="AF134" s="121">
        <f t="shared" si="16"/>
        <v>0</v>
      </c>
      <c r="AG134" s="121">
        <f t="shared" si="17"/>
        <v>0</v>
      </c>
      <c r="AH134" s="121">
        <f t="shared" si="18"/>
        <v>0</v>
      </c>
      <c r="AI134" s="120" t="str">
        <f t="shared" si="41"/>
        <v/>
      </c>
      <c r="AJ134" s="121">
        <f t="shared" si="19"/>
        <v>0</v>
      </c>
      <c r="AK134" s="121">
        <f t="shared" si="20"/>
        <v>0</v>
      </c>
      <c r="AL134" s="121">
        <f t="shared" si="21"/>
        <v>0</v>
      </c>
      <c r="AM134" s="121">
        <f t="shared" si="22"/>
        <v>0</v>
      </c>
      <c r="AN134" s="120" t="str">
        <f t="shared" si="42"/>
        <v/>
      </c>
      <c r="AO134" s="121">
        <f t="shared" si="23"/>
        <v>0</v>
      </c>
      <c r="AP134" s="121">
        <f t="shared" si="24"/>
        <v>0</v>
      </c>
      <c r="AQ134" s="121">
        <f t="shared" si="25"/>
        <v>0</v>
      </c>
      <c r="AR134" s="121">
        <f t="shared" si="26"/>
        <v>0</v>
      </c>
      <c r="AS134" s="120" t="str">
        <f t="shared" si="43"/>
        <v/>
      </c>
      <c r="AT134" s="121">
        <f t="shared" si="27"/>
        <v>0</v>
      </c>
      <c r="AU134" s="121">
        <f t="shared" si="28"/>
        <v>0</v>
      </c>
      <c r="AV134" s="121">
        <f t="shared" si="29"/>
        <v>0</v>
      </c>
      <c r="AW134" s="121">
        <f t="shared" si="30"/>
        <v>0</v>
      </c>
      <c r="AX134" s="120" t="str">
        <f t="shared" si="44"/>
        <v/>
      </c>
      <c r="AY134" s="121">
        <f t="shared" si="31"/>
        <v>0</v>
      </c>
      <c r="AZ134" s="121">
        <f t="shared" si="32"/>
        <v>0</v>
      </c>
      <c r="BA134" s="121">
        <f t="shared" si="33"/>
        <v>0</v>
      </c>
      <c r="BB134" s="121">
        <f t="shared" si="34"/>
        <v>0</v>
      </c>
      <c r="BC134" s="120" t="str">
        <f t="shared" si="45"/>
        <v/>
      </c>
    </row>
    <row r="135" spans="1:55" ht="14.25" customHeight="1" x14ac:dyDescent="0.3">
      <c r="A135" s="116" t="str">
        <f t="shared" si="0"/>
        <v>9 Godoy M.</v>
      </c>
      <c r="B135" s="119">
        <f t="shared" si="0"/>
        <v>0</v>
      </c>
      <c r="C135" s="119">
        <f t="shared" si="0"/>
        <v>0</v>
      </c>
      <c r="D135" s="119">
        <f t="shared" si="0"/>
        <v>1</v>
      </c>
      <c r="E135" s="119">
        <f t="shared" si="0"/>
        <v>2</v>
      </c>
      <c r="F135" s="119">
        <f t="shared" si="0"/>
        <v>18</v>
      </c>
      <c r="G135" s="120">
        <f t="shared" si="35"/>
        <v>-8.3333333333333329E-2</v>
      </c>
      <c r="H135" s="121">
        <f t="shared" si="1"/>
        <v>0</v>
      </c>
      <c r="I135" s="121">
        <f t="shared" si="1"/>
        <v>0</v>
      </c>
      <c r="J135" s="121">
        <f t="shared" si="1"/>
        <v>0</v>
      </c>
      <c r="K135" s="121">
        <f t="shared" si="1"/>
        <v>0</v>
      </c>
      <c r="L135" s="121">
        <f t="shared" si="1"/>
        <v>2</v>
      </c>
      <c r="M135" s="120">
        <f t="shared" si="36"/>
        <v>0</v>
      </c>
      <c r="N135" s="121">
        <f t="shared" si="2"/>
        <v>1</v>
      </c>
      <c r="O135" s="121">
        <f t="shared" si="3"/>
        <v>6</v>
      </c>
      <c r="P135" s="120">
        <f t="shared" si="37"/>
        <v>0.58333333333333337</v>
      </c>
      <c r="Q135" s="121">
        <f t="shared" si="4"/>
        <v>3</v>
      </c>
      <c r="R135" s="121">
        <f t="shared" si="5"/>
        <v>0</v>
      </c>
      <c r="S135" s="121">
        <f t="shared" si="6"/>
        <v>12</v>
      </c>
      <c r="T135" s="120">
        <f t="shared" si="38"/>
        <v>8.3333333333333329E-2</v>
      </c>
      <c r="U135" s="121">
        <f t="shared" si="7"/>
        <v>0</v>
      </c>
      <c r="V135" s="121">
        <f t="shared" si="8"/>
        <v>0</v>
      </c>
      <c r="W135" s="121">
        <f t="shared" si="9"/>
        <v>0</v>
      </c>
      <c r="X135" s="121">
        <f t="shared" si="10"/>
        <v>0</v>
      </c>
      <c r="Y135" s="120" t="str">
        <f t="shared" si="39"/>
        <v/>
      </c>
      <c r="Z135" s="121">
        <f t="shared" si="11"/>
        <v>0</v>
      </c>
      <c r="AA135" s="121">
        <f t="shared" si="12"/>
        <v>0</v>
      </c>
      <c r="AB135" s="121">
        <f t="shared" si="13"/>
        <v>0</v>
      </c>
      <c r="AC135" s="121">
        <f t="shared" si="14"/>
        <v>0</v>
      </c>
      <c r="AD135" s="120" t="str">
        <f t="shared" si="40"/>
        <v/>
      </c>
      <c r="AE135" s="121">
        <f t="shared" si="15"/>
        <v>0</v>
      </c>
      <c r="AF135" s="121">
        <f t="shared" si="16"/>
        <v>0</v>
      </c>
      <c r="AG135" s="121">
        <f t="shared" si="17"/>
        <v>0</v>
      </c>
      <c r="AH135" s="121">
        <f t="shared" si="18"/>
        <v>0</v>
      </c>
      <c r="AI135" s="120" t="str">
        <f t="shared" si="41"/>
        <v/>
      </c>
      <c r="AJ135" s="121">
        <f t="shared" si="19"/>
        <v>1</v>
      </c>
      <c r="AK135" s="121">
        <f t="shared" si="20"/>
        <v>0</v>
      </c>
      <c r="AL135" s="121">
        <f t="shared" si="21"/>
        <v>0</v>
      </c>
      <c r="AM135" s="121">
        <f t="shared" si="22"/>
        <v>1</v>
      </c>
      <c r="AN135" s="120">
        <f t="shared" si="42"/>
        <v>1</v>
      </c>
      <c r="AO135" s="121">
        <f t="shared" si="23"/>
        <v>0</v>
      </c>
      <c r="AP135" s="121">
        <f t="shared" si="24"/>
        <v>0</v>
      </c>
      <c r="AQ135" s="121">
        <f t="shared" si="25"/>
        <v>0</v>
      </c>
      <c r="AR135" s="121">
        <f t="shared" si="26"/>
        <v>0</v>
      </c>
      <c r="AS135" s="120" t="str">
        <f t="shared" si="43"/>
        <v/>
      </c>
      <c r="AT135" s="121">
        <f t="shared" si="27"/>
        <v>0</v>
      </c>
      <c r="AU135" s="121">
        <f t="shared" si="28"/>
        <v>0</v>
      </c>
      <c r="AV135" s="121">
        <f t="shared" si="29"/>
        <v>0</v>
      </c>
      <c r="AW135" s="121">
        <f t="shared" si="30"/>
        <v>0</v>
      </c>
      <c r="AX135" s="120" t="str">
        <f t="shared" si="44"/>
        <v/>
      </c>
      <c r="AY135" s="121">
        <f t="shared" si="31"/>
        <v>0</v>
      </c>
      <c r="AZ135" s="121">
        <f t="shared" si="32"/>
        <v>0</v>
      </c>
      <c r="BA135" s="121">
        <f t="shared" si="33"/>
        <v>0</v>
      </c>
      <c r="BB135" s="121">
        <f t="shared" si="34"/>
        <v>0</v>
      </c>
      <c r="BC135" s="120" t="str">
        <f t="shared" si="45"/>
        <v/>
      </c>
    </row>
    <row r="136" spans="1:55" ht="14.25" customHeight="1" x14ac:dyDescent="0.3">
      <c r="A136" s="116" t="str">
        <f t="shared" si="0"/>
        <v>10 Viera M.</v>
      </c>
      <c r="B136" s="119">
        <f t="shared" si="0"/>
        <v>0</v>
      </c>
      <c r="C136" s="119">
        <f t="shared" si="0"/>
        <v>0</v>
      </c>
      <c r="D136" s="119">
        <f t="shared" si="0"/>
        <v>0</v>
      </c>
      <c r="E136" s="119">
        <f t="shared" si="0"/>
        <v>0</v>
      </c>
      <c r="F136" s="119">
        <f t="shared" si="0"/>
        <v>0</v>
      </c>
      <c r="G136" s="120" t="str">
        <f t="shared" si="35"/>
        <v/>
      </c>
      <c r="H136" s="121">
        <f t="shared" si="1"/>
        <v>0</v>
      </c>
      <c r="I136" s="121">
        <f t="shared" si="1"/>
        <v>0</v>
      </c>
      <c r="J136" s="121">
        <f t="shared" si="1"/>
        <v>0</v>
      </c>
      <c r="K136" s="121">
        <f t="shared" si="1"/>
        <v>0</v>
      </c>
      <c r="L136" s="121">
        <f t="shared" si="1"/>
        <v>0</v>
      </c>
      <c r="M136" s="120" t="str">
        <f t="shared" si="36"/>
        <v/>
      </c>
      <c r="N136" s="121">
        <f t="shared" si="2"/>
        <v>0</v>
      </c>
      <c r="O136" s="121">
        <f t="shared" si="3"/>
        <v>0</v>
      </c>
      <c r="P136" s="120" t="str">
        <f t="shared" si="37"/>
        <v/>
      </c>
      <c r="Q136" s="121">
        <f t="shared" si="4"/>
        <v>0</v>
      </c>
      <c r="R136" s="121">
        <f t="shared" si="5"/>
        <v>0</v>
      </c>
      <c r="S136" s="121">
        <f t="shared" si="6"/>
        <v>0</v>
      </c>
      <c r="T136" s="120" t="str">
        <f t="shared" si="38"/>
        <v/>
      </c>
      <c r="U136" s="121">
        <f t="shared" si="7"/>
        <v>0</v>
      </c>
      <c r="V136" s="121">
        <f t="shared" si="8"/>
        <v>0</v>
      </c>
      <c r="W136" s="121">
        <f t="shared" si="9"/>
        <v>0</v>
      </c>
      <c r="X136" s="121">
        <f t="shared" si="10"/>
        <v>0</v>
      </c>
      <c r="Y136" s="120" t="str">
        <f t="shared" si="39"/>
        <v/>
      </c>
      <c r="Z136" s="121">
        <f t="shared" si="11"/>
        <v>0</v>
      </c>
      <c r="AA136" s="121">
        <f t="shared" si="12"/>
        <v>0</v>
      </c>
      <c r="AB136" s="121">
        <f t="shared" si="13"/>
        <v>0</v>
      </c>
      <c r="AC136" s="121">
        <f t="shared" si="14"/>
        <v>0</v>
      </c>
      <c r="AD136" s="120" t="str">
        <f t="shared" si="40"/>
        <v/>
      </c>
      <c r="AE136" s="121">
        <f t="shared" si="15"/>
        <v>0</v>
      </c>
      <c r="AF136" s="121">
        <f t="shared" si="16"/>
        <v>0</v>
      </c>
      <c r="AG136" s="121">
        <f t="shared" si="17"/>
        <v>0</v>
      </c>
      <c r="AH136" s="121">
        <f t="shared" si="18"/>
        <v>0</v>
      </c>
      <c r="AI136" s="120" t="str">
        <f t="shared" si="41"/>
        <v/>
      </c>
      <c r="AJ136" s="121">
        <f t="shared" si="19"/>
        <v>0</v>
      </c>
      <c r="AK136" s="121">
        <f t="shared" si="20"/>
        <v>0</v>
      </c>
      <c r="AL136" s="121">
        <f t="shared" si="21"/>
        <v>0</v>
      </c>
      <c r="AM136" s="121">
        <f t="shared" si="22"/>
        <v>0</v>
      </c>
      <c r="AN136" s="120" t="str">
        <f t="shared" si="42"/>
        <v/>
      </c>
      <c r="AO136" s="121">
        <f t="shared" si="23"/>
        <v>0</v>
      </c>
      <c r="AP136" s="121">
        <f t="shared" si="24"/>
        <v>0</v>
      </c>
      <c r="AQ136" s="121">
        <f t="shared" si="25"/>
        <v>0</v>
      </c>
      <c r="AR136" s="121">
        <f t="shared" si="26"/>
        <v>0</v>
      </c>
      <c r="AS136" s="120" t="str">
        <f t="shared" si="43"/>
        <v/>
      </c>
      <c r="AT136" s="121">
        <f t="shared" si="27"/>
        <v>0</v>
      </c>
      <c r="AU136" s="121">
        <f t="shared" si="28"/>
        <v>0</v>
      </c>
      <c r="AV136" s="121">
        <f t="shared" si="29"/>
        <v>0</v>
      </c>
      <c r="AW136" s="121">
        <f t="shared" si="30"/>
        <v>0</v>
      </c>
      <c r="AX136" s="120" t="str">
        <f t="shared" si="44"/>
        <v/>
      </c>
      <c r="AY136" s="121">
        <f t="shared" si="31"/>
        <v>0</v>
      </c>
      <c r="AZ136" s="121">
        <f t="shared" si="32"/>
        <v>0</v>
      </c>
      <c r="BA136" s="121">
        <f t="shared" si="33"/>
        <v>0</v>
      </c>
      <c r="BB136" s="121">
        <f t="shared" si="34"/>
        <v>0</v>
      </c>
      <c r="BC136" s="120" t="str">
        <f t="shared" si="45"/>
        <v/>
      </c>
    </row>
    <row r="137" spans="1:55" ht="14.25" customHeight="1" x14ac:dyDescent="0.3">
      <c r="A137" s="116" t="str">
        <f t="shared" si="0"/>
        <v>11 Durdos V.</v>
      </c>
      <c r="B137" s="119">
        <f t="shared" si="0"/>
        <v>2</v>
      </c>
      <c r="C137" s="119">
        <f t="shared" si="0"/>
        <v>1</v>
      </c>
      <c r="D137" s="119">
        <f t="shared" si="0"/>
        <v>1</v>
      </c>
      <c r="E137" s="119">
        <f t="shared" si="0"/>
        <v>7</v>
      </c>
      <c r="F137" s="119">
        <f t="shared" si="0"/>
        <v>17</v>
      </c>
      <c r="G137" s="120">
        <f t="shared" si="35"/>
        <v>-0.25</v>
      </c>
      <c r="H137" s="121">
        <f t="shared" si="1"/>
        <v>7</v>
      </c>
      <c r="I137" s="121">
        <f t="shared" si="1"/>
        <v>4</v>
      </c>
      <c r="J137" s="121">
        <f t="shared" si="1"/>
        <v>0</v>
      </c>
      <c r="K137" s="121">
        <f t="shared" si="1"/>
        <v>0</v>
      </c>
      <c r="L137" s="121">
        <f t="shared" si="1"/>
        <v>13</v>
      </c>
      <c r="M137" s="120">
        <f t="shared" si="36"/>
        <v>0.69230769230769229</v>
      </c>
      <c r="N137" s="121">
        <f t="shared" si="2"/>
        <v>1</v>
      </c>
      <c r="O137" s="121">
        <f t="shared" si="3"/>
        <v>4</v>
      </c>
      <c r="P137" s="120">
        <f t="shared" si="37"/>
        <v>0.55555555555555558</v>
      </c>
      <c r="Q137" s="121">
        <f t="shared" si="4"/>
        <v>3</v>
      </c>
      <c r="R137" s="121">
        <f t="shared" si="5"/>
        <v>0</v>
      </c>
      <c r="S137" s="121">
        <f t="shared" si="6"/>
        <v>9</v>
      </c>
      <c r="T137" s="120">
        <f t="shared" si="38"/>
        <v>0.1111111111111111</v>
      </c>
      <c r="U137" s="121">
        <f t="shared" si="7"/>
        <v>0</v>
      </c>
      <c r="V137" s="121">
        <f t="shared" si="8"/>
        <v>0</v>
      </c>
      <c r="W137" s="121">
        <f t="shared" si="9"/>
        <v>0</v>
      </c>
      <c r="X137" s="121">
        <f t="shared" si="10"/>
        <v>0</v>
      </c>
      <c r="Y137" s="120" t="str">
        <f t="shared" si="39"/>
        <v/>
      </c>
      <c r="Z137" s="121">
        <f t="shared" si="11"/>
        <v>4</v>
      </c>
      <c r="AA137" s="121">
        <f t="shared" si="12"/>
        <v>0</v>
      </c>
      <c r="AB137" s="121">
        <f t="shared" si="13"/>
        <v>2</v>
      </c>
      <c r="AC137" s="121">
        <f t="shared" si="14"/>
        <v>11</v>
      </c>
      <c r="AD137" s="120">
        <f t="shared" si="40"/>
        <v>0.18181818181818182</v>
      </c>
      <c r="AE137" s="121">
        <f t="shared" si="15"/>
        <v>9</v>
      </c>
      <c r="AF137" s="121">
        <f t="shared" si="16"/>
        <v>0</v>
      </c>
      <c r="AG137" s="121">
        <f t="shared" si="17"/>
        <v>0</v>
      </c>
      <c r="AH137" s="121">
        <f t="shared" si="18"/>
        <v>15</v>
      </c>
      <c r="AI137" s="120">
        <f t="shared" si="41"/>
        <v>0.6</v>
      </c>
      <c r="AJ137" s="121">
        <f t="shared" si="19"/>
        <v>6</v>
      </c>
      <c r="AK137" s="121">
        <f t="shared" si="20"/>
        <v>0</v>
      </c>
      <c r="AL137" s="121">
        <f t="shared" si="21"/>
        <v>1</v>
      </c>
      <c r="AM137" s="121">
        <f t="shared" si="22"/>
        <v>11</v>
      </c>
      <c r="AN137" s="120">
        <f t="shared" si="42"/>
        <v>0.45454545454545453</v>
      </c>
      <c r="AO137" s="121">
        <f t="shared" si="23"/>
        <v>1</v>
      </c>
      <c r="AP137" s="121">
        <f t="shared" si="24"/>
        <v>0</v>
      </c>
      <c r="AQ137" s="121">
        <f t="shared" si="25"/>
        <v>0</v>
      </c>
      <c r="AR137" s="121">
        <f t="shared" si="26"/>
        <v>2</v>
      </c>
      <c r="AS137" s="120">
        <f t="shared" si="43"/>
        <v>0.5</v>
      </c>
      <c r="AT137" s="121">
        <f t="shared" si="27"/>
        <v>1</v>
      </c>
      <c r="AU137" s="121">
        <f t="shared" si="28"/>
        <v>0</v>
      </c>
      <c r="AV137" s="121">
        <f t="shared" si="29"/>
        <v>0</v>
      </c>
      <c r="AW137" s="121">
        <f t="shared" si="30"/>
        <v>3</v>
      </c>
      <c r="AX137" s="120">
        <f t="shared" si="44"/>
        <v>0.33333333333333331</v>
      </c>
      <c r="AY137" s="121">
        <f t="shared" si="31"/>
        <v>6</v>
      </c>
      <c r="AZ137" s="121">
        <f t="shared" si="32"/>
        <v>0</v>
      </c>
      <c r="BA137" s="121">
        <f t="shared" si="33"/>
        <v>2</v>
      </c>
      <c r="BB137" s="121">
        <f t="shared" si="34"/>
        <v>14</v>
      </c>
      <c r="BC137" s="120">
        <f t="shared" si="45"/>
        <v>0.2857142857142857</v>
      </c>
    </row>
    <row r="138" spans="1:55" ht="14.25" customHeight="1" x14ac:dyDescent="0.3">
      <c r="A138" s="116" t="str">
        <f t="shared" ref="A138:F144" si="46">A157</f>
        <v>12 Zanotti J.</v>
      </c>
      <c r="B138" s="119">
        <f t="shared" si="46"/>
        <v>0</v>
      </c>
      <c r="C138" s="119">
        <f t="shared" si="46"/>
        <v>0</v>
      </c>
      <c r="D138" s="119">
        <f t="shared" si="46"/>
        <v>0</v>
      </c>
      <c r="E138" s="119">
        <f t="shared" si="46"/>
        <v>0</v>
      </c>
      <c r="F138" s="119">
        <f t="shared" si="46"/>
        <v>0</v>
      </c>
      <c r="G138" s="120" t="str">
        <f t="shared" si="35"/>
        <v/>
      </c>
      <c r="H138" s="121">
        <f t="shared" ref="H138:L144" si="47">G157</f>
        <v>0</v>
      </c>
      <c r="I138" s="121">
        <f t="shared" si="47"/>
        <v>0</v>
      </c>
      <c r="J138" s="121">
        <f t="shared" si="47"/>
        <v>0</v>
      </c>
      <c r="K138" s="121">
        <f t="shared" si="47"/>
        <v>0</v>
      </c>
      <c r="L138" s="121">
        <f t="shared" si="47"/>
        <v>0</v>
      </c>
      <c r="M138" s="120" t="str">
        <f t="shared" si="36"/>
        <v/>
      </c>
      <c r="N138" s="121">
        <f t="shared" si="2"/>
        <v>0</v>
      </c>
      <c r="O138" s="121">
        <f t="shared" si="3"/>
        <v>0</v>
      </c>
      <c r="P138" s="120" t="str">
        <f t="shared" si="37"/>
        <v/>
      </c>
      <c r="Q138" s="121">
        <f t="shared" si="4"/>
        <v>0</v>
      </c>
      <c r="R138" s="121">
        <f t="shared" si="5"/>
        <v>0</v>
      </c>
      <c r="S138" s="121">
        <f t="shared" si="6"/>
        <v>0</v>
      </c>
      <c r="T138" s="120" t="str">
        <f t="shared" si="38"/>
        <v/>
      </c>
      <c r="U138" s="121">
        <f t="shared" si="7"/>
        <v>0</v>
      </c>
      <c r="V138" s="121">
        <f t="shared" si="8"/>
        <v>0</v>
      </c>
      <c r="W138" s="121">
        <f t="shared" si="9"/>
        <v>0</v>
      </c>
      <c r="X138" s="121">
        <f t="shared" si="10"/>
        <v>0</v>
      </c>
      <c r="Y138" s="120" t="str">
        <f t="shared" si="39"/>
        <v/>
      </c>
      <c r="Z138" s="121">
        <f t="shared" si="11"/>
        <v>0</v>
      </c>
      <c r="AA138" s="121">
        <f t="shared" si="12"/>
        <v>0</v>
      </c>
      <c r="AB138" s="121">
        <f t="shared" si="13"/>
        <v>0</v>
      </c>
      <c r="AC138" s="121">
        <f t="shared" si="14"/>
        <v>0</v>
      </c>
      <c r="AD138" s="120" t="str">
        <f t="shared" si="40"/>
        <v/>
      </c>
      <c r="AE138" s="121">
        <f t="shared" si="15"/>
        <v>0</v>
      </c>
      <c r="AF138" s="121">
        <f t="shared" si="16"/>
        <v>0</v>
      </c>
      <c r="AG138" s="121">
        <f t="shared" si="17"/>
        <v>0</v>
      </c>
      <c r="AH138" s="121">
        <f t="shared" si="18"/>
        <v>0</v>
      </c>
      <c r="AI138" s="120" t="str">
        <f t="shared" si="41"/>
        <v/>
      </c>
      <c r="AJ138" s="121">
        <f t="shared" si="19"/>
        <v>0</v>
      </c>
      <c r="AK138" s="121">
        <f t="shared" si="20"/>
        <v>0</v>
      </c>
      <c r="AL138" s="121">
        <f t="shared" si="21"/>
        <v>0</v>
      </c>
      <c r="AM138" s="121">
        <f t="shared" si="22"/>
        <v>0</v>
      </c>
      <c r="AN138" s="120" t="str">
        <f t="shared" si="42"/>
        <v/>
      </c>
      <c r="AO138" s="121">
        <f t="shared" si="23"/>
        <v>0</v>
      </c>
      <c r="AP138" s="121">
        <f t="shared" si="24"/>
        <v>0</v>
      </c>
      <c r="AQ138" s="121">
        <f t="shared" si="25"/>
        <v>0</v>
      </c>
      <c r="AR138" s="121">
        <f t="shared" si="26"/>
        <v>0</v>
      </c>
      <c r="AS138" s="120" t="str">
        <f t="shared" si="43"/>
        <v/>
      </c>
      <c r="AT138" s="121">
        <f t="shared" si="27"/>
        <v>0</v>
      </c>
      <c r="AU138" s="121">
        <f t="shared" si="28"/>
        <v>0</v>
      </c>
      <c r="AV138" s="121">
        <f t="shared" si="29"/>
        <v>0</v>
      </c>
      <c r="AW138" s="121">
        <f t="shared" si="30"/>
        <v>0</v>
      </c>
      <c r="AX138" s="120" t="str">
        <f t="shared" si="44"/>
        <v/>
      </c>
      <c r="AY138" s="121">
        <f t="shared" si="31"/>
        <v>0</v>
      </c>
      <c r="AZ138" s="121">
        <f t="shared" si="32"/>
        <v>0</v>
      </c>
      <c r="BA138" s="121">
        <f t="shared" si="33"/>
        <v>0</v>
      </c>
      <c r="BB138" s="121">
        <f t="shared" si="34"/>
        <v>0</v>
      </c>
      <c r="BC138" s="120" t="str">
        <f t="shared" si="45"/>
        <v/>
      </c>
    </row>
    <row r="139" spans="1:55" ht="14.25" customHeight="1" x14ac:dyDescent="0.3">
      <c r="A139" s="116" t="str">
        <f t="shared" si="46"/>
        <v>13 Rojas Caruso M.</v>
      </c>
      <c r="B139" s="119">
        <f t="shared" si="46"/>
        <v>0</v>
      </c>
      <c r="C139" s="119">
        <f t="shared" si="46"/>
        <v>0</v>
      </c>
      <c r="D139" s="119">
        <f t="shared" si="46"/>
        <v>0</v>
      </c>
      <c r="E139" s="119">
        <f t="shared" si="46"/>
        <v>0</v>
      </c>
      <c r="F139" s="119">
        <f t="shared" si="46"/>
        <v>1</v>
      </c>
      <c r="G139" s="120">
        <f t="shared" si="35"/>
        <v>0</v>
      </c>
      <c r="H139" s="121">
        <f t="shared" si="47"/>
        <v>1</v>
      </c>
      <c r="I139" s="121">
        <f t="shared" si="47"/>
        <v>0</v>
      </c>
      <c r="J139" s="121">
        <f t="shared" si="47"/>
        <v>0</v>
      </c>
      <c r="K139" s="121">
        <f t="shared" si="47"/>
        <v>0</v>
      </c>
      <c r="L139" s="121">
        <f t="shared" si="47"/>
        <v>2</v>
      </c>
      <c r="M139" s="120">
        <f t="shared" si="36"/>
        <v>0.5</v>
      </c>
      <c r="N139" s="121">
        <f t="shared" si="2"/>
        <v>0</v>
      </c>
      <c r="O139" s="121">
        <f t="shared" si="3"/>
        <v>0</v>
      </c>
      <c r="P139" s="120" t="str">
        <f t="shared" si="37"/>
        <v/>
      </c>
      <c r="Q139" s="121">
        <f t="shared" si="4"/>
        <v>0</v>
      </c>
      <c r="R139" s="121">
        <f t="shared" si="5"/>
        <v>0</v>
      </c>
      <c r="S139" s="121">
        <f t="shared" si="6"/>
        <v>0</v>
      </c>
      <c r="T139" s="120" t="str">
        <f t="shared" si="38"/>
        <v/>
      </c>
      <c r="U139" s="121">
        <f t="shared" si="7"/>
        <v>0</v>
      </c>
      <c r="V139" s="121">
        <f t="shared" si="8"/>
        <v>0</v>
      </c>
      <c r="W139" s="121">
        <f t="shared" si="9"/>
        <v>0</v>
      </c>
      <c r="X139" s="121">
        <f t="shared" si="10"/>
        <v>0</v>
      </c>
      <c r="Y139" s="120" t="str">
        <f t="shared" si="39"/>
        <v/>
      </c>
      <c r="Z139" s="121">
        <f t="shared" si="11"/>
        <v>0</v>
      </c>
      <c r="AA139" s="121">
        <f t="shared" si="12"/>
        <v>0</v>
      </c>
      <c r="AB139" s="121">
        <f t="shared" si="13"/>
        <v>0</v>
      </c>
      <c r="AC139" s="121">
        <f t="shared" si="14"/>
        <v>0</v>
      </c>
      <c r="AD139" s="120" t="str">
        <f t="shared" si="40"/>
        <v/>
      </c>
      <c r="AE139" s="121">
        <f t="shared" si="15"/>
        <v>0</v>
      </c>
      <c r="AF139" s="121">
        <f t="shared" si="16"/>
        <v>0</v>
      </c>
      <c r="AG139" s="121">
        <f t="shared" si="17"/>
        <v>0</v>
      </c>
      <c r="AH139" s="121">
        <f t="shared" si="18"/>
        <v>0</v>
      </c>
      <c r="AI139" s="120" t="str">
        <f t="shared" si="41"/>
        <v/>
      </c>
      <c r="AJ139" s="121">
        <f t="shared" si="19"/>
        <v>0</v>
      </c>
      <c r="AK139" s="121">
        <f t="shared" si="20"/>
        <v>0</v>
      </c>
      <c r="AL139" s="121">
        <f t="shared" si="21"/>
        <v>0</v>
      </c>
      <c r="AM139" s="121">
        <f t="shared" si="22"/>
        <v>0</v>
      </c>
      <c r="AN139" s="120" t="str">
        <f t="shared" si="42"/>
        <v/>
      </c>
      <c r="AO139" s="121">
        <f t="shared" si="23"/>
        <v>0</v>
      </c>
      <c r="AP139" s="121">
        <f t="shared" si="24"/>
        <v>0</v>
      </c>
      <c r="AQ139" s="121">
        <f t="shared" si="25"/>
        <v>0</v>
      </c>
      <c r="AR139" s="121">
        <f t="shared" si="26"/>
        <v>0</v>
      </c>
      <c r="AS139" s="120" t="str">
        <f t="shared" si="43"/>
        <v/>
      </c>
      <c r="AT139" s="121">
        <f t="shared" si="27"/>
        <v>0</v>
      </c>
      <c r="AU139" s="121">
        <f t="shared" si="28"/>
        <v>0</v>
      </c>
      <c r="AV139" s="121">
        <f t="shared" si="29"/>
        <v>0</v>
      </c>
      <c r="AW139" s="121">
        <f t="shared" si="30"/>
        <v>0</v>
      </c>
      <c r="AX139" s="120" t="str">
        <f t="shared" si="44"/>
        <v/>
      </c>
      <c r="AY139" s="121">
        <f t="shared" si="31"/>
        <v>0</v>
      </c>
      <c r="AZ139" s="121">
        <f t="shared" si="32"/>
        <v>0</v>
      </c>
      <c r="BA139" s="121">
        <f t="shared" si="33"/>
        <v>0</v>
      </c>
      <c r="BB139" s="121">
        <f t="shared" si="34"/>
        <v>0</v>
      </c>
      <c r="BC139" s="120" t="str">
        <f t="shared" si="45"/>
        <v/>
      </c>
    </row>
    <row r="140" spans="1:55" ht="14.25" customHeight="1" x14ac:dyDescent="0.3">
      <c r="A140" s="116" t="str">
        <f t="shared" si="46"/>
        <v>14 Nielson R.</v>
      </c>
      <c r="B140" s="119">
        <f t="shared" si="46"/>
        <v>0</v>
      </c>
      <c r="C140" s="119">
        <f t="shared" si="46"/>
        <v>0</v>
      </c>
      <c r="D140" s="119">
        <f t="shared" si="46"/>
        <v>0</v>
      </c>
      <c r="E140" s="119">
        <f t="shared" si="46"/>
        <v>1</v>
      </c>
      <c r="F140" s="119">
        <f t="shared" si="46"/>
        <v>14</v>
      </c>
      <c r="G140" s="120">
        <f t="shared" si="35"/>
        <v>-7.1428571428571425E-2</v>
      </c>
      <c r="H140" s="121">
        <f t="shared" si="47"/>
        <v>4</v>
      </c>
      <c r="I140" s="121">
        <f t="shared" si="47"/>
        <v>8</v>
      </c>
      <c r="J140" s="121">
        <f t="shared" si="47"/>
        <v>0</v>
      </c>
      <c r="K140" s="121">
        <f t="shared" si="47"/>
        <v>0</v>
      </c>
      <c r="L140" s="121">
        <f t="shared" si="47"/>
        <v>15</v>
      </c>
      <c r="M140" s="120">
        <f t="shared" si="36"/>
        <v>0.53333333333333333</v>
      </c>
      <c r="N140" s="121">
        <f t="shared" si="2"/>
        <v>1</v>
      </c>
      <c r="O140" s="121">
        <f t="shared" si="3"/>
        <v>0</v>
      </c>
      <c r="P140" s="120">
        <f t="shared" si="37"/>
        <v>0.33333333333333331</v>
      </c>
      <c r="Q140" s="121">
        <f t="shared" si="4"/>
        <v>2</v>
      </c>
      <c r="R140" s="121">
        <f t="shared" si="5"/>
        <v>0</v>
      </c>
      <c r="S140" s="121">
        <f t="shared" si="6"/>
        <v>3</v>
      </c>
      <c r="T140" s="120">
        <f t="shared" si="38"/>
        <v>0.33333333333333331</v>
      </c>
      <c r="U140" s="121">
        <f t="shared" si="7"/>
        <v>0</v>
      </c>
      <c r="V140" s="121">
        <f t="shared" si="8"/>
        <v>0</v>
      </c>
      <c r="W140" s="121">
        <f t="shared" si="9"/>
        <v>0</v>
      </c>
      <c r="X140" s="121">
        <f t="shared" si="10"/>
        <v>0</v>
      </c>
      <c r="Y140" s="120" t="str">
        <f t="shared" si="39"/>
        <v/>
      </c>
      <c r="Z140" s="121">
        <f t="shared" si="11"/>
        <v>2</v>
      </c>
      <c r="AA140" s="121">
        <f t="shared" si="12"/>
        <v>1</v>
      </c>
      <c r="AB140" s="121">
        <f t="shared" si="13"/>
        <v>0</v>
      </c>
      <c r="AC140" s="121">
        <f t="shared" si="14"/>
        <v>9</v>
      </c>
      <c r="AD140" s="120">
        <f t="shared" si="40"/>
        <v>0.1111111111111111</v>
      </c>
      <c r="AE140" s="121">
        <f t="shared" si="15"/>
        <v>8</v>
      </c>
      <c r="AF140" s="121">
        <f t="shared" si="16"/>
        <v>0</v>
      </c>
      <c r="AG140" s="121">
        <f t="shared" si="17"/>
        <v>1</v>
      </c>
      <c r="AH140" s="121">
        <f t="shared" si="18"/>
        <v>17</v>
      </c>
      <c r="AI140" s="120">
        <f t="shared" si="41"/>
        <v>0.41176470588235292</v>
      </c>
      <c r="AJ140" s="121">
        <f t="shared" si="19"/>
        <v>4</v>
      </c>
      <c r="AK140" s="121">
        <f t="shared" si="20"/>
        <v>0</v>
      </c>
      <c r="AL140" s="121">
        <f t="shared" si="21"/>
        <v>1</v>
      </c>
      <c r="AM140" s="121">
        <f t="shared" si="22"/>
        <v>7</v>
      </c>
      <c r="AN140" s="120">
        <f t="shared" si="42"/>
        <v>0.42857142857142855</v>
      </c>
      <c r="AO140" s="121">
        <f t="shared" si="23"/>
        <v>1</v>
      </c>
      <c r="AP140" s="121">
        <f t="shared" si="24"/>
        <v>0</v>
      </c>
      <c r="AQ140" s="121">
        <f t="shared" si="25"/>
        <v>0</v>
      </c>
      <c r="AR140" s="121">
        <f t="shared" si="26"/>
        <v>2</v>
      </c>
      <c r="AS140" s="120">
        <f t="shared" si="43"/>
        <v>0.5</v>
      </c>
      <c r="AT140" s="121">
        <f t="shared" si="27"/>
        <v>1</v>
      </c>
      <c r="AU140" s="121">
        <f t="shared" si="28"/>
        <v>0</v>
      </c>
      <c r="AV140" s="121">
        <f t="shared" si="29"/>
        <v>0</v>
      </c>
      <c r="AW140" s="121">
        <f t="shared" si="30"/>
        <v>2</v>
      </c>
      <c r="AX140" s="120">
        <f t="shared" si="44"/>
        <v>0.5</v>
      </c>
      <c r="AY140" s="121">
        <f t="shared" si="31"/>
        <v>5</v>
      </c>
      <c r="AZ140" s="121">
        <f t="shared" si="32"/>
        <v>1</v>
      </c>
      <c r="BA140" s="121">
        <f t="shared" si="33"/>
        <v>0</v>
      </c>
      <c r="BB140" s="121">
        <f t="shared" si="34"/>
        <v>16</v>
      </c>
      <c r="BC140" s="120">
        <f t="shared" si="45"/>
        <v>0.25</v>
      </c>
    </row>
    <row r="141" spans="1:55" ht="14.25" customHeight="1" x14ac:dyDescent="0.3">
      <c r="A141" s="116" t="str">
        <f t="shared" si="46"/>
        <v>15 Rotezzi R.</v>
      </c>
      <c r="B141" s="119">
        <f t="shared" si="46"/>
        <v>1</v>
      </c>
      <c r="C141" s="119">
        <f t="shared" si="46"/>
        <v>1</v>
      </c>
      <c r="D141" s="119">
        <f t="shared" si="46"/>
        <v>0</v>
      </c>
      <c r="E141" s="119">
        <f t="shared" si="46"/>
        <v>0</v>
      </c>
      <c r="F141" s="119">
        <f t="shared" si="46"/>
        <v>13</v>
      </c>
      <c r="G141" s="120">
        <f t="shared" si="35"/>
        <v>9.6153846153846159E-2</v>
      </c>
      <c r="H141" s="121">
        <f t="shared" si="47"/>
        <v>0</v>
      </c>
      <c r="I141" s="121">
        <f t="shared" si="47"/>
        <v>0</v>
      </c>
      <c r="J141" s="121">
        <f t="shared" si="47"/>
        <v>0</v>
      </c>
      <c r="K141" s="121">
        <f t="shared" si="47"/>
        <v>0</v>
      </c>
      <c r="L141" s="121">
        <f t="shared" si="47"/>
        <v>0</v>
      </c>
      <c r="M141" s="120" t="str">
        <f t="shared" si="36"/>
        <v/>
      </c>
      <c r="N141" s="121">
        <f t="shared" si="2"/>
        <v>1</v>
      </c>
      <c r="O141" s="121">
        <f t="shared" si="3"/>
        <v>2</v>
      </c>
      <c r="P141" s="120">
        <f t="shared" si="37"/>
        <v>0.6</v>
      </c>
      <c r="Q141" s="121">
        <f t="shared" si="4"/>
        <v>0</v>
      </c>
      <c r="R141" s="121">
        <f t="shared" si="5"/>
        <v>0</v>
      </c>
      <c r="S141" s="121">
        <f t="shared" si="6"/>
        <v>5</v>
      </c>
      <c r="T141" s="120">
        <f t="shared" si="38"/>
        <v>0.2</v>
      </c>
      <c r="U141" s="121">
        <f t="shared" si="7"/>
        <v>6</v>
      </c>
      <c r="V141" s="121">
        <f t="shared" si="8"/>
        <v>0</v>
      </c>
      <c r="W141" s="121">
        <f t="shared" si="9"/>
        <v>1</v>
      </c>
      <c r="X141" s="121">
        <f t="shared" si="10"/>
        <v>9</v>
      </c>
      <c r="Y141" s="120">
        <f t="shared" si="39"/>
        <v>0.55555555555555558</v>
      </c>
      <c r="Z141" s="121">
        <f t="shared" si="11"/>
        <v>0</v>
      </c>
      <c r="AA141" s="121">
        <f t="shared" si="12"/>
        <v>0</v>
      </c>
      <c r="AB141" s="121">
        <f t="shared" si="13"/>
        <v>0</v>
      </c>
      <c r="AC141" s="121">
        <f t="shared" si="14"/>
        <v>0</v>
      </c>
      <c r="AD141" s="120" t="str">
        <f t="shared" si="40"/>
        <v/>
      </c>
      <c r="AE141" s="121">
        <f t="shared" si="15"/>
        <v>0</v>
      </c>
      <c r="AF141" s="121">
        <f t="shared" si="16"/>
        <v>0</v>
      </c>
      <c r="AG141" s="121">
        <f t="shared" si="17"/>
        <v>0</v>
      </c>
      <c r="AH141" s="121">
        <f t="shared" si="18"/>
        <v>0</v>
      </c>
      <c r="AI141" s="120" t="str">
        <f t="shared" si="41"/>
        <v/>
      </c>
      <c r="AJ141" s="121">
        <f t="shared" si="19"/>
        <v>4</v>
      </c>
      <c r="AK141" s="121">
        <f t="shared" si="20"/>
        <v>0</v>
      </c>
      <c r="AL141" s="121">
        <f t="shared" si="21"/>
        <v>1</v>
      </c>
      <c r="AM141" s="121">
        <f t="shared" si="22"/>
        <v>6</v>
      </c>
      <c r="AN141" s="120">
        <f t="shared" si="42"/>
        <v>0.5</v>
      </c>
      <c r="AO141" s="121">
        <f t="shared" si="23"/>
        <v>0</v>
      </c>
      <c r="AP141" s="121">
        <f t="shared" si="24"/>
        <v>0</v>
      </c>
      <c r="AQ141" s="121">
        <f t="shared" si="25"/>
        <v>0</v>
      </c>
      <c r="AR141" s="121">
        <f t="shared" si="26"/>
        <v>0</v>
      </c>
      <c r="AS141" s="120" t="str">
        <f t="shared" si="43"/>
        <v/>
      </c>
      <c r="AT141" s="121">
        <f t="shared" si="27"/>
        <v>0</v>
      </c>
      <c r="AU141" s="121">
        <f t="shared" si="28"/>
        <v>0</v>
      </c>
      <c r="AV141" s="121">
        <f t="shared" si="29"/>
        <v>0</v>
      </c>
      <c r="AW141" s="121">
        <f t="shared" si="30"/>
        <v>0</v>
      </c>
      <c r="AX141" s="120" t="str">
        <f t="shared" si="44"/>
        <v/>
      </c>
      <c r="AY141" s="121">
        <f t="shared" si="31"/>
        <v>2</v>
      </c>
      <c r="AZ141" s="121">
        <f t="shared" si="32"/>
        <v>0</v>
      </c>
      <c r="BA141" s="121">
        <f t="shared" si="33"/>
        <v>0</v>
      </c>
      <c r="BB141" s="121">
        <f t="shared" si="34"/>
        <v>3</v>
      </c>
      <c r="BC141" s="120">
        <f t="shared" si="45"/>
        <v>0.66666666666666663</v>
      </c>
    </row>
    <row r="142" spans="1:55" ht="14.25" customHeight="1" x14ac:dyDescent="0.3">
      <c r="A142" s="116" t="str">
        <f t="shared" si="46"/>
        <v>17 Herbsommer L.</v>
      </c>
      <c r="B142" s="119">
        <f t="shared" si="46"/>
        <v>0</v>
      </c>
      <c r="C142" s="119">
        <f t="shared" si="46"/>
        <v>0</v>
      </c>
      <c r="D142" s="119">
        <f t="shared" si="46"/>
        <v>0</v>
      </c>
      <c r="E142" s="119">
        <f t="shared" si="46"/>
        <v>0</v>
      </c>
      <c r="F142" s="119">
        <f t="shared" si="46"/>
        <v>0</v>
      </c>
      <c r="G142" s="120" t="str">
        <f t="shared" si="35"/>
        <v/>
      </c>
      <c r="H142" s="121">
        <f t="shared" si="47"/>
        <v>0</v>
      </c>
      <c r="I142" s="121">
        <f t="shared" si="47"/>
        <v>0</v>
      </c>
      <c r="J142" s="121">
        <f t="shared" si="47"/>
        <v>0</v>
      </c>
      <c r="K142" s="121">
        <f t="shared" si="47"/>
        <v>0</v>
      </c>
      <c r="L142" s="121">
        <f t="shared" si="47"/>
        <v>0</v>
      </c>
      <c r="M142" s="120" t="str">
        <f t="shared" si="36"/>
        <v/>
      </c>
      <c r="N142" s="121">
        <f t="shared" si="2"/>
        <v>0</v>
      </c>
      <c r="O142" s="121">
        <f t="shared" si="3"/>
        <v>0</v>
      </c>
      <c r="P142" s="120" t="str">
        <f t="shared" si="37"/>
        <v/>
      </c>
      <c r="Q142" s="121">
        <f t="shared" si="4"/>
        <v>0</v>
      </c>
      <c r="R142" s="121">
        <f t="shared" si="5"/>
        <v>0</v>
      </c>
      <c r="S142" s="121">
        <f t="shared" si="6"/>
        <v>0</v>
      </c>
      <c r="T142" s="120" t="str">
        <f t="shared" si="38"/>
        <v/>
      </c>
      <c r="U142" s="121">
        <f t="shared" si="7"/>
        <v>0</v>
      </c>
      <c r="V142" s="121">
        <f t="shared" si="8"/>
        <v>0</v>
      </c>
      <c r="W142" s="121">
        <f t="shared" si="9"/>
        <v>0</v>
      </c>
      <c r="X142" s="121">
        <f t="shared" si="10"/>
        <v>0</v>
      </c>
      <c r="Y142" s="120" t="str">
        <f t="shared" si="39"/>
        <v/>
      </c>
      <c r="Z142" s="121">
        <f t="shared" si="11"/>
        <v>0</v>
      </c>
      <c r="AA142" s="121">
        <f t="shared" si="12"/>
        <v>0</v>
      </c>
      <c r="AB142" s="121">
        <f t="shared" si="13"/>
        <v>0</v>
      </c>
      <c r="AC142" s="121">
        <f t="shared" si="14"/>
        <v>0</v>
      </c>
      <c r="AD142" s="120" t="str">
        <f t="shared" si="40"/>
        <v/>
      </c>
      <c r="AE142" s="121">
        <f t="shared" si="15"/>
        <v>0</v>
      </c>
      <c r="AF142" s="121">
        <f t="shared" si="16"/>
        <v>0</v>
      </c>
      <c r="AG142" s="121">
        <f t="shared" si="17"/>
        <v>0</v>
      </c>
      <c r="AH142" s="121">
        <f t="shared" si="18"/>
        <v>0</v>
      </c>
      <c r="AI142" s="120" t="str">
        <f t="shared" si="41"/>
        <v/>
      </c>
      <c r="AJ142" s="121">
        <f t="shared" si="19"/>
        <v>0</v>
      </c>
      <c r="AK142" s="121">
        <f t="shared" si="20"/>
        <v>0</v>
      </c>
      <c r="AL142" s="121">
        <f t="shared" si="21"/>
        <v>0</v>
      </c>
      <c r="AM142" s="121">
        <f t="shared" si="22"/>
        <v>0</v>
      </c>
      <c r="AN142" s="120" t="str">
        <f t="shared" si="42"/>
        <v/>
      </c>
      <c r="AO142" s="121">
        <f t="shared" si="23"/>
        <v>0</v>
      </c>
      <c r="AP142" s="121">
        <f t="shared" si="24"/>
        <v>0</v>
      </c>
      <c r="AQ142" s="121">
        <f t="shared" si="25"/>
        <v>0</v>
      </c>
      <c r="AR142" s="121">
        <f t="shared" si="26"/>
        <v>0</v>
      </c>
      <c r="AS142" s="120" t="str">
        <f t="shared" si="43"/>
        <v/>
      </c>
      <c r="AT142" s="121">
        <f t="shared" si="27"/>
        <v>0</v>
      </c>
      <c r="AU142" s="121">
        <f t="shared" si="28"/>
        <v>0</v>
      </c>
      <c r="AV142" s="121">
        <f t="shared" si="29"/>
        <v>0</v>
      </c>
      <c r="AW142" s="121">
        <f t="shared" si="30"/>
        <v>0</v>
      </c>
      <c r="AX142" s="120" t="str">
        <f t="shared" si="44"/>
        <v/>
      </c>
      <c r="AY142" s="121">
        <f t="shared" si="31"/>
        <v>0</v>
      </c>
      <c r="AZ142" s="121">
        <f t="shared" si="32"/>
        <v>0</v>
      </c>
      <c r="BA142" s="121">
        <f t="shared" si="33"/>
        <v>0</v>
      </c>
      <c r="BB142" s="121">
        <f t="shared" si="34"/>
        <v>0</v>
      </c>
      <c r="BC142" s="120" t="str">
        <f t="shared" si="45"/>
        <v/>
      </c>
    </row>
    <row r="143" spans="1:55" ht="14.25" customHeight="1" x14ac:dyDescent="0.3">
      <c r="A143" s="116" t="str">
        <f t="shared" si="46"/>
        <v>18 Acosta W.</v>
      </c>
      <c r="B143" s="119">
        <f t="shared" si="46"/>
        <v>0</v>
      </c>
      <c r="C143" s="119">
        <f t="shared" si="46"/>
        <v>0</v>
      </c>
      <c r="D143" s="119">
        <f t="shared" si="46"/>
        <v>0</v>
      </c>
      <c r="E143" s="119">
        <f t="shared" si="46"/>
        <v>0</v>
      </c>
      <c r="F143" s="119">
        <f t="shared" si="46"/>
        <v>0</v>
      </c>
      <c r="G143" s="120" t="str">
        <f t="shared" si="35"/>
        <v/>
      </c>
      <c r="H143" s="121">
        <f t="shared" si="47"/>
        <v>0</v>
      </c>
      <c r="I143" s="121">
        <f t="shared" si="47"/>
        <v>0</v>
      </c>
      <c r="J143" s="121">
        <f t="shared" si="47"/>
        <v>0</v>
      </c>
      <c r="K143" s="121">
        <f t="shared" si="47"/>
        <v>0</v>
      </c>
      <c r="L143" s="121">
        <f t="shared" si="47"/>
        <v>0</v>
      </c>
      <c r="M143" s="120" t="str">
        <f t="shared" si="36"/>
        <v/>
      </c>
      <c r="N143" s="121">
        <f t="shared" si="2"/>
        <v>0</v>
      </c>
      <c r="O143" s="121">
        <f t="shared" si="3"/>
        <v>0</v>
      </c>
      <c r="P143" s="120" t="str">
        <f t="shared" si="37"/>
        <v/>
      </c>
      <c r="Q143" s="121">
        <f t="shared" si="4"/>
        <v>0</v>
      </c>
      <c r="R143" s="121">
        <f t="shared" si="5"/>
        <v>0</v>
      </c>
      <c r="S143" s="121">
        <f t="shared" si="6"/>
        <v>0</v>
      </c>
      <c r="T143" s="120" t="str">
        <f t="shared" si="38"/>
        <v/>
      </c>
      <c r="U143" s="121">
        <f t="shared" si="7"/>
        <v>0</v>
      </c>
      <c r="V143" s="121">
        <f t="shared" si="8"/>
        <v>0</v>
      </c>
      <c r="W143" s="121">
        <f t="shared" si="9"/>
        <v>0</v>
      </c>
      <c r="X143" s="121">
        <f t="shared" si="10"/>
        <v>0</v>
      </c>
      <c r="Y143" s="120" t="str">
        <f t="shared" si="39"/>
        <v/>
      </c>
      <c r="Z143" s="121">
        <f t="shared" si="11"/>
        <v>0</v>
      </c>
      <c r="AA143" s="121">
        <f t="shared" si="12"/>
        <v>0</v>
      </c>
      <c r="AB143" s="121">
        <f t="shared" si="13"/>
        <v>0</v>
      </c>
      <c r="AC143" s="121">
        <f t="shared" si="14"/>
        <v>0</v>
      </c>
      <c r="AD143" s="120" t="str">
        <f t="shared" si="40"/>
        <v/>
      </c>
      <c r="AE143" s="121">
        <f t="shared" si="15"/>
        <v>0</v>
      </c>
      <c r="AF143" s="121">
        <f t="shared" si="16"/>
        <v>0</v>
      </c>
      <c r="AG143" s="121">
        <f t="shared" si="17"/>
        <v>0</v>
      </c>
      <c r="AH143" s="121">
        <f t="shared" si="18"/>
        <v>0</v>
      </c>
      <c r="AI143" s="120" t="str">
        <f t="shared" si="41"/>
        <v/>
      </c>
      <c r="AJ143" s="121">
        <f t="shared" si="19"/>
        <v>0</v>
      </c>
      <c r="AK143" s="121">
        <f t="shared" si="20"/>
        <v>0</v>
      </c>
      <c r="AL143" s="121">
        <f t="shared" si="21"/>
        <v>0</v>
      </c>
      <c r="AM143" s="121">
        <f t="shared" si="22"/>
        <v>0</v>
      </c>
      <c r="AN143" s="120" t="str">
        <f t="shared" si="42"/>
        <v/>
      </c>
      <c r="AO143" s="121">
        <f t="shared" si="23"/>
        <v>0</v>
      </c>
      <c r="AP143" s="121">
        <f t="shared" si="24"/>
        <v>0</v>
      </c>
      <c r="AQ143" s="121">
        <f t="shared" si="25"/>
        <v>0</v>
      </c>
      <c r="AR143" s="121">
        <f t="shared" si="26"/>
        <v>0</v>
      </c>
      <c r="AS143" s="120" t="str">
        <f t="shared" si="43"/>
        <v/>
      </c>
      <c r="AT143" s="121">
        <f t="shared" si="27"/>
        <v>0</v>
      </c>
      <c r="AU143" s="121">
        <f t="shared" si="28"/>
        <v>0</v>
      </c>
      <c r="AV143" s="121">
        <f t="shared" si="29"/>
        <v>0</v>
      </c>
      <c r="AW143" s="121">
        <f t="shared" si="30"/>
        <v>0</v>
      </c>
      <c r="AX143" s="120" t="str">
        <f t="shared" si="44"/>
        <v/>
      </c>
      <c r="AY143" s="121">
        <f t="shared" si="31"/>
        <v>0</v>
      </c>
      <c r="AZ143" s="121">
        <f t="shared" si="32"/>
        <v>0</v>
      </c>
      <c r="BA143" s="121">
        <f t="shared" si="33"/>
        <v>0</v>
      </c>
      <c r="BB143" s="121">
        <f t="shared" si="34"/>
        <v>0</v>
      </c>
      <c r="BC143" s="120" t="str">
        <f t="shared" si="45"/>
        <v/>
      </c>
    </row>
    <row r="144" spans="1:55" ht="14.25" customHeight="1" x14ac:dyDescent="0.3">
      <c r="A144" s="116" t="str">
        <f t="shared" si="46"/>
        <v>19 Diaz Bolli S.</v>
      </c>
      <c r="B144" s="119">
        <f t="shared" si="46"/>
        <v>0</v>
      </c>
      <c r="C144" s="119">
        <f t="shared" si="46"/>
        <v>0</v>
      </c>
      <c r="D144" s="119">
        <f t="shared" si="46"/>
        <v>0</v>
      </c>
      <c r="E144" s="119">
        <f t="shared" si="46"/>
        <v>0</v>
      </c>
      <c r="F144" s="119">
        <f t="shared" si="46"/>
        <v>0</v>
      </c>
      <c r="G144" s="120" t="str">
        <f t="shared" si="35"/>
        <v/>
      </c>
      <c r="H144" s="121">
        <f t="shared" si="47"/>
        <v>0</v>
      </c>
      <c r="I144" s="121">
        <f t="shared" si="47"/>
        <v>0</v>
      </c>
      <c r="J144" s="121">
        <f t="shared" si="47"/>
        <v>0</v>
      </c>
      <c r="K144" s="121">
        <f t="shared" si="47"/>
        <v>0</v>
      </c>
      <c r="L144" s="121">
        <f t="shared" si="47"/>
        <v>0</v>
      </c>
      <c r="M144" s="120" t="str">
        <f t="shared" si="36"/>
        <v/>
      </c>
      <c r="N144" s="121">
        <f t="shared" si="2"/>
        <v>0</v>
      </c>
      <c r="O144" s="121">
        <f t="shared" si="3"/>
        <v>0</v>
      </c>
      <c r="P144" s="120" t="str">
        <f t="shared" si="37"/>
        <v/>
      </c>
      <c r="Q144" s="121">
        <f t="shared" si="4"/>
        <v>0</v>
      </c>
      <c r="R144" s="121">
        <f t="shared" si="5"/>
        <v>0</v>
      </c>
      <c r="S144" s="121">
        <f t="shared" si="6"/>
        <v>0</v>
      </c>
      <c r="T144" s="120" t="str">
        <f t="shared" si="38"/>
        <v/>
      </c>
      <c r="U144" s="121">
        <f t="shared" si="7"/>
        <v>0</v>
      </c>
      <c r="V144" s="121">
        <f t="shared" si="8"/>
        <v>0</v>
      </c>
      <c r="W144" s="121">
        <f t="shared" si="9"/>
        <v>0</v>
      </c>
      <c r="X144" s="121">
        <f t="shared" si="10"/>
        <v>0</v>
      </c>
      <c r="Y144" s="120" t="str">
        <f t="shared" si="39"/>
        <v/>
      </c>
      <c r="Z144" s="121">
        <f t="shared" si="11"/>
        <v>0</v>
      </c>
      <c r="AA144" s="121">
        <f t="shared" si="12"/>
        <v>0</v>
      </c>
      <c r="AB144" s="121">
        <f t="shared" si="13"/>
        <v>0</v>
      </c>
      <c r="AC144" s="121">
        <f t="shared" si="14"/>
        <v>0</v>
      </c>
      <c r="AD144" s="120" t="str">
        <f t="shared" si="40"/>
        <v/>
      </c>
      <c r="AE144" s="121">
        <f t="shared" si="15"/>
        <v>0</v>
      </c>
      <c r="AF144" s="121">
        <f t="shared" si="16"/>
        <v>0</v>
      </c>
      <c r="AG144" s="121">
        <f t="shared" si="17"/>
        <v>0</v>
      </c>
      <c r="AH144" s="121">
        <f t="shared" si="18"/>
        <v>0</v>
      </c>
      <c r="AI144" s="120" t="str">
        <f t="shared" si="41"/>
        <v/>
      </c>
      <c r="AJ144" s="121">
        <f t="shared" si="19"/>
        <v>0</v>
      </c>
      <c r="AK144" s="121">
        <f t="shared" si="20"/>
        <v>0</v>
      </c>
      <c r="AL144" s="121">
        <f t="shared" si="21"/>
        <v>0</v>
      </c>
      <c r="AM144" s="121">
        <f t="shared" si="22"/>
        <v>0</v>
      </c>
      <c r="AN144" s="120" t="str">
        <f t="shared" si="42"/>
        <v/>
      </c>
      <c r="AO144" s="121">
        <f t="shared" si="23"/>
        <v>0</v>
      </c>
      <c r="AP144" s="121">
        <f t="shared" si="24"/>
        <v>0</v>
      </c>
      <c r="AQ144" s="121">
        <f t="shared" si="25"/>
        <v>0</v>
      </c>
      <c r="AR144" s="121">
        <f t="shared" si="26"/>
        <v>0</v>
      </c>
      <c r="AS144" s="120" t="str">
        <f t="shared" si="43"/>
        <v/>
      </c>
      <c r="AT144" s="121">
        <f t="shared" si="27"/>
        <v>0</v>
      </c>
      <c r="AU144" s="121">
        <f t="shared" si="28"/>
        <v>0</v>
      </c>
      <c r="AV144" s="121">
        <f t="shared" si="29"/>
        <v>0</v>
      </c>
      <c r="AW144" s="121">
        <f t="shared" si="30"/>
        <v>0</v>
      </c>
      <c r="AX144" s="120" t="str">
        <f t="shared" si="44"/>
        <v/>
      </c>
      <c r="AY144" s="121">
        <f t="shared" si="31"/>
        <v>0</v>
      </c>
      <c r="AZ144" s="121">
        <f t="shared" si="32"/>
        <v>0</v>
      </c>
      <c r="BA144" s="121">
        <f t="shared" si="33"/>
        <v>0</v>
      </c>
      <c r="BB144" s="121">
        <f t="shared" si="34"/>
        <v>0</v>
      </c>
      <c r="BC144" s="120" t="str">
        <f t="shared" si="45"/>
        <v/>
      </c>
    </row>
    <row r="146" spans="1:44" ht="14.25" customHeight="1" x14ac:dyDescent="0.3">
      <c r="A146" s="155" t="s">
        <v>194</v>
      </c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</row>
    <row r="147" spans="1:44" ht="14.25" customHeight="1" x14ac:dyDescent="0.3">
      <c r="A147" s="122"/>
      <c r="B147" s="123" t="s">
        <v>195</v>
      </c>
      <c r="C147" s="123" t="s">
        <v>196</v>
      </c>
      <c r="D147" s="123" t="s">
        <v>197</v>
      </c>
      <c r="E147" s="123" t="s">
        <v>198</v>
      </c>
      <c r="F147" s="123" t="s">
        <v>199</v>
      </c>
      <c r="G147" s="124" t="s">
        <v>128</v>
      </c>
      <c r="H147" s="124" t="s">
        <v>129</v>
      </c>
      <c r="I147" s="124" t="s">
        <v>200</v>
      </c>
      <c r="J147" s="124" t="s">
        <v>201</v>
      </c>
      <c r="K147" s="124" t="s">
        <v>202</v>
      </c>
      <c r="L147" s="123" t="s">
        <v>203</v>
      </c>
      <c r="M147" s="123" t="s">
        <v>204</v>
      </c>
      <c r="N147" s="123" t="s">
        <v>205</v>
      </c>
      <c r="O147" s="123" t="s">
        <v>206</v>
      </c>
      <c r="P147" s="123" t="s">
        <v>207</v>
      </c>
      <c r="Q147" s="125" t="s">
        <v>208</v>
      </c>
      <c r="R147" s="124" t="s">
        <v>209</v>
      </c>
      <c r="S147" s="124" t="s">
        <v>210</v>
      </c>
      <c r="T147" s="124" t="s">
        <v>211</v>
      </c>
      <c r="U147" s="126" t="s">
        <v>212</v>
      </c>
      <c r="V147" s="123" t="s">
        <v>213</v>
      </c>
      <c r="W147" s="123" t="s">
        <v>214</v>
      </c>
      <c r="X147" s="123" t="s">
        <v>215</v>
      </c>
      <c r="Y147" s="125" t="s">
        <v>216</v>
      </c>
      <c r="Z147" s="124" t="s">
        <v>217</v>
      </c>
      <c r="AA147" s="124" t="s">
        <v>218</v>
      </c>
      <c r="AB147" s="124" t="s">
        <v>219</v>
      </c>
      <c r="AC147" s="123" t="s">
        <v>220</v>
      </c>
      <c r="AD147" s="123" t="s">
        <v>221</v>
      </c>
      <c r="AE147" s="123" t="s">
        <v>222</v>
      </c>
      <c r="AF147" s="123" t="s">
        <v>223</v>
      </c>
      <c r="AG147" s="124" t="s">
        <v>224</v>
      </c>
      <c r="AH147" s="124" t="s">
        <v>225</v>
      </c>
      <c r="AI147" s="124" t="s">
        <v>226</v>
      </c>
      <c r="AJ147" s="124" t="s">
        <v>227</v>
      </c>
      <c r="AK147" s="123" t="s">
        <v>228</v>
      </c>
      <c r="AL147" s="123" t="s">
        <v>229</v>
      </c>
      <c r="AM147" s="123" t="s">
        <v>230</v>
      </c>
      <c r="AN147" s="123" t="s">
        <v>231</v>
      </c>
      <c r="AO147" s="124" t="s">
        <v>232</v>
      </c>
      <c r="AP147" s="124" t="s">
        <v>233</v>
      </c>
      <c r="AQ147" s="124" t="s">
        <v>234</v>
      </c>
      <c r="AR147" s="124" t="s">
        <v>235</v>
      </c>
    </row>
    <row r="148" spans="1:44" ht="14.25" customHeight="1" x14ac:dyDescent="0.3">
      <c r="A148" s="127" t="s">
        <v>109</v>
      </c>
      <c r="B148" s="128">
        <v>6</v>
      </c>
      <c r="C148" s="128">
        <v>5</v>
      </c>
      <c r="D148" s="128">
        <v>3</v>
      </c>
      <c r="E148" s="128">
        <v>19</v>
      </c>
      <c r="F148" s="129">
        <v>95</v>
      </c>
      <c r="G148" s="128">
        <v>18</v>
      </c>
      <c r="H148" s="128">
        <v>19</v>
      </c>
      <c r="I148" s="128">
        <v>4</v>
      </c>
      <c r="J148" s="128">
        <v>1</v>
      </c>
      <c r="K148" s="130">
        <v>66</v>
      </c>
      <c r="L148" s="128">
        <v>8</v>
      </c>
      <c r="M148" s="128">
        <v>16</v>
      </c>
      <c r="N148" s="128">
        <v>16</v>
      </c>
      <c r="O148" s="128">
        <v>1</v>
      </c>
      <c r="P148" s="129">
        <v>57</v>
      </c>
      <c r="Q148" s="128">
        <v>16</v>
      </c>
      <c r="R148" s="128">
        <v>0</v>
      </c>
      <c r="S148" s="128">
        <v>1</v>
      </c>
      <c r="T148" s="130">
        <v>23</v>
      </c>
      <c r="U148" s="128">
        <v>10</v>
      </c>
      <c r="V148" s="128">
        <v>3</v>
      </c>
      <c r="W148" s="128">
        <v>2</v>
      </c>
      <c r="X148" s="129">
        <v>30</v>
      </c>
      <c r="Y148" s="128">
        <v>29</v>
      </c>
      <c r="Z148" s="128">
        <v>2</v>
      </c>
      <c r="AA148" s="128">
        <v>3</v>
      </c>
      <c r="AB148" s="130">
        <v>54</v>
      </c>
      <c r="AC148" s="128">
        <v>25</v>
      </c>
      <c r="AD148" s="128">
        <v>1</v>
      </c>
      <c r="AE148" s="128">
        <v>3</v>
      </c>
      <c r="AF148" s="129">
        <v>37</v>
      </c>
      <c r="AG148" s="128">
        <v>6</v>
      </c>
      <c r="AH148" s="128">
        <v>1</v>
      </c>
      <c r="AI148" s="128">
        <v>1</v>
      </c>
      <c r="AJ148" s="130">
        <v>14</v>
      </c>
      <c r="AK148" s="128">
        <v>2</v>
      </c>
      <c r="AL148" s="128">
        <v>1</v>
      </c>
      <c r="AM148" s="128">
        <v>0</v>
      </c>
      <c r="AN148" s="129">
        <v>7</v>
      </c>
      <c r="AO148" s="128">
        <v>26</v>
      </c>
      <c r="AP148" s="128">
        <v>2</v>
      </c>
      <c r="AQ148" s="128">
        <v>3</v>
      </c>
      <c r="AR148" s="130">
        <v>56</v>
      </c>
    </row>
    <row r="149" spans="1:44" ht="14.25" customHeight="1" x14ac:dyDescent="0.3">
      <c r="A149" s="131" t="s">
        <v>68</v>
      </c>
      <c r="B149" s="128">
        <v>0</v>
      </c>
      <c r="C149" s="128">
        <v>2</v>
      </c>
      <c r="D149" s="128">
        <v>0</v>
      </c>
      <c r="E149" s="128">
        <v>1</v>
      </c>
      <c r="F149" s="129">
        <v>7</v>
      </c>
      <c r="G149" s="128">
        <v>0</v>
      </c>
      <c r="H149" s="128">
        <v>0</v>
      </c>
      <c r="I149" s="128">
        <v>0</v>
      </c>
      <c r="J149" s="128">
        <v>0</v>
      </c>
      <c r="K149" s="130">
        <v>0</v>
      </c>
      <c r="L149" s="128">
        <v>1</v>
      </c>
      <c r="M149" s="128">
        <v>1</v>
      </c>
      <c r="N149" s="128">
        <v>1</v>
      </c>
      <c r="O149" s="128">
        <v>0</v>
      </c>
      <c r="P149" s="129">
        <v>4</v>
      </c>
      <c r="Q149" s="128">
        <v>5</v>
      </c>
      <c r="R149" s="128">
        <v>0</v>
      </c>
      <c r="S149" s="128">
        <v>0</v>
      </c>
      <c r="T149" s="130">
        <v>8</v>
      </c>
      <c r="U149" s="128">
        <v>0</v>
      </c>
      <c r="V149" s="128">
        <v>0</v>
      </c>
      <c r="W149" s="128">
        <v>0</v>
      </c>
      <c r="X149" s="129">
        <v>0</v>
      </c>
      <c r="Y149" s="128">
        <v>0</v>
      </c>
      <c r="Z149" s="128">
        <v>1</v>
      </c>
      <c r="AA149" s="128">
        <v>0</v>
      </c>
      <c r="AB149" s="130">
        <v>1</v>
      </c>
      <c r="AC149" s="128">
        <v>3</v>
      </c>
      <c r="AD149" s="128">
        <v>1</v>
      </c>
      <c r="AE149" s="128">
        <v>0</v>
      </c>
      <c r="AF149" s="129">
        <v>5</v>
      </c>
      <c r="AG149" s="128">
        <v>0</v>
      </c>
      <c r="AH149" s="128">
        <v>0</v>
      </c>
      <c r="AI149" s="128">
        <v>0</v>
      </c>
      <c r="AJ149" s="130">
        <v>1</v>
      </c>
      <c r="AK149" s="128">
        <v>0</v>
      </c>
      <c r="AL149" s="128">
        <v>0</v>
      </c>
      <c r="AM149" s="128">
        <v>0</v>
      </c>
      <c r="AN149" s="129">
        <v>0</v>
      </c>
      <c r="AO149" s="128">
        <v>3</v>
      </c>
      <c r="AP149" s="128">
        <v>0</v>
      </c>
      <c r="AQ149" s="128">
        <v>0</v>
      </c>
      <c r="AR149" s="130">
        <v>4</v>
      </c>
    </row>
    <row r="150" spans="1:44" ht="14.25" customHeight="1" x14ac:dyDescent="0.3">
      <c r="A150" s="131" t="s">
        <v>146</v>
      </c>
      <c r="B150" s="128">
        <v>0</v>
      </c>
      <c r="C150" s="128">
        <v>0</v>
      </c>
      <c r="D150" s="128">
        <v>0</v>
      </c>
      <c r="E150" s="128">
        <v>0</v>
      </c>
      <c r="F150" s="129">
        <v>0</v>
      </c>
      <c r="G150" s="128">
        <v>5</v>
      </c>
      <c r="H150" s="128">
        <v>7</v>
      </c>
      <c r="I150" s="128">
        <v>4</v>
      </c>
      <c r="J150" s="128">
        <v>1</v>
      </c>
      <c r="K150" s="130">
        <v>31</v>
      </c>
      <c r="L150" s="128">
        <v>0</v>
      </c>
      <c r="M150" s="128">
        <v>0</v>
      </c>
      <c r="N150" s="128">
        <v>0</v>
      </c>
      <c r="O150" s="128">
        <v>0</v>
      </c>
      <c r="P150" s="129">
        <v>0</v>
      </c>
      <c r="Q150" s="128">
        <v>0</v>
      </c>
      <c r="R150" s="128">
        <v>0</v>
      </c>
      <c r="S150" s="128">
        <v>0</v>
      </c>
      <c r="T150" s="130">
        <v>0</v>
      </c>
      <c r="U150" s="128">
        <v>0</v>
      </c>
      <c r="V150" s="128">
        <v>0</v>
      </c>
      <c r="W150" s="128">
        <v>0</v>
      </c>
      <c r="X150" s="129">
        <v>0</v>
      </c>
      <c r="Y150" s="128">
        <v>0</v>
      </c>
      <c r="Z150" s="128">
        <v>0</v>
      </c>
      <c r="AA150" s="128">
        <v>0</v>
      </c>
      <c r="AB150" s="130">
        <v>0</v>
      </c>
      <c r="AC150" s="128">
        <v>0</v>
      </c>
      <c r="AD150" s="128">
        <v>0</v>
      </c>
      <c r="AE150" s="128">
        <v>0</v>
      </c>
      <c r="AF150" s="129">
        <v>0</v>
      </c>
      <c r="AG150" s="128">
        <v>0</v>
      </c>
      <c r="AH150" s="128">
        <v>0</v>
      </c>
      <c r="AI150" s="128">
        <v>0</v>
      </c>
      <c r="AJ150" s="130">
        <v>0</v>
      </c>
      <c r="AK150" s="128">
        <v>0</v>
      </c>
      <c r="AL150" s="128">
        <v>0</v>
      </c>
      <c r="AM150" s="128">
        <v>0</v>
      </c>
      <c r="AN150" s="129">
        <v>0</v>
      </c>
      <c r="AO150" s="128">
        <v>0</v>
      </c>
      <c r="AP150" s="128">
        <v>0</v>
      </c>
      <c r="AQ150" s="128">
        <v>0</v>
      </c>
      <c r="AR150" s="130">
        <v>0</v>
      </c>
    </row>
    <row r="151" spans="1:44" ht="14.25" customHeight="1" x14ac:dyDescent="0.3">
      <c r="A151" s="131" t="s">
        <v>97</v>
      </c>
      <c r="B151" s="128">
        <v>0</v>
      </c>
      <c r="C151" s="128">
        <v>0</v>
      </c>
      <c r="D151" s="128">
        <v>0</v>
      </c>
      <c r="E151" s="128">
        <v>0</v>
      </c>
      <c r="F151" s="129">
        <v>1</v>
      </c>
      <c r="G151" s="128">
        <v>0</v>
      </c>
      <c r="H151" s="128">
        <v>0</v>
      </c>
      <c r="I151" s="128">
        <v>0</v>
      </c>
      <c r="J151" s="128">
        <v>0</v>
      </c>
      <c r="K151" s="130">
        <v>0</v>
      </c>
      <c r="L151" s="128">
        <v>0</v>
      </c>
      <c r="M151" s="128">
        <v>0</v>
      </c>
      <c r="N151" s="128">
        <v>0</v>
      </c>
      <c r="O151" s="128">
        <v>0</v>
      </c>
      <c r="P151" s="129">
        <v>0</v>
      </c>
      <c r="Q151" s="128">
        <v>0</v>
      </c>
      <c r="R151" s="128">
        <v>0</v>
      </c>
      <c r="S151" s="128">
        <v>0</v>
      </c>
      <c r="T151" s="130">
        <v>0</v>
      </c>
      <c r="U151" s="128">
        <v>0</v>
      </c>
      <c r="V151" s="128">
        <v>0</v>
      </c>
      <c r="W151" s="128">
        <v>0</v>
      </c>
      <c r="X151" s="129">
        <v>0</v>
      </c>
      <c r="Y151" s="128">
        <v>0</v>
      </c>
      <c r="Z151" s="128">
        <v>0</v>
      </c>
      <c r="AA151" s="128">
        <v>0</v>
      </c>
      <c r="AB151" s="130">
        <v>0</v>
      </c>
      <c r="AC151" s="128">
        <v>0</v>
      </c>
      <c r="AD151" s="128">
        <v>0</v>
      </c>
      <c r="AE151" s="128">
        <v>0</v>
      </c>
      <c r="AF151" s="129">
        <v>0</v>
      </c>
      <c r="AG151" s="128">
        <v>0</v>
      </c>
      <c r="AH151" s="128">
        <v>0</v>
      </c>
      <c r="AI151" s="128">
        <v>0</v>
      </c>
      <c r="AJ151" s="130">
        <v>0</v>
      </c>
      <c r="AK151" s="128">
        <v>0</v>
      </c>
      <c r="AL151" s="128">
        <v>0</v>
      </c>
      <c r="AM151" s="128">
        <v>0</v>
      </c>
      <c r="AN151" s="129">
        <v>0</v>
      </c>
      <c r="AO151" s="128">
        <v>0</v>
      </c>
      <c r="AP151" s="128">
        <v>0</v>
      </c>
      <c r="AQ151" s="128">
        <v>0</v>
      </c>
      <c r="AR151" s="130">
        <v>0</v>
      </c>
    </row>
    <row r="152" spans="1:44" ht="14.25" customHeight="1" x14ac:dyDescent="0.3">
      <c r="A152" s="131" t="s">
        <v>54</v>
      </c>
      <c r="B152" s="128">
        <v>3</v>
      </c>
      <c r="C152" s="128">
        <v>1</v>
      </c>
      <c r="D152" s="128">
        <v>1</v>
      </c>
      <c r="E152" s="128">
        <v>7</v>
      </c>
      <c r="F152" s="129">
        <v>19</v>
      </c>
      <c r="G152" s="128">
        <v>0</v>
      </c>
      <c r="H152" s="128">
        <v>0</v>
      </c>
      <c r="I152" s="128">
        <v>0</v>
      </c>
      <c r="J152" s="128">
        <v>0</v>
      </c>
      <c r="K152" s="130">
        <v>1</v>
      </c>
      <c r="L152" s="128">
        <v>1</v>
      </c>
      <c r="M152" s="128">
        <v>2</v>
      </c>
      <c r="N152" s="128">
        <v>7</v>
      </c>
      <c r="O152" s="128">
        <v>1</v>
      </c>
      <c r="P152" s="129">
        <v>17</v>
      </c>
      <c r="Q152" s="128">
        <v>0</v>
      </c>
      <c r="R152" s="128">
        <v>0</v>
      </c>
      <c r="S152" s="128">
        <v>0</v>
      </c>
      <c r="T152" s="130">
        <v>0</v>
      </c>
      <c r="U152" s="128">
        <v>4</v>
      </c>
      <c r="V152" s="128">
        <v>2</v>
      </c>
      <c r="W152" s="128">
        <v>0</v>
      </c>
      <c r="X152" s="129">
        <v>10</v>
      </c>
      <c r="Y152" s="128">
        <v>12</v>
      </c>
      <c r="Z152" s="128">
        <v>1</v>
      </c>
      <c r="AA152" s="128">
        <v>2</v>
      </c>
      <c r="AB152" s="130">
        <v>21</v>
      </c>
      <c r="AC152" s="128">
        <v>4</v>
      </c>
      <c r="AD152" s="128">
        <v>0</v>
      </c>
      <c r="AE152" s="128">
        <v>0</v>
      </c>
      <c r="AF152" s="129">
        <v>4</v>
      </c>
      <c r="AG152" s="128">
        <v>4</v>
      </c>
      <c r="AH152" s="128">
        <v>1</v>
      </c>
      <c r="AI152" s="128">
        <v>1</v>
      </c>
      <c r="AJ152" s="130">
        <v>8</v>
      </c>
      <c r="AK152" s="128">
        <v>0</v>
      </c>
      <c r="AL152" s="128">
        <v>1</v>
      </c>
      <c r="AM152" s="128">
        <v>0</v>
      </c>
      <c r="AN152" s="129">
        <v>2</v>
      </c>
      <c r="AO152" s="128">
        <v>8</v>
      </c>
      <c r="AP152" s="128">
        <v>1</v>
      </c>
      <c r="AQ152" s="128">
        <v>1</v>
      </c>
      <c r="AR152" s="130">
        <v>17</v>
      </c>
    </row>
    <row r="153" spans="1:44" ht="14.25" customHeight="1" x14ac:dyDescent="0.3">
      <c r="A153" s="131" t="s">
        <v>87</v>
      </c>
      <c r="B153" s="128">
        <v>0</v>
      </c>
      <c r="C153" s="128">
        <v>0</v>
      </c>
      <c r="D153" s="128">
        <v>0</v>
      </c>
      <c r="E153" s="128">
        <v>0</v>
      </c>
      <c r="F153" s="129">
        <v>0</v>
      </c>
      <c r="G153" s="128">
        <v>0</v>
      </c>
      <c r="H153" s="128">
        <v>0</v>
      </c>
      <c r="I153" s="128">
        <v>0</v>
      </c>
      <c r="J153" s="128">
        <v>0</v>
      </c>
      <c r="K153" s="130">
        <v>0</v>
      </c>
      <c r="L153" s="128">
        <v>0</v>
      </c>
      <c r="M153" s="128">
        <v>0</v>
      </c>
      <c r="N153" s="128">
        <v>0</v>
      </c>
      <c r="O153" s="128">
        <v>0</v>
      </c>
      <c r="P153" s="129">
        <v>0</v>
      </c>
      <c r="Q153" s="128">
        <v>0</v>
      </c>
      <c r="R153" s="128">
        <v>0</v>
      </c>
      <c r="S153" s="128">
        <v>0</v>
      </c>
      <c r="T153" s="130">
        <v>0</v>
      </c>
      <c r="U153" s="128">
        <v>0</v>
      </c>
      <c r="V153" s="128">
        <v>0</v>
      </c>
      <c r="W153" s="128">
        <v>0</v>
      </c>
      <c r="X153" s="129">
        <v>0</v>
      </c>
      <c r="Y153" s="128">
        <v>0</v>
      </c>
      <c r="Z153" s="128">
        <v>0</v>
      </c>
      <c r="AA153" s="128">
        <v>0</v>
      </c>
      <c r="AB153" s="130">
        <v>0</v>
      </c>
      <c r="AC153" s="128">
        <v>0</v>
      </c>
      <c r="AD153" s="128">
        <v>0</v>
      </c>
      <c r="AE153" s="128">
        <v>0</v>
      </c>
      <c r="AF153" s="129">
        <v>0</v>
      </c>
      <c r="AG153" s="128">
        <v>0</v>
      </c>
      <c r="AH153" s="128">
        <v>0</v>
      </c>
      <c r="AI153" s="128">
        <v>0</v>
      </c>
      <c r="AJ153" s="130">
        <v>0</v>
      </c>
      <c r="AK153" s="128">
        <v>0</v>
      </c>
      <c r="AL153" s="128">
        <v>0</v>
      </c>
      <c r="AM153" s="128">
        <v>0</v>
      </c>
      <c r="AN153" s="129">
        <v>0</v>
      </c>
      <c r="AO153" s="128">
        <v>0</v>
      </c>
      <c r="AP153" s="128">
        <v>0</v>
      </c>
      <c r="AQ153" s="128">
        <v>0</v>
      </c>
      <c r="AR153" s="130">
        <v>0</v>
      </c>
    </row>
    <row r="154" spans="1:44" ht="14.25" customHeight="1" x14ac:dyDescent="0.3">
      <c r="A154" s="131" t="s">
        <v>94</v>
      </c>
      <c r="B154" s="128">
        <v>0</v>
      </c>
      <c r="C154" s="128">
        <v>0</v>
      </c>
      <c r="D154" s="128">
        <v>1</v>
      </c>
      <c r="E154" s="128">
        <v>2</v>
      </c>
      <c r="F154" s="129">
        <v>18</v>
      </c>
      <c r="G154" s="128">
        <v>0</v>
      </c>
      <c r="H154" s="128">
        <v>0</v>
      </c>
      <c r="I154" s="128">
        <v>0</v>
      </c>
      <c r="J154" s="128">
        <v>0</v>
      </c>
      <c r="K154" s="130">
        <v>2</v>
      </c>
      <c r="L154" s="128">
        <v>1</v>
      </c>
      <c r="M154" s="128">
        <v>6</v>
      </c>
      <c r="N154" s="128">
        <v>3</v>
      </c>
      <c r="O154" s="128">
        <v>0</v>
      </c>
      <c r="P154" s="129">
        <v>12</v>
      </c>
      <c r="Q154" s="128">
        <v>0</v>
      </c>
      <c r="R154" s="128">
        <v>0</v>
      </c>
      <c r="S154" s="128">
        <v>0</v>
      </c>
      <c r="T154" s="130">
        <v>0</v>
      </c>
      <c r="U154" s="128">
        <v>0</v>
      </c>
      <c r="V154" s="128">
        <v>0</v>
      </c>
      <c r="W154" s="128">
        <v>0</v>
      </c>
      <c r="X154" s="129">
        <v>0</v>
      </c>
      <c r="Y154" s="128">
        <v>0</v>
      </c>
      <c r="Z154" s="128">
        <v>0</v>
      </c>
      <c r="AA154" s="128">
        <v>0</v>
      </c>
      <c r="AB154" s="130">
        <v>0</v>
      </c>
      <c r="AC154" s="128">
        <v>1</v>
      </c>
      <c r="AD154" s="128">
        <v>0</v>
      </c>
      <c r="AE154" s="128">
        <v>0</v>
      </c>
      <c r="AF154" s="129">
        <v>1</v>
      </c>
      <c r="AG154" s="128">
        <v>0</v>
      </c>
      <c r="AH154" s="128">
        <v>0</v>
      </c>
      <c r="AI154" s="128">
        <v>0</v>
      </c>
      <c r="AJ154" s="130">
        <v>0</v>
      </c>
      <c r="AK154" s="128">
        <v>0</v>
      </c>
      <c r="AL154" s="128">
        <v>0</v>
      </c>
      <c r="AM154" s="128">
        <v>0</v>
      </c>
      <c r="AN154" s="129">
        <v>0</v>
      </c>
      <c r="AO154" s="128">
        <v>0</v>
      </c>
      <c r="AP154" s="128">
        <v>0</v>
      </c>
      <c r="AQ154" s="128">
        <v>0</v>
      </c>
      <c r="AR154" s="130">
        <v>0</v>
      </c>
    </row>
    <row r="155" spans="1:44" ht="14.25" customHeight="1" x14ac:dyDescent="0.3">
      <c r="A155" s="131" t="s">
        <v>98</v>
      </c>
      <c r="B155" s="128">
        <v>0</v>
      </c>
      <c r="C155" s="128">
        <v>0</v>
      </c>
      <c r="D155" s="128">
        <v>0</v>
      </c>
      <c r="E155" s="128">
        <v>0</v>
      </c>
      <c r="F155" s="129">
        <v>0</v>
      </c>
      <c r="G155" s="128">
        <v>0</v>
      </c>
      <c r="H155" s="128">
        <v>0</v>
      </c>
      <c r="I155" s="128">
        <v>0</v>
      </c>
      <c r="J155" s="128">
        <v>0</v>
      </c>
      <c r="K155" s="130">
        <v>0</v>
      </c>
      <c r="L155" s="128">
        <v>0</v>
      </c>
      <c r="M155" s="128">
        <v>0</v>
      </c>
      <c r="N155" s="128">
        <v>0</v>
      </c>
      <c r="O155" s="128">
        <v>0</v>
      </c>
      <c r="P155" s="129">
        <v>0</v>
      </c>
      <c r="Q155" s="128">
        <v>0</v>
      </c>
      <c r="R155" s="128">
        <v>0</v>
      </c>
      <c r="S155" s="128">
        <v>0</v>
      </c>
      <c r="T155" s="130">
        <v>0</v>
      </c>
      <c r="U155" s="128">
        <v>0</v>
      </c>
      <c r="V155" s="128">
        <v>0</v>
      </c>
      <c r="W155" s="128">
        <v>0</v>
      </c>
      <c r="X155" s="129">
        <v>0</v>
      </c>
      <c r="Y155" s="128">
        <v>0</v>
      </c>
      <c r="Z155" s="128">
        <v>0</v>
      </c>
      <c r="AA155" s="128">
        <v>0</v>
      </c>
      <c r="AB155" s="130">
        <v>0</v>
      </c>
      <c r="AC155" s="128">
        <v>0</v>
      </c>
      <c r="AD155" s="128">
        <v>0</v>
      </c>
      <c r="AE155" s="128">
        <v>0</v>
      </c>
      <c r="AF155" s="129">
        <v>0</v>
      </c>
      <c r="AG155" s="128">
        <v>0</v>
      </c>
      <c r="AH155" s="128">
        <v>0</v>
      </c>
      <c r="AI155" s="128">
        <v>0</v>
      </c>
      <c r="AJ155" s="130">
        <v>0</v>
      </c>
      <c r="AK155" s="128">
        <v>0</v>
      </c>
      <c r="AL155" s="128">
        <v>0</v>
      </c>
      <c r="AM155" s="128">
        <v>0</v>
      </c>
      <c r="AN155" s="129">
        <v>0</v>
      </c>
      <c r="AO155" s="128">
        <v>0</v>
      </c>
      <c r="AP155" s="128">
        <v>0</v>
      </c>
      <c r="AQ155" s="128">
        <v>0</v>
      </c>
      <c r="AR155" s="130">
        <v>0</v>
      </c>
    </row>
    <row r="156" spans="1:44" ht="14.25" customHeight="1" x14ac:dyDescent="0.3">
      <c r="A156" s="131" t="s">
        <v>86</v>
      </c>
      <c r="B156" s="128">
        <v>2</v>
      </c>
      <c r="C156" s="128">
        <v>1</v>
      </c>
      <c r="D156" s="128">
        <v>1</v>
      </c>
      <c r="E156" s="128">
        <v>7</v>
      </c>
      <c r="F156" s="129">
        <v>17</v>
      </c>
      <c r="G156" s="128">
        <v>7</v>
      </c>
      <c r="H156" s="128">
        <v>4</v>
      </c>
      <c r="I156" s="128">
        <v>0</v>
      </c>
      <c r="J156" s="128">
        <v>0</v>
      </c>
      <c r="K156" s="130">
        <v>13</v>
      </c>
      <c r="L156" s="128">
        <v>1</v>
      </c>
      <c r="M156" s="128">
        <v>4</v>
      </c>
      <c r="N156" s="128">
        <v>3</v>
      </c>
      <c r="O156" s="128">
        <v>0</v>
      </c>
      <c r="P156" s="129">
        <v>9</v>
      </c>
      <c r="Q156" s="128">
        <v>0</v>
      </c>
      <c r="R156" s="128">
        <v>0</v>
      </c>
      <c r="S156" s="128">
        <v>0</v>
      </c>
      <c r="T156" s="130">
        <v>0</v>
      </c>
      <c r="U156" s="128">
        <v>4</v>
      </c>
      <c r="V156" s="128">
        <v>0</v>
      </c>
      <c r="W156" s="128">
        <v>2</v>
      </c>
      <c r="X156" s="129">
        <v>11</v>
      </c>
      <c r="Y156" s="128">
        <v>9</v>
      </c>
      <c r="Z156" s="128">
        <v>0</v>
      </c>
      <c r="AA156" s="128">
        <v>0</v>
      </c>
      <c r="AB156" s="130">
        <v>15</v>
      </c>
      <c r="AC156" s="128">
        <v>6</v>
      </c>
      <c r="AD156" s="128">
        <v>0</v>
      </c>
      <c r="AE156" s="128">
        <v>1</v>
      </c>
      <c r="AF156" s="129">
        <v>11</v>
      </c>
      <c r="AG156" s="128">
        <v>1</v>
      </c>
      <c r="AH156" s="128">
        <v>0</v>
      </c>
      <c r="AI156" s="128">
        <v>0</v>
      </c>
      <c r="AJ156" s="130">
        <v>2</v>
      </c>
      <c r="AK156" s="128">
        <v>1</v>
      </c>
      <c r="AL156" s="128">
        <v>0</v>
      </c>
      <c r="AM156" s="128">
        <v>0</v>
      </c>
      <c r="AN156" s="129">
        <v>3</v>
      </c>
      <c r="AO156" s="128">
        <v>6</v>
      </c>
      <c r="AP156" s="128">
        <v>0</v>
      </c>
      <c r="AQ156" s="128">
        <v>2</v>
      </c>
      <c r="AR156" s="130">
        <v>14</v>
      </c>
    </row>
    <row r="157" spans="1:44" ht="14.25" customHeight="1" x14ac:dyDescent="0.3">
      <c r="A157" s="131" t="s">
        <v>144</v>
      </c>
      <c r="B157" s="128">
        <v>0</v>
      </c>
      <c r="C157" s="128">
        <v>0</v>
      </c>
      <c r="D157" s="128">
        <v>0</v>
      </c>
      <c r="E157" s="128">
        <v>0</v>
      </c>
      <c r="F157" s="129">
        <v>0</v>
      </c>
      <c r="G157" s="128">
        <v>0</v>
      </c>
      <c r="H157" s="128">
        <v>0</v>
      </c>
      <c r="I157" s="128">
        <v>0</v>
      </c>
      <c r="J157" s="128">
        <v>0</v>
      </c>
      <c r="K157" s="130">
        <v>0</v>
      </c>
      <c r="L157" s="128">
        <v>0</v>
      </c>
      <c r="M157" s="128">
        <v>0</v>
      </c>
      <c r="N157" s="128">
        <v>0</v>
      </c>
      <c r="O157" s="128">
        <v>0</v>
      </c>
      <c r="P157" s="129">
        <v>0</v>
      </c>
      <c r="Q157" s="128">
        <v>0</v>
      </c>
      <c r="R157" s="128">
        <v>0</v>
      </c>
      <c r="S157" s="128">
        <v>0</v>
      </c>
      <c r="T157" s="130">
        <v>0</v>
      </c>
      <c r="U157" s="128">
        <v>0</v>
      </c>
      <c r="V157" s="128">
        <v>0</v>
      </c>
      <c r="W157" s="128">
        <v>0</v>
      </c>
      <c r="X157" s="129">
        <v>0</v>
      </c>
      <c r="Y157" s="128">
        <v>0</v>
      </c>
      <c r="Z157" s="128">
        <v>0</v>
      </c>
      <c r="AA157" s="128">
        <v>0</v>
      </c>
      <c r="AB157" s="130">
        <v>0</v>
      </c>
      <c r="AC157" s="128">
        <v>0</v>
      </c>
      <c r="AD157" s="128">
        <v>0</v>
      </c>
      <c r="AE157" s="128">
        <v>0</v>
      </c>
      <c r="AF157" s="129">
        <v>0</v>
      </c>
      <c r="AG157" s="128">
        <v>0</v>
      </c>
      <c r="AH157" s="128">
        <v>0</v>
      </c>
      <c r="AI157" s="128">
        <v>0</v>
      </c>
      <c r="AJ157" s="130">
        <v>0</v>
      </c>
      <c r="AK157" s="128">
        <v>0</v>
      </c>
      <c r="AL157" s="128">
        <v>0</v>
      </c>
      <c r="AM157" s="128">
        <v>0</v>
      </c>
      <c r="AN157" s="129">
        <v>0</v>
      </c>
      <c r="AO157" s="128">
        <v>0</v>
      </c>
      <c r="AP157" s="128">
        <v>0</v>
      </c>
      <c r="AQ157" s="128">
        <v>0</v>
      </c>
      <c r="AR157" s="130">
        <v>0</v>
      </c>
    </row>
    <row r="158" spans="1:44" ht="14.25" customHeight="1" x14ac:dyDescent="0.3">
      <c r="A158" s="131" t="s">
        <v>88</v>
      </c>
      <c r="B158" s="128">
        <v>0</v>
      </c>
      <c r="C158" s="128">
        <v>0</v>
      </c>
      <c r="D158" s="128">
        <v>0</v>
      </c>
      <c r="E158" s="128">
        <v>0</v>
      </c>
      <c r="F158" s="129">
        <v>1</v>
      </c>
      <c r="G158" s="128">
        <v>1</v>
      </c>
      <c r="H158" s="128">
        <v>0</v>
      </c>
      <c r="I158" s="128">
        <v>0</v>
      </c>
      <c r="J158" s="128">
        <v>0</v>
      </c>
      <c r="K158" s="130">
        <v>2</v>
      </c>
      <c r="L158" s="128">
        <v>0</v>
      </c>
      <c r="M158" s="128">
        <v>0</v>
      </c>
      <c r="N158" s="128">
        <v>0</v>
      </c>
      <c r="O158" s="128">
        <v>0</v>
      </c>
      <c r="P158" s="129">
        <v>0</v>
      </c>
      <c r="Q158" s="128">
        <v>0</v>
      </c>
      <c r="R158" s="128">
        <v>0</v>
      </c>
      <c r="S158" s="128">
        <v>0</v>
      </c>
      <c r="T158" s="130">
        <v>0</v>
      </c>
      <c r="U158" s="128">
        <v>0</v>
      </c>
      <c r="V158" s="128">
        <v>0</v>
      </c>
      <c r="W158" s="128">
        <v>0</v>
      </c>
      <c r="X158" s="129">
        <v>0</v>
      </c>
      <c r="Y158" s="128">
        <v>0</v>
      </c>
      <c r="Z158" s="128">
        <v>0</v>
      </c>
      <c r="AA158" s="128">
        <v>0</v>
      </c>
      <c r="AB158" s="130">
        <v>0</v>
      </c>
      <c r="AC158" s="128">
        <v>0</v>
      </c>
      <c r="AD158" s="128">
        <v>0</v>
      </c>
      <c r="AE158" s="128">
        <v>0</v>
      </c>
      <c r="AF158" s="129">
        <v>0</v>
      </c>
      <c r="AG158" s="128">
        <v>0</v>
      </c>
      <c r="AH158" s="128">
        <v>0</v>
      </c>
      <c r="AI158" s="128">
        <v>0</v>
      </c>
      <c r="AJ158" s="130">
        <v>0</v>
      </c>
      <c r="AK158" s="128">
        <v>0</v>
      </c>
      <c r="AL158" s="128">
        <v>0</v>
      </c>
      <c r="AM158" s="128">
        <v>0</v>
      </c>
      <c r="AN158" s="129">
        <v>0</v>
      </c>
      <c r="AO158" s="128">
        <v>0</v>
      </c>
      <c r="AP158" s="128">
        <v>0</v>
      </c>
      <c r="AQ158" s="128">
        <v>0</v>
      </c>
      <c r="AR158" s="130">
        <v>0</v>
      </c>
    </row>
    <row r="159" spans="1:44" ht="14.25" customHeight="1" x14ac:dyDescent="0.3">
      <c r="A159" s="131" t="s">
        <v>85</v>
      </c>
      <c r="B159" s="128">
        <v>0</v>
      </c>
      <c r="C159" s="128">
        <v>0</v>
      </c>
      <c r="D159" s="128">
        <v>0</v>
      </c>
      <c r="E159" s="128">
        <v>1</v>
      </c>
      <c r="F159" s="129">
        <v>14</v>
      </c>
      <c r="G159" s="128">
        <v>4</v>
      </c>
      <c r="H159" s="128">
        <v>8</v>
      </c>
      <c r="I159" s="128">
        <v>0</v>
      </c>
      <c r="J159" s="128">
        <v>0</v>
      </c>
      <c r="K159" s="130">
        <v>15</v>
      </c>
      <c r="L159" s="128">
        <v>1</v>
      </c>
      <c r="M159" s="128">
        <v>0</v>
      </c>
      <c r="N159" s="128">
        <v>2</v>
      </c>
      <c r="O159" s="128">
        <v>0</v>
      </c>
      <c r="P159" s="129">
        <v>3</v>
      </c>
      <c r="Q159" s="128">
        <v>0</v>
      </c>
      <c r="R159" s="128">
        <v>0</v>
      </c>
      <c r="S159" s="128">
        <v>0</v>
      </c>
      <c r="T159" s="130">
        <v>0</v>
      </c>
      <c r="U159" s="128">
        <v>2</v>
      </c>
      <c r="V159" s="128">
        <v>1</v>
      </c>
      <c r="W159" s="128">
        <v>0</v>
      </c>
      <c r="X159" s="129">
        <v>9</v>
      </c>
      <c r="Y159" s="128">
        <v>8</v>
      </c>
      <c r="Z159" s="128">
        <v>0</v>
      </c>
      <c r="AA159" s="128">
        <v>1</v>
      </c>
      <c r="AB159" s="130">
        <v>17</v>
      </c>
      <c r="AC159" s="128">
        <v>4</v>
      </c>
      <c r="AD159" s="128">
        <v>0</v>
      </c>
      <c r="AE159" s="128">
        <v>1</v>
      </c>
      <c r="AF159" s="129">
        <v>7</v>
      </c>
      <c r="AG159" s="128">
        <v>1</v>
      </c>
      <c r="AH159" s="128">
        <v>0</v>
      </c>
      <c r="AI159" s="128">
        <v>0</v>
      </c>
      <c r="AJ159" s="130">
        <v>2</v>
      </c>
      <c r="AK159" s="128">
        <v>1</v>
      </c>
      <c r="AL159" s="128">
        <v>0</v>
      </c>
      <c r="AM159" s="128">
        <v>0</v>
      </c>
      <c r="AN159" s="129">
        <v>2</v>
      </c>
      <c r="AO159" s="128">
        <v>5</v>
      </c>
      <c r="AP159" s="128">
        <v>1</v>
      </c>
      <c r="AQ159" s="128">
        <v>0</v>
      </c>
      <c r="AR159" s="130">
        <v>16</v>
      </c>
    </row>
    <row r="160" spans="1:44" ht="14.25" customHeight="1" x14ac:dyDescent="0.3">
      <c r="A160" s="132" t="s">
        <v>67</v>
      </c>
      <c r="B160" s="133">
        <v>1</v>
      </c>
      <c r="C160" s="133">
        <v>1</v>
      </c>
      <c r="D160" s="133">
        <v>0</v>
      </c>
      <c r="E160" s="133">
        <v>0</v>
      </c>
      <c r="F160" s="134">
        <v>13</v>
      </c>
      <c r="G160" s="133">
        <v>0</v>
      </c>
      <c r="H160" s="133">
        <v>0</v>
      </c>
      <c r="I160" s="133">
        <v>0</v>
      </c>
      <c r="J160" s="133">
        <v>0</v>
      </c>
      <c r="K160" s="135">
        <v>0</v>
      </c>
      <c r="L160" s="133">
        <v>1</v>
      </c>
      <c r="M160" s="133">
        <v>2</v>
      </c>
      <c r="N160" s="133">
        <v>0</v>
      </c>
      <c r="O160" s="133">
        <v>0</v>
      </c>
      <c r="P160" s="134">
        <v>5</v>
      </c>
      <c r="Q160" s="133">
        <v>6</v>
      </c>
      <c r="R160" s="133">
        <v>0</v>
      </c>
      <c r="S160" s="133">
        <v>1</v>
      </c>
      <c r="T160" s="135">
        <v>9</v>
      </c>
      <c r="U160" s="133">
        <v>0</v>
      </c>
      <c r="V160" s="133">
        <v>0</v>
      </c>
      <c r="W160" s="133">
        <v>0</v>
      </c>
      <c r="X160" s="134">
        <v>0</v>
      </c>
      <c r="Y160" s="133">
        <v>0</v>
      </c>
      <c r="Z160" s="133">
        <v>0</v>
      </c>
      <c r="AA160" s="133">
        <v>0</v>
      </c>
      <c r="AB160" s="135">
        <v>0</v>
      </c>
      <c r="AC160" s="133">
        <v>4</v>
      </c>
      <c r="AD160" s="133">
        <v>0</v>
      </c>
      <c r="AE160" s="133">
        <v>1</v>
      </c>
      <c r="AF160" s="134">
        <v>6</v>
      </c>
      <c r="AG160" s="133">
        <v>0</v>
      </c>
      <c r="AH160" s="133">
        <v>0</v>
      </c>
      <c r="AI160" s="133">
        <v>0</v>
      </c>
      <c r="AJ160" s="135">
        <v>0</v>
      </c>
      <c r="AK160" s="133">
        <v>0</v>
      </c>
      <c r="AL160" s="133">
        <v>0</v>
      </c>
      <c r="AM160" s="133">
        <v>0</v>
      </c>
      <c r="AN160" s="134">
        <v>0</v>
      </c>
      <c r="AO160" s="133">
        <v>2</v>
      </c>
      <c r="AP160" s="133">
        <v>0</v>
      </c>
      <c r="AQ160" s="133">
        <v>0</v>
      </c>
      <c r="AR160" s="135">
        <v>3</v>
      </c>
    </row>
    <row r="161" spans="1:44" ht="14.25" customHeight="1" x14ac:dyDescent="0.3">
      <c r="A161" s="131" t="s">
        <v>69</v>
      </c>
      <c r="B161" s="128">
        <v>0</v>
      </c>
      <c r="C161" s="128">
        <v>0</v>
      </c>
      <c r="D161" s="128">
        <v>0</v>
      </c>
      <c r="E161" s="128">
        <v>0</v>
      </c>
      <c r="F161" s="129">
        <v>0</v>
      </c>
      <c r="G161" s="128">
        <v>0</v>
      </c>
      <c r="H161" s="128">
        <v>0</v>
      </c>
      <c r="I161" s="128">
        <v>0</v>
      </c>
      <c r="J161" s="128">
        <v>0</v>
      </c>
      <c r="K161" s="130">
        <v>0</v>
      </c>
      <c r="L161" s="128">
        <v>0</v>
      </c>
      <c r="M161" s="128">
        <v>0</v>
      </c>
      <c r="N161" s="128">
        <v>0</v>
      </c>
      <c r="O161" s="128">
        <v>0</v>
      </c>
      <c r="P161" s="129">
        <v>0</v>
      </c>
      <c r="Q161" s="128">
        <v>0</v>
      </c>
      <c r="R161" s="128">
        <v>0</v>
      </c>
      <c r="S161" s="128">
        <v>0</v>
      </c>
      <c r="T161" s="130">
        <v>0</v>
      </c>
      <c r="U161" s="128">
        <v>0</v>
      </c>
      <c r="V161" s="128">
        <v>0</v>
      </c>
      <c r="W161" s="128">
        <v>0</v>
      </c>
      <c r="X161" s="129">
        <v>0</v>
      </c>
      <c r="Y161" s="128">
        <v>0</v>
      </c>
      <c r="Z161" s="128">
        <v>0</v>
      </c>
      <c r="AA161" s="128">
        <v>0</v>
      </c>
      <c r="AB161" s="130">
        <v>0</v>
      </c>
      <c r="AC161" s="128">
        <v>0</v>
      </c>
      <c r="AD161" s="128">
        <v>0</v>
      </c>
      <c r="AE161" s="128">
        <v>0</v>
      </c>
      <c r="AF161" s="129">
        <v>0</v>
      </c>
      <c r="AG161" s="128">
        <v>0</v>
      </c>
      <c r="AH161" s="128">
        <v>0</v>
      </c>
      <c r="AI161" s="128">
        <v>0</v>
      </c>
      <c r="AJ161" s="130">
        <v>0</v>
      </c>
      <c r="AK161" s="128">
        <v>0</v>
      </c>
      <c r="AL161" s="128">
        <v>0</v>
      </c>
      <c r="AM161" s="128">
        <v>0</v>
      </c>
      <c r="AN161" s="129">
        <v>0</v>
      </c>
      <c r="AO161" s="128">
        <v>0</v>
      </c>
      <c r="AP161" s="128">
        <v>0</v>
      </c>
      <c r="AQ161" s="128">
        <v>0</v>
      </c>
      <c r="AR161" s="130">
        <v>0</v>
      </c>
    </row>
    <row r="162" spans="1:44" ht="14.25" customHeight="1" x14ac:dyDescent="0.3">
      <c r="A162" s="131" t="s">
        <v>66</v>
      </c>
      <c r="B162" s="128">
        <v>0</v>
      </c>
      <c r="C162" s="128">
        <v>0</v>
      </c>
      <c r="D162" s="128">
        <v>0</v>
      </c>
      <c r="E162" s="128">
        <v>0</v>
      </c>
      <c r="F162" s="129">
        <v>0</v>
      </c>
      <c r="G162" s="128">
        <v>0</v>
      </c>
      <c r="H162" s="128">
        <v>0</v>
      </c>
      <c r="I162" s="128">
        <v>0</v>
      </c>
      <c r="J162" s="128">
        <v>0</v>
      </c>
      <c r="K162" s="130">
        <v>0</v>
      </c>
      <c r="L162" s="128">
        <v>0</v>
      </c>
      <c r="M162" s="128">
        <v>0</v>
      </c>
      <c r="N162" s="128">
        <v>0</v>
      </c>
      <c r="O162" s="128">
        <v>0</v>
      </c>
      <c r="P162" s="129">
        <v>0</v>
      </c>
      <c r="Q162" s="128">
        <v>0</v>
      </c>
      <c r="R162" s="128">
        <v>0</v>
      </c>
      <c r="S162" s="128">
        <v>0</v>
      </c>
      <c r="T162" s="130">
        <v>0</v>
      </c>
      <c r="U162" s="128">
        <v>0</v>
      </c>
      <c r="V162" s="128">
        <v>0</v>
      </c>
      <c r="W162" s="128">
        <v>0</v>
      </c>
      <c r="X162" s="129">
        <v>0</v>
      </c>
      <c r="Y162" s="128">
        <v>0</v>
      </c>
      <c r="Z162" s="128">
        <v>0</v>
      </c>
      <c r="AA162" s="128">
        <v>0</v>
      </c>
      <c r="AB162" s="130">
        <v>0</v>
      </c>
      <c r="AC162" s="128">
        <v>0</v>
      </c>
      <c r="AD162" s="128">
        <v>0</v>
      </c>
      <c r="AE162" s="128">
        <v>0</v>
      </c>
      <c r="AF162" s="129">
        <v>0</v>
      </c>
      <c r="AG162" s="128">
        <v>0</v>
      </c>
      <c r="AH162" s="128">
        <v>0</v>
      </c>
      <c r="AI162" s="128">
        <v>0</v>
      </c>
      <c r="AJ162" s="130">
        <v>0</v>
      </c>
      <c r="AK162" s="128">
        <v>0</v>
      </c>
      <c r="AL162" s="128">
        <v>0</v>
      </c>
      <c r="AM162" s="128">
        <v>0</v>
      </c>
      <c r="AN162" s="129">
        <v>0</v>
      </c>
      <c r="AO162" s="128">
        <v>0</v>
      </c>
      <c r="AP162" s="128">
        <v>0</v>
      </c>
      <c r="AQ162" s="128">
        <v>0</v>
      </c>
      <c r="AR162" s="130">
        <v>0</v>
      </c>
    </row>
    <row r="163" spans="1:44" ht="14.25" customHeight="1" x14ac:dyDescent="0.3">
      <c r="A163" s="131" t="s">
        <v>110</v>
      </c>
      <c r="B163" s="128">
        <v>0</v>
      </c>
      <c r="C163" s="128">
        <v>0</v>
      </c>
      <c r="D163" s="128">
        <v>0</v>
      </c>
      <c r="E163" s="128">
        <v>0</v>
      </c>
      <c r="F163" s="129">
        <v>0</v>
      </c>
      <c r="G163" s="128">
        <v>0</v>
      </c>
      <c r="H163" s="128">
        <v>0</v>
      </c>
      <c r="I163" s="128">
        <v>0</v>
      </c>
      <c r="J163" s="128">
        <v>0</v>
      </c>
      <c r="K163" s="130">
        <v>0</v>
      </c>
      <c r="L163" s="128">
        <v>0</v>
      </c>
      <c r="M163" s="128">
        <v>0</v>
      </c>
      <c r="N163" s="128">
        <v>0</v>
      </c>
      <c r="O163" s="128">
        <v>0</v>
      </c>
      <c r="P163" s="129">
        <v>0</v>
      </c>
      <c r="Q163" s="128">
        <v>0</v>
      </c>
      <c r="R163" s="128">
        <v>0</v>
      </c>
      <c r="S163" s="128">
        <v>0</v>
      </c>
      <c r="T163" s="130">
        <v>0</v>
      </c>
      <c r="U163" s="128">
        <v>0</v>
      </c>
      <c r="V163" s="128">
        <v>0</v>
      </c>
      <c r="W163" s="128">
        <v>0</v>
      </c>
      <c r="X163" s="129">
        <v>0</v>
      </c>
      <c r="Y163" s="128">
        <v>0</v>
      </c>
      <c r="Z163" s="128">
        <v>0</v>
      </c>
      <c r="AA163" s="128">
        <v>0</v>
      </c>
      <c r="AB163" s="130">
        <v>0</v>
      </c>
      <c r="AC163" s="128">
        <v>0</v>
      </c>
      <c r="AD163" s="128">
        <v>0</v>
      </c>
      <c r="AE163" s="128">
        <v>0</v>
      </c>
      <c r="AF163" s="129">
        <v>0</v>
      </c>
      <c r="AG163" s="128">
        <v>0</v>
      </c>
      <c r="AH163" s="128">
        <v>0</v>
      </c>
      <c r="AI163" s="128">
        <v>0</v>
      </c>
      <c r="AJ163" s="130">
        <v>0</v>
      </c>
      <c r="AK163" s="128">
        <v>0</v>
      </c>
      <c r="AL163" s="128">
        <v>0</v>
      </c>
      <c r="AM163" s="128">
        <v>0</v>
      </c>
      <c r="AN163" s="129">
        <v>0</v>
      </c>
      <c r="AO163" s="128">
        <v>0</v>
      </c>
      <c r="AP163" s="128">
        <v>0</v>
      </c>
      <c r="AQ163" s="128">
        <v>0</v>
      </c>
      <c r="AR163" s="130">
        <v>0</v>
      </c>
    </row>
  </sheetData>
  <mergeCells count="25">
    <mergeCell ref="T80:Y80"/>
    <mergeCell ref="A1:BH1"/>
    <mergeCell ref="AW4:AW5"/>
    <mergeCell ref="A66:L66"/>
    <mergeCell ref="M12:M13"/>
    <mergeCell ref="N80:S80"/>
    <mergeCell ref="Y12:Y13"/>
    <mergeCell ref="AW12:AW13"/>
    <mergeCell ref="M4:M5"/>
    <mergeCell ref="A146:K146"/>
    <mergeCell ref="A2:L2"/>
    <mergeCell ref="A88:K88"/>
    <mergeCell ref="G80:L80"/>
    <mergeCell ref="A12:A13"/>
    <mergeCell ref="A35:L35"/>
    <mergeCell ref="A20:L20"/>
    <mergeCell ref="A4:A5"/>
    <mergeCell ref="A127:L127"/>
    <mergeCell ref="A80:F80"/>
    <mergeCell ref="BJ2:BS2"/>
    <mergeCell ref="Y4:Y5"/>
    <mergeCell ref="N66:Y66"/>
    <mergeCell ref="AK4:AK5"/>
    <mergeCell ref="BJ17:BS17"/>
    <mergeCell ref="AK12:AK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63"/>
  <sheetViews>
    <sheetView topLeftCell="A126" zoomScaleNormal="100" workbookViewId="0">
      <selection activeCell="A147" sqref="A147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customWidth="1"/>
    <col min="69" max="69" width="17.6640625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65" t="s">
        <v>236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1:71" ht="27.75" customHeight="1" x14ac:dyDescent="0.3">
      <c r="A2" s="156" t="s">
        <v>237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BJ2" s="150" t="s">
        <v>44</v>
      </c>
      <c r="BK2" s="151"/>
      <c r="BL2" s="151"/>
      <c r="BM2" s="151"/>
      <c r="BN2" s="151"/>
      <c r="BO2" s="151"/>
      <c r="BP2" s="151"/>
      <c r="BQ2" s="151"/>
      <c r="BR2" s="151"/>
      <c r="BS2" s="151"/>
    </row>
    <row r="3" spans="1:71" ht="24" customHeight="1" x14ac:dyDescent="0.3">
      <c r="BJ3" s="9" t="s">
        <v>26</v>
      </c>
      <c r="BK3" s="9" t="s">
        <v>45</v>
      </c>
      <c r="BL3" s="9" t="s">
        <v>46</v>
      </c>
      <c r="BM3" s="9" t="s">
        <v>47</v>
      </c>
      <c r="BN3" s="9" t="s">
        <v>48</v>
      </c>
      <c r="BO3" s="9" t="s">
        <v>49</v>
      </c>
      <c r="BP3" s="9" t="s">
        <v>50</v>
      </c>
      <c r="BQ3" s="9" t="s">
        <v>51</v>
      </c>
      <c r="BR3" s="9" t="s">
        <v>52</v>
      </c>
      <c r="BS3" s="9" t="s">
        <v>53</v>
      </c>
    </row>
    <row r="4" spans="1:71" ht="25.5" customHeight="1" x14ac:dyDescent="0.3">
      <c r="A4" s="152" t="s">
        <v>54</v>
      </c>
      <c r="B4" s="11" t="s">
        <v>55</v>
      </c>
      <c r="C4" s="12" t="s">
        <v>56</v>
      </c>
      <c r="D4" s="12" t="s">
        <v>57</v>
      </c>
      <c r="E4" s="12" t="s">
        <v>58</v>
      </c>
      <c r="F4" s="12" t="s">
        <v>59</v>
      </c>
      <c r="G4" s="12" t="s">
        <v>60</v>
      </c>
      <c r="H4" s="12" t="s">
        <v>61</v>
      </c>
      <c r="I4" s="12" t="s">
        <v>62</v>
      </c>
      <c r="J4" s="12" t="s">
        <v>63</v>
      </c>
      <c r="K4" s="12" t="s">
        <v>64</v>
      </c>
      <c r="L4" s="12" t="s">
        <v>65</v>
      </c>
      <c r="M4" s="161" t="s">
        <v>66</v>
      </c>
      <c r="N4" s="11" t="s">
        <v>55</v>
      </c>
      <c r="O4" s="12" t="s">
        <v>56</v>
      </c>
      <c r="P4" s="12" t="s">
        <v>57</v>
      </c>
      <c r="Q4" s="12" t="s">
        <v>58</v>
      </c>
      <c r="R4" s="12" t="s">
        <v>59</v>
      </c>
      <c r="S4" s="12" t="s">
        <v>60</v>
      </c>
      <c r="T4" s="12" t="s">
        <v>61</v>
      </c>
      <c r="U4" s="12" t="s">
        <v>62</v>
      </c>
      <c r="V4" s="12" t="s">
        <v>63</v>
      </c>
      <c r="W4" s="12" t="s">
        <v>64</v>
      </c>
      <c r="X4" s="12" t="s">
        <v>65</v>
      </c>
      <c r="Y4" s="152" t="s">
        <v>67</v>
      </c>
      <c r="Z4" s="11" t="s">
        <v>55</v>
      </c>
      <c r="AA4" s="12" t="s">
        <v>56</v>
      </c>
      <c r="AB4" s="12" t="s">
        <v>57</v>
      </c>
      <c r="AC4" s="12" t="s">
        <v>58</v>
      </c>
      <c r="AD4" s="12" t="s">
        <v>59</v>
      </c>
      <c r="AE4" s="12" t="s">
        <v>60</v>
      </c>
      <c r="AF4" s="12" t="s">
        <v>61</v>
      </c>
      <c r="AG4" s="12" t="s">
        <v>62</v>
      </c>
      <c r="AH4" s="12" t="s">
        <v>63</v>
      </c>
      <c r="AI4" s="12" t="s">
        <v>64</v>
      </c>
      <c r="AJ4" s="12" t="s">
        <v>65</v>
      </c>
      <c r="AK4" s="152" t="s">
        <v>68</v>
      </c>
      <c r="AL4" s="11" t="s">
        <v>55</v>
      </c>
      <c r="AM4" s="12" t="s">
        <v>56</v>
      </c>
      <c r="AN4" s="12" t="s">
        <v>57</v>
      </c>
      <c r="AO4" s="12" t="s">
        <v>58</v>
      </c>
      <c r="AP4" s="12" t="s">
        <v>59</v>
      </c>
      <c r="AQ4" s="12" t="s">
        <v>60</v>
      </c>
      <c r="AR4" s="12" t="s">
        <v>61</v>
      </c>
      <c r="AS4" s="12" t="s">
        <v>62</v>
      </c>
      <c r="AT4" s="12" t="s">
        <v>63</v>
      </c>
      <c r="AU4" s="12" t="s">
        <v>64</v>
      </c>
      <c r="AV4" s="12" t="s">
        <v>65</v>
      </c>
      <c r="AW4" s="161" t="s">
        <v>69</v>
      </c>
      <c r="AX4" s="11" t="s">
        <v>55</v>
      </c>
      <c r="AY4" s="12" t="s">
        <v>56</v>
      </c>
      <c r="AZ4" s="12" t="s">
        <v>57</v>
      </c>
      <c r="BA4" s="12" t="s">
        <v>58</v>
      </c>
      <c r="BB4" s="12" t="s">
        <v>59</v>
      </c>
      <c r="BC4" s="12" t="s">
        <v>60</v>
      </c>
      <c r="BD4" s="12" t="s">
        <v>61</v>
      </c>
      <c r="BE4" s="12" t="s">
        <v>62</v>
      </c>
      <c r="BF4" s="12" t="s">
        <v>63</v>
      </c>
      <c r="BG4" s="12" t="s">
        <v>64</v>
      </c>
      <c r="BH4" s="12" t="s">
        <v>65</v>
      </c>
      <c r="BJ4" s="13"/>
      <c r="BK4" s="14"/>
      <c r="BL4" s="15" t="s">
        <v>70</v>
      </c>
      <c r="BM4" s="16"/>
      <c r="BN4" s="16"/>
      <c r="BO4" s="16"/>
      <c r="BP4" s="16"/>
      <c r="BQ4" s="16"/>
      <c r="BR4" s="16"/>
      <c r="BS4" s="17"/>
    </row>
    <row r="5" spans="1:71" ht="25.5" customHeight="1" x14ac:dyDescent="0.3">
      <c r="A5" s="151"/>
      <c r="B5" s="18" t="s">
        <v>71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51"/>
      <c r="N5" s="18" t="s">
        <v>71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51"/>
      <c r="Z5" s="18" t="s">
        <v>72</v>
      </c>
      <c r="AA5" s="19">
        <v>0</v>
      </c>
      <c r="AB5" s="19">
        <v>0</v>
      </c>
      <c r="AC5" s="19">
        <v>0</v>
      </c>
      <c r="AD5" s="20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51"/>
      <c r="AL5" s="18" t="s">
        <v>72</v>
      </c>
      <c r="AM5" s="19">
        <v>0</v>
      </c>
      <c r="AN5" s="19">
        <v>0</v>
      </c>
      <c r="AO5" s="19">
        <v>0</v>
      </c>
      <c r="AP5" s="20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51"/>
      <c r="AX5" s="18" t="s">
        <v>72</v>
      </c>
      <c r="AY5" s="19">
        <v>0</v>
      </c>
      <c r="AZ5" s="19">
        <v>0</v>
      </c>
      <c r="BA5" s="19">
        <v>0</v>
      </c>
      <c r="BB5" s="20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J5" s="21"/>
      <c r="BK5" s="14"/>
      <c r="BL5" s="22" t="s">
        <v>70</v>
      </c>
      <c r="BM5" s="16"/>
      <c r="BN5" s="16"/>
      <c r="BO5" s="16"/>
      <c r="BP5" s="16"/>
      <c r="BQ5" s="16"/>
      <c r="BR5" s="16"/>
      <c r="BS5" s="17"/>
    </row>
    <row r="6" spans="1:71" ht="25.5" customHeight="1" x14ac:dyDescent="0.3">
      <c r="A6" s="10"/>
      <c r="B6" s="18" t="s">
        <v>73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0"/>
      <c r="N6" s="18" t="s">
        <v>73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0"/>
      <c r="Z6" s="18" t="s">
        <v>74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20">
        <v>0</v>
      </c>
      <c r="AG6" s="19">
        <v>0</v>
      </c>
      <c r="AH6" s="19">
        <v>0</v>
      </c>
      <c r="AI6" s="19">
        <v>0</v>
      </c>
      <c r="AJ6" s="19">
        <v>0</v>
      </c>
      <c r="AK6" s="10"/>
      <c r="AL6" s="18" t="s">
        <v>74</v>
      </c>
      <c r="AM6" s="19">
        <v>1</v>
      </c>
      <c r="AN6" s="19">
        <v>0</v>
      </c>
      <c r="AO6" s="19">
        <v>0</v>
      </c>
      <c r="AP6" s="19">
        <v>0</v>
      </c>
      <c r="AQ6" s="19">
        <v>0</v>
      </c>
      <c r="AR6" s="20">
        <v>0</v>
      </c>
      <c r="AS6" s="19">
        <v>0</v>
      </c>
      <c r="AT6" s="19">
        <v>0</v>
      </c>
      <c r="AU6" s="19">
        <v>0</v>
      </c>
      <c r="AV6" s="19">
        <v>1</v>
      </c>
      <c r="AW6" s="10"/>
      <c r="AX6" s="18" t="s">
        <v>74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20">
        <v>0</v>
      </c>
      <c r="BE6" s="19">
        <v>0</v>
      </c>
      <c r="BF6" s="19">
        <v>0</v>
      </c>
      <c r="BG6" s="19">
        <v>0</v>
      </c>
      <c r="BH6" s="19">
        <v>0</v>
      </c>
      <c r="BJ6" s="21"/>
      <c r="BK6" s="14"/>
      <c r="BL6" s="22" t="s">
        <v>75</v>
      </c>
      <c r="BM6" s="16"/>
      <c r="BN6" s="16"/>
      <c r="BO6" s="16"/>
      <c r="BP6" s="16"/>
      <c r="BQ6" s="16"/>
      <c r="BR6" s="16"/>
      <c r="BS6" s="17"/>
    </row>
    <row r="7" spans="1:71" ht="25.5" customHeight="1" x14ac:dyDescent="0.3">
      <c r="A7" s="10"/>
      <c r="B7" s="18" t="s">
        <v>76</v>
      </c>
      <c r="C7" s="19">
        <v>0</v>
      </c>
      <c r="D7" s="19">
        <v>1</v>
      </c>
      <c r="E7" s="19">
        <v>0</v>
      </c>
      <c r="F7" s="19">
        <v>1</v>
      </c>
      <c r="G7" s="19">
        <v>0</v>
      </c>
      <c r="H7" s="19">
        <v>1</v>
      </c>
      <c r="I7" s="19">
        <v>1</v>
      </c>
      <c r="J7" s="19">
        <v>0</v>
      </c>
      <c r="K7" s="19">
        <v>0</v>
      </c>
      <c r="L7" s="19">
        <v>4</v>
      </c>
      <c r="M7" s="10"/>
      <c r="N7" s="18" t="s">
        <v>76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0"/>
      <c r="Z7" s="18" t="s">
        <v>77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0"/>
      <c r="AL7" s="18" t="s">
        <v>77</v>
      </c>
      <c r="AM7" s="19">
        <v>0</v>
      </c>
      <c r="AN7" s="19">
        <v>0</v>
      </c>
      <c r="AO7" s="19">
        <v>0</v>
      </c>
      <c r="AP7" s="19">
        <v>1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1</v>
      </c>
      <c r="AW7" s="10"/>
      <c r="AX7" s="18" t="s">
        <v>77</v>
      </c>
      <c r="AY7" s="19">
        <v>0</v>
      </c>
      <c r="AZ7" s="19">
        <v>1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1</v>
      </c>
      <c r="BJ7" s="23"/>
      <c r="BK7" s="14"/>
      <c r="BL7" s="24" t="s">
        <v>78</v>
      </c>
      <c r="BM7" s="16"/>
      <c r="BN7" s="16"/>
      <c r="BO7" s="16"/>
      <c r="BP7" s="16"/>
      <c r="BQ7" s="16"/>
      <c r="BR7" s="16"/>
      <c r="BS7" s="17"/>
    </row>
    <row r="8" spans="1:71" ht="25.5" customHeight="1" x14ac:dyDescent="0.3">
      <c r="A8" s="10"/>
      <c r="B8" s="18" t="s">
        <v>79</v>
      </c>
      <c r="C8" s="19">
        <v>2</v>
      </c>
      <c r="D8" s="19">
        <v>0</v>
      </c>
      <c r="E8" s="19">
        <v>0</v>
      </c>
      <c r="F8" s="19">
        <v>0</v>
      </c>
      <c r="G8" s="19">
        <v>0</v>
      </c>
      <c r="H8" s="19">
        <v>1</v>
      </c>
      <c r="I8" s="19">
        <v>0</v>
      </c>
      <c r="J8" s="25" t="s">
        <v>80</v>
      </c>
      <c r="K8" s="19">
        <v>0</v>
      </c>
      <c r="L8" s="19">
        <v>4</v>
      </c>
      <c r="M8" s="10"/>
      <c r="N8" s="18" t="s">
        <v>79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25" t="s">
        <v>80</v>
      </c>
      <c r="W8" s="19">
        <v>0</v>
      </c>
      <c r="X8" s="19">
        <v>0</v>
      </c>
      <c r="Y8" s="10"/>
      <c r="Z8" s="18" t="s">
        <v>81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0"/>
      <c r="AL8" s="18" t="s">
        <v>81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26"/>
      <c r="AX8" s="27" t="s">
        <v>81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J8" s="23"/>
      <c r="BK8" s="14"/>
      <c r="BL8" s="24" t="s">
        <v>78</v>
      </c>
      <c r="BM8" s="16"/>
      <c r="BN8" s="16"/>
      <c r="BO8" s="16"/>
      <c r="BP8" s="16"/>
      <c r="BQ8" s="16"/>
      <c r="BR8" s="16"/>
      <c r="BS8" s="17"/>
    </row>
    <row r="9" spans="1:71" ht="25.5" customHeight="1" x14ac:dyDescent="0.3">
      <c r="A9" s="10"/>
      <c r="B9" s="18" t="s">
        <v>82</v>
      </c>
      <c r="C9" s="19">
        <v>0</v>
      </c>
      <c r="D9" s="19">
        <v>0</v>
      </c>
      <c r="E9" s="19">
        <v>0</v>
      </c>
      <c r="F9" s="19">
        <v>2</v>
      </c>
      <c r="G9" s="19">
        <v>0</v>
      </c>
      <c r="H9" s="19">
        <v>1</v>
      </c>
      <c r="I9" s="19">
        <v>0</v>
      </c>
      <c r="J9" s="19">
        <v>0</v>
      </c>
      <c r="K9" s="19">
        <v>0</v>
      </c>
      <c r="L9" s="19">
        <v>3</v>
      </c>
      <c r="M9" s="10"/>
      <c r="N9" s="18" t="s">
        <v>82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J9" s="21"/>
      <c r="BK9" s="14"/>
      <c r="BL9" s="22" t="s">
        <v>75</v>
      </c>
      <c r="BM9" s="16"/>
      <c r="BN9" s="16"/>
      <c r="BO9" s="16"/>
      <c r="BP9" s="16"/>
      <c r="BQ9" s="16"/>
      <c r="BR9" s="16"/>
      <c r="BS9" s="17"/>
    </row>
    <row r="10" spans="1:71" ht="25.5" customHeight="1" x14ac:dyDescent="0.3">
      <c r="A10" s="10"/>
      <c r="B10" s="27" t="s">
        <v>83</v>
      </c>
      <c r="C10" s="29">
        <v>1</v>
      </c>
      <c r="D10" s="29">
        <v>1</v>
      </c>
      <c r="E10" s="29">
        <v>0</v>
      </c>
      <c r="F10" s="29">
        <v>1</v>
      </c>
      <c r="G10" s="29">
        <v>0</v>
      </c>
      <c r="H10" s="29">
        <v>0</v>
      </c>
      <c r="I10" s="29">
        <v>0</v>
      </c>
      <c r="J10" s="19">
        <v>0</v>
      </c>
      <c r="K10" s="29">
        <v>0</v>
      </c>
      <c r="L10" s="29">
        <v>4</v>
      </c>
      <c r="M10" s="10"/>
      <c r="N10" s="27" t="s">
        <v>83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19">
        <v>0</v>
      </c>
      <c r="W10" s="29">
        <v>0</v>
      </c>
      <c r="X10" s="29">
        <v>0</v>
      </c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J10" s="30"/>
      <c r="BK10" s="14"/>
      <c r="BL10" s="31" t="s">
        <v>11</v>
      </c>
      <c r="BM10" s="16"/>
      <c r="BN10" s="16"/>
      <c r="BO10" s="16"/>
      <c r="BP10" s="16"/>
      <c r="BQ10" s="16"/>
      <c r="BR10" s="16"/>
      <c r="BS10" s="17"/>
    </row>
    <row r="11" spans="1:71" ht="25.5" customHeight="1" x14ac:dyDescent="0.3">
      <c r="A11" s="10" t="s">
        <v>84</v>
      </c>
      <c r="B11" s="3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J11" s="30"/>
      <c r="BK11" s="14"/>
      <c r="BL11" s="31" t="s">
        <v>11</v>
      </c>
      <c r="BM11" s="16"/>
      <c r="BN11" s="16"/>
      <c r="BO11" s="16"/>
      <c r="BP11" s="16"/>
      <c r="BQ11" s="16"/>
      <c r="BR11" s="16"/>
      <c r="BS11" s="17"/>
    </row>
    <row r="12" spans="1:71" ht="25.5" customHeight="1" x14ac:dyDescent="0.3">
      <c r="A12" s="152" t="s">
        <v>85</v>
      </c>
      <c r="B12" s="11" t="s">
        <v>55</v>
      </c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65</v>
      </c>
      <c r="M12" s="152" t="s">
        <v>86</v>
      </c>
      <c r="N12" s="11" t="s">
        <v>55</v>
      </c>
      <c r="O12" s="12" t="s">
        <v>56</v>
      </c>
      <c r="P12" s="12" t="s">
        <v>57</v>
      </c>
      <c r="Q12" s="12" t="s">
        <v>58</v>
      </c>
      <c r="R12" s="12" t="s">
        <v>59</v>
      </c>
      <c r="S12" s="12" t="s">
        <v>60</v>
      </c>
      <c r="T12" s="12" t="s">
        <v>61</v>
      </c>
      <c r="U12" s="12" t="s">
        <v>62</v>
      </c>
      <c r="V12" s="12" t="s">
        <v>63</v>
      </c>
      <c r="W12" s="12" t="s">
        <v>64</v>
      </c>
      <c r="X12" s="12" t="s">
        <v>65</v>
      </c>
      <c r="Y12" s="152" t="s">
        <v>87</v>
      </c>
      <c r="Z12" s="11" t="s">
        <v>55</v>
      </c>
      <c r="AA12" s="12" t="s">
        <v>56</v>
      </c>
      <c r="AB12" s="12" t="s">
        <v>57</v>
      </c>
      <c r="AC12" s="12" t="s">
        <v>58</v>
      </c>
      <c r="AD12" s="12" t="s">
        <v>59</v>
      </c>
      <c r="AE12" s="12" t="s">
        <v>60</v>
      </c>
      <c r="AF12" s="12" t="s">
        <v>61</v>
      </c>
      <c r="AG12" s="12" t="s">
        <v>62</v>
      </c>
      <c r="AH12" s="12" t="s">
        <v>63</v>
      </c>
      <c r="AI12" s="12" t="s">
        <v>64</v>
      </c>
      <c r="AJ12" s="12" t="s">
        <v>65</v>
      </c>
      <c r="AK12" s="152" t="s">
        <v>88</v>
      </c>
      <c r="AL12" s="11" t="s">
        <v>55</v>
      </c>
      <c r="AM12" s="12" t="s">
        <v>56</v>
      </c>
      <c r="AN12" s="12" t="s">
        <v>57</v>
      </c>
      <c r="AO12" s="12" t="s">
        <v>58</v>
      </c>
      <c r="AP12" s="12" t="s">
        <v>59</v>
      </c>
      <c r="AQ12" s="12" t="s">
        <v>60</v>
      </c>
      <c r="AR12" s="12" t="s">
        <v>61</v>
      </c>
      <c r="AS12" s="12" t="s">
        <v>62</v>
      </c>
      <c r="AT12" s="12" t="s">
        <v>63</v>
      </c>
      <c r="AU12" s="12" t="s">
        <v>64</v>
      </c>
      <c r="AV12" s="12" t="s">
        <v>65</v>
      </c>
      <c r="AW12" s="152" t="s">
        <v>89</v>
      </c>
      <c r="AX12" s="11" t="s">
        <v>55</v>
      </c>
      <c r="AY12" s="12" t="s">
        <v>56</v>
      </c>
      <c r="AZ12" s="12" t="s">
        <v>57</v>
      </c>
      <c r="BA12" s="12" t="s">
        <v>58</v>
      </c>
      <c r="BB12" s="12" t="s">
        <v>59</v>
      </c>
      <c r="BC12" s="12" t="s">
        <v>60</v>
      </c>
      <c r="BD12" s="12" t="s">
        <v>61</v>
      </c>
      <c r="BE12" s="12" t="s">
        <v>62</v>
      </c>
      <c r="BF12" s="12" t="s">
        <v>63</v>
      </c>
      <c r="BG12" s="12" t="s">
        <v>64</v>
      </c>
      <c r="BH12" s="12" t="s">
        <v>65</v>
      </c>
      <c r="BJ12" s="13"/>
      <c r="BK12" s="14"/>
      <c r="BL12" s="15" t="s">
        <v>70</v>
      </c>
      <c r="BM12" s="16"/>
      <c r="BN12" s="16"/>
      <c r="BO12" s="16"/>
      <c r="BP12" s="16"/>
      <c r="BQ12" s="16"/>
      <c r="BR12" s="16"/>
      <c r="BS12" s="17"/>
    </row>
    <row r="13" spans="1:71" ht="25.5" customHeight="1" x14ac:dyDescent="0.3">
      <c r="A13" s="151"/>
      <c r="B13" s="18" t="s">
        <v>71</v>
      </c>
      <c r="C13" s="19">
        <v>1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3</v>
      </c>
      <c r="M13" s="151"/>
      <c r="N13" s="18" t="s">
        <v>71</v>
      </c>
      <c r="O13" s="19">
        <v>1</v>
      </c>
      <c r="P13" s="19">
        <v>0</v>
      </c>
      <c r="Q13" s="19">
        <v>0</v>
      </c>
      <c r="R13" s="19">
        <v>0</v>
      </c>
      <c r="S13" s="19">
        <v>1</v>
      </c>
      <c r="T13" s="19">
        <v>0</v>
      </c>
      <c r="U13" s="19">
        <v>2</v>
      </c>
      <c r="V13" s="19">
        <v>0</v>
      </c>
      <c r="W13" s="19">
        <v>0</v>
      </c>
      <c r="X13" s="19">
        <v>5</v>
      </c>
      <c r="Y13" s="151"/>
      <c r="Z13" s="18" t="s">
        <v>71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51"/>
      <c r="AL13" s="18" t="s">
        <v>71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51"/>
      <c r="AX13" s="18" t="s">
        <v>71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J13" s="23"/>
      <c r="BK13" s="14"/>
      <c r="BL13" s="24" t="s">
        <v>78</v>
      </c>
      <c r="BM13" s="16"/>
      <c r="BN13" s="16"/>
      <c r="BO13" s="16"/>
      <c r="BP13" s="16"/>
      <c r="BQ13" s="16"/>
      <c r="BR13" s="16"/>
      <c r="BS13" s="17"/>
    </row>
    <row r="14" spans="1:71" ht="25.5" customHeight="1" x14ac:dyDescent="0.3">
      <c r="A14" s="10"/>
      <c r="B14" s="18" t="s">
        <v>73</v>
      </c>
      <c r="C14" s="19">
        <v>1</v>
      </c>
      <c r="D14" s="19">
        <v>0</v>
      </c>
      <c r="E14" s="19">
        <v>0</v>
      </c>
      <c r="F14" s="19">
        <v>0</v>
      </c>
      <c r="G14" s="19">
        <v>0</v>
      </c>
      <c r="H14" s="19">
        <v>1</v>
      </c>
      <c r="I14" s="19">
        <v>0</v>
      </c>
      <c r="J14" s="19">
        <v>0</v>
      </c>
      <c r="K14" s="19">
        <v>0</v>
      </c>
      <c r="L14" s="19">
        <v>4</v>
      </c>
      <c r="M14" s="10"/>
      <c r="N14" s="18" t="s">
        <v>73</v>
      </c>
      <c r="O14" s="19">
        <v>1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1</v>
      </c>
      <c r="Y14" s="10"/>
      <c r="Z14" s="18" t="s">
        <v>73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0"/>
      <c r="AL14" s="18" t="s">
        <v>73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0"/>
      <c r="AX14" s="18" t="s">
        <v>73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J14" s="23"/>
      <c r="BK14" s="14"/>
      <c r="BL14" s="24" t="s">
        <v>78</v>
      </c>
      <c r="BM14" s="16"/>
      <c r="BN14" s="16"/>
      <c r="BO14" s="16"/>
      <c r="BP14" s="16"/>
      <c r="BQ14" s="16"/>
      <c r="BR14" s="16"/>
      <c r="BS14" s="17"/>
    </row>
    <row r="15" spans="1:71" ht="25.5" customHeight="1" x14ac:dyDescent="0.3">
      <c r="A15" s="10"/>
      <c r="B15" s="18" t="s">
        <v>76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0"/>
      <c r="N15" s="18" t="s">
        <v>76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0"/>
      <c r="Z15" s="18" t="s">
        <v>76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0"/>
      <c r="AL15" s="18" t="s">
        <v>76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0"/>
      <c r="AX15" s="18" t="s">
        <v>76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J15" s="21"/>
      <c r="BK15" s="14"/>
      <c r="BL15" s="22" t="s">
        <v>75</v>
      </c>
      <c r="BM15" s="16"/>
      <c r="BN15" s="16"/>
      <c r="BO15" s="16"/>
      <c r="BP15" s="16"/>
      <c r="BQ15" s="16"/>
      <c r="BR15" s="16"/>
      <c r="BS15" s="17"/>
    </row>
    <row r="16" spans="1:71" ht="14.25" customHeight="1" x14ac:dyDescent="0.3">
      <c r="A16" s="10"/>
      <c r="B16" s="18" t="s">
        <v>79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25" t="s">
        <v>80</v>
      </c>
      <c r="K16" s="19">
        <v>0</v>
      </c>
      <c r="L16" s="19">
        <v>0</v>
      </c>
      <c r="M16" s="10"/>
      <c r="N16" s="18" t="s">
        <v>79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25" t="s">
        <v>80</v>
      </c>
      <c r="W16" s="19">
        <v>0</v>
      </c>
      <c r="X16" s="19">
        <v>0</v>
      </c>
      <c r="Y16" s="10"/>
      <c r="Z16" s="18" t="s">
        <v>79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25" t="s">
        <v>80</v>
      </c>
      <c r="AI16" s="19">
        <v>0</v>
      </c>
      <c r="AJ16" s="19">
        <v>0</v>
      </c>
      <c r="AK16" s="10"/>
      <c r="AL16" s="18" t="s">
        <v>79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25" t="s">
        <v>80</v>
      </c>
      <c r="AU16" s="19">
        <v>0</v>
      </c>
      <c r="AV16" s="19">
        <v>0</v>
      </c>
      <c r="AW16" s="10"/>
      <c r="AX16" s="18" t="s">
        <v>79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25" t="s">
        <v>80</v>
      </c>
      <c r="BG16" s="19">
        <v>0</v>
      </c>
      <c r="BH16" s="19">
        <v>0</v>
      </c>
    </row>
    <row r="17" spans="1:71" ht="36" customHeight="1" x14ac:dyDescent="0.3">
      <c r="A17" s="10"/>
      <c r="B17" s="27" t="s">
        <v>90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10"/>
      <c r="N17" s="27" t="s">
        <v>90</v>
      </c>
      <c r="O17" s="29">
        <v>2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2</v>
      </c>
      <c r="Y17" s="10"/>
      <c r="Z17" s="27" t="s">
        <v>90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10"/>
      <c r="AL17" s="27" t="s">
        <v>90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10"/>
      <c r="AX17" s="27" t="s">
        <v>90</v>
      </c>
      <c r="AY17" s="29">
        <v>0</v>
      </c>
      <c r="AZ17" s="29">
        <v>0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0</v>
      </c>
      <c r="BJ17" s="154" t="s">
        <v>91</v>
      </c>
      <c r="BK17" s="151"/>
      <c r="BL17" s="151"/>
      <c r="BM17" s="151"/>
      <c r="BN17" s="151"/>
      <c r="BO17" s="151"/>
      <c r="BP17" s="151"/>
      <c r="BQ17" s="151"/>
      <c r="BR17" s="151"/>
      <c r="BS17" s="151"/>
    </row>
    <row r="20" spans="1:71" ht="25.5" customHeight="1" x14ac:dyDescent="0.3">
      <c r="A20" s="160" t="s">
        <v>92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</row>
    <row r="21" spans="1:71" ht="14.25" customHeight="1" x14ac:dyDescent="0.3">
      <c r="A21" s="33"/>
      <c r="B21" s="34"/>
      <c r="C21" s="12" t="s">
        <v>56</v>
      </c>
      <c r="D21" s="12" t="s">
        <v>57</v>
      </c>
      <c r="E21" s="12" t="s">
        <v>59</v>
      </c>
      <c r="F21" s="12" t="s">
        <v>60</v>
      </c>
      <c r="G21" s="12" t="s">
        <v>61</v>
      </c>
      <c r="H21" s="12" t="s">
        <v>62</v>
      </c>
      <c r="I21" s="12" t="s">
        <v>65</v>
      </c>
      <c r="J21" s="33"/>
      <c r="K21" s="34"/>
      <c r="L21" s="12" t="s">
        <v>56</v>
      </c>
      <c r="M21" s="12" t="s">
        <v>57</v>
      </c>
      <c r="N21" s="12" t="s">
        <v>59</v>
      </c>
      <c r="O21" s="12" t="s">
        <v>60</v>
      </c>
      <c r="P21" s="12" t="s">
        <v>61</v>
      </c>
      <c r="Q21" s="12" t="s">
        <v>62</v>
      </c>
      <c r="R21" s="12" t="s">
        <v>65</v>
      </c>
      <c r="S21" s="33"/>
      <c r="T21" s="34"/>
      <c r="U21" s="12" t="s">
        <v>56</v>
      </c>
      <c r="V21" s="12" t="s">
        <v>57</v>
      </c>
      <c r="W21" s="12" t="s">
        <v>59</v>
      </c>
      <c r="X21" s="12" t="s">
        <v>60</v>
      </c>
      <c r="Y21" s="12" t="s">
        <v>61</v>
      </c>
      <c r="Z21" s="12" t="s">
        <v>62</v>
      </c>
      <c r="AA21" s="12" t="s">
        <v>65</v>
      </c>
      <c r="AB21" s="33"/>
      <c r="AC21" s="34"/>
      <c r="AD21" s="12" t="s">
        <v>56</v>
      </c>
      <c r="AE21" s="12" t="s">
        <v>57</v>
      </c>
      <c r="AF21" s="12" t="s">
        <v>59</v>
      </c>
      <c r="AG21" s="12" t="s">
        <v>60</v>
      </c>
      <c r="AH21" s="12" t="s">
        <v>61</v>
      </c>
      <c r="AI21" s="12" t="s">
        <v>62</v>
      </c>
      <c r="AJ21" s="12" t="s">
        <v>65</v>
      </c>
      <c r="AK21" s="33"/>
      <c r="AL21" s="34"/>
      <c r="AM21" s="12" t="s">
        <v>56</v>
      </c>
      <c r="AN21" s="12" t="s">
        <v>57</v>
      </c>
      <c r="AO21" s="12" t="s">
        <v>59</v>
      </c>
      <c r="AP21" s="12" t="s">
        <v>60</v>
      </c>
      <c r="AQ21" s="12" t="s">
        <v>61</v>
      </c>
      <c r="AR21" s="12" t="s">
        <v>62</v>
      </c>
      <c r="AS21" s="12" t="s">
        <v>65</v>
      </c>
      <c r="AT21" s="33"/>
      <c r="AU21" s="34"/>
      <c r="AV21" s="12" t="s">
        <v>56</v>
      </c>
      <c r="AW21" s="12" t="s">
        <v>57</v>
      </c>
      <c r="AX21" s="12" t="s">
        <v>59</v>
      </c>
      <c r="AY21" s="12" t="s">
        <v>60</v>
      </c>
      <c r="AZ21" s="12" t="s">
        <v>61</v>
      </c>
      <c r="BA21" s="12" t="s">
        <v>62</v>
      </c>
      <c r="BB21" s="12" t="s">
        <v>65</v>
      </c>
    </row>
    <row r="22" spans="1:71" ht="14.25" customHeight="1" x14ac:dyDescent="0.3">
      <c r="A22" s="33" t="s">
        <v>68</v>
      </c>
      <c r="B22" s="34" t="s">
        <v>93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2</v>
      </c>
      <c r="I22" s="35">
        <v>2</v>
      </c>
      <c r="J22" s="33" t="s">
        <v>54</v>
      </c>
      <c r="K22" s="34" t="s">
        <v>93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3" t="s">
        <v>94</v>
      </c>
      <c r="T22" s="34" t="s">
        <v>93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2</v>
      </c>
      <c r="AA22" s="35">
        <v>2</v>
      </c>
      <c r="AB22" s="33" t="s">
        <v>86</v>
      </c>
      <c r="AC22" s="34" t="s">
        <v>93</v>
      </c>
      <c r="AD22" s="35">
        <v>0</v>
      </c>
      <c r="AE22" s="35">
        <v>1</v>
      </c>
      <c r="AF22" s="35">
        <v>0</v>
      </c>
      <c r="AG22" s="35">
        <v>2</v>
      </c>
      <c r="AH22" s="35">
        <v>0</v>
      </c>
      <c r="AI22" s="35">
        <v>0</v>
      </c>
      <c r="AJ22" s="35">
        <v>3</v>
      </c>
      <c r="AK22" s="33" t="s">
        <v>85</v>
      </c>
      <c r="AL22" s="34" t="s">
        <v>93</v>
      </c>
      <c r="AM22" s="35">
        <v>0</v>
      </c>
      <c r="AN22" s="35">
        <v>1</v>
      </c>
      <c r="AO22" s="35">
        <v>0</v>
      </c>
      <c r="AP22" s="35">
        <v>0</v>
      </c>
      <c r="AQ22" s="35">
        <v>0</v>
      </c>
      <c r="AR22" s="35">
        <v>1</v>
      </c>
      <c r="AS22" s="35">
        <v>2</v>
      </c>
      <c r="AT22" s="33" t="s">
        <v>88</v>
      </c>
      <c r="AU22" s="34" t="s">
        <v>93</v>
      </c>
      <c r="AV22" s="35">
        <v>0</v>
      </c>
      <c r="AW22" s="35">
        <v>0</v>
      </c>
      <c r="AX22" s="35">
        <v>1</v>
      </c>
      <c r="AY22" s="35">
        <v>0</v>
      </c>
      <c r="AZ22" s="35">
        <v>0</v>
      </c>
      <c r="BA22" s="35">
        <v>0</v>
      </c>
      <c r="BB22" s="35">
        <v>1</v>
      </c>
    </row>
    <row r="23" spans="1:71" ht="14.25" customHeight="1" x14ac:dyDescent="0.3">
      <c r="A23" s="33" t="s">
        <v>68</v>
      </c>
      <c r="B23" s="34" t="s">
        <v>95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3" t="s">
        <v>54</v>
      </c>
      <c r="K23" s="34" t="s">
        <v>95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3" t="s">
        <v>94</v>
      </c>
      <c r="T23" s="34" t="s">
        <v>95</v>
      </c>
      <c r="U23" s="35">
        <v>0</v>
      </c>
      <c r="V23" s="35">
        <v>0</v>
      </c>
      <c r="W23" s="35">
        <v>1</v>
      </c>
      <c r="X23" s="35">
        <v>4</v>
      </c>
      <c r="Y23" s="35">
        <v>0</v>
      </c>
      <c r="Z23" s="35">
        <v>6</v>
      </c>
      <c r="AA23" s="35">
        <v>12</v>
      </c>
      <c r="AB23" s="33" t="s">
        <v>86</v>
      </c>
      <c r="AC23" s="34" t="s">
        <v>95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v>0</v>
      </c>
      <c r="AK23" s="33" t="s">
        <v>85</v>
      </c>
      <c r="AL23" s="34" t="s">
        <v>95</v>
      </c>
      <c r="AM23" s="35">
        <v>0</v>
      </c>
      <c r="AN23" s="35">
        <v>0</v>
      </c>
      <c r="AO23" s="35">
        <v>1</v>
      </c>
      <c r="AP23" s="35">
        <v>0</v>
      </c>
      <c r="AQ23" s="35">
        <v>0</v>
      </c>
      <c r="AR23" s="35">
        <v>0</v>
      </c>
      <c r="AS23" s="35">
        <v>1</v>
      </c>
      <c r="AT23" s="33" t="s">
        <v>88</v>
      </c>
      <c r="AU23" s="34" t="s">
        <v>95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</row>
    <row r="24" spans="1:71" ht="14.25" customHeight="1" x14ac:dyDescent="0.3">
      <c r="A24" s="33" t="s">
        <v>68</v>
      </c>
      <c r="B24" s="34" t="s">
        <v>96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3" t="s">
        <v>54</v>
      </c>
      <c r="K24" s="34" t="s">
        <v>96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3" t="s">
        <v>94</v>
      </c>
      <c r="T24" s="34" t="s">
        <v>96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1</v>
      </c>
      <c r="AA24" s="35">
        <v>1</v>
      </c>
      <c r="AB24" s="33" t="s">
        <v>86</v>
      </c>
      <c r="AC24" s="34" t="s">
        <v>96</v>
      </c>
      <c r="AD24" s="35">
        <v>1</v>
      </c>
      <c r="AE24" s="35">
        <v>0</v>
      </c>
      <c r="AF24" s="35">
        <v>0</v>
      </c>
      <c r="AG24" s="35">
        <v>0</v>
      </c>
      <c r="AH24" s="35">
        <v>1</v>
      </c>
      <c r="AI24" s="35">
        <v>0</v>
      </c>
      <c r="AJ24" s="35">
        <v>2</v>
      </c>
      <c r="AK24" s="33" t="s">
        <v>85</v>
      </c>
      <c r="AL24" s="34" t="s">
        <v>96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2</v>
      </c>
      <c r="AS24" s="35">
        <v>2</v>
      </c>
      <c r="AT24" s="33" t="s">
        <v>88</v>
      </c>
      <c r="AU24" s="34" t="s">
        <v>96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</row>
    <row r="25" spans="1:71" ht="14.25" customHeight="1" x14ac:dyDescent="0.3">
      <c r="A25" s="33" t="s">
        <v>68</v>
      </c>
      <c r="B25" s="34" t="s">
        <v>93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3" t="s">
        <v>54</v>
      </c>
      <c r="K25" s="34" t="s">
        <v>93</v>
      </c>
      <c r="L25" s="35">
        <v>0</v>
      </c>
      <c r="M25" s="35">
        <v>1</v>
      </c>
      <c r="N25" s="35">
        <v>4</v>
      </c>
      <c r="O25" s="35">
        <v>0</v>
      </c>
      <c r="P25" s="35">
        <v>4</v>
      </c>
      <c r="Q25" s="35">
        <v>0</v>
      </c>
      <c r="R25" s="35">
        <v>10</v>
      </c>
      <c r="S25" s="33" t="s">
        <v>94</v>
      </c>
      <c r="T25" s="34" t="s">
        <v>93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3" t="s">
        <v>86</v>
      </c>
      <c r="AC25" s="34" t="s">
        <v>93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0</v>
      </c>
      <c r="AK25" s="33" t="s">
        <v>85</v>
      </c>
      <c r="AL25" s="34" t="s">
        <v>93</v>
      </c>
      <c r="AM25" s="35">
        <v>0</v>
      </c>
      <c r="AN25" s="35">
        <v>0</v>
      </c>
      <c r="AO25" s="35">
        <v>2</v>
      </c>
      <c r="AP25" s="35">
        <v>0</v>
      </c>
      <c r="AQ25" s="35">
        <v>1</v>
      </c>
      <c r="AR25" s="35">
        <v>0</v>
      </c>
      <c r="AS25" s="35">
        <v>5</v>
      </c>
      <c r="AT25" s="33" t="s">
        <v>88</v>
      </c>
      <c r="AU25" s="34" t="s">
        <v>93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</row>
    <row r="26" spans="1:71" ht="14.25" customHeight="1" x14ac:dyDescent="0.3">
      <c r="A26" s="33" t="s">
        <v>68</v>
      </c>
      <c r="B26" s="34" t="s">
        <v>95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3" t="s">
        <v>54</v>
      </c>
      <c r="K26" s="34" t="s">
        <v>95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3" t="s">
        <v>94</v>
      </c>
      <c r="T26" s="34" t="s">
        <v>95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3" t="s">
        <v>86</v>
      </c>
      <c r="AC26" s="34" t="s">
        <v>95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5">
        <v>0</v>
      </c>
      <c r="AJ26" s="35">
        <v>1</v>
      </c>
      <c r="AK26" s="33" t="s">
        <v>85</v>
      </c>
      <c r="AL26" s="34" t="s">
        <v>95</v>
      </c>
      <c r="AM26" s="35">
        <v>0</v>
      </c>
      <c r="AN26" s="35">
        <v>0</v>
      </c>
      <c r="AO26" s="35">
        <v>0</v>
      </c>
      <c r="AP26" s="35">
        <v>0</v>
      </c>
      <c r="AQ26" s="35">
        <v>0</v>
      </c>
      <c r="AR26" s="35">
        <v>0</v>
      </c>
      <c r="AS26" s="35">
        <v>0</v>
      </c>
      <c r="AT26" s="33" t="s">
        <v>88</v>
      </c>
      <c r="AU26" s="34" t="s">
        <v>95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</row>
    <row r="27" spans="1:71" ht="14.25" customHeight="1" x14ac:dyDescent="0.3">
      <c r="A27" s="33" t="s">
        <v>68</v>
      </c>
      <c r="B27" s="36" t="s">
        <v>96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3" t="s">
        <v>54</v>
      </c>
      <c r="K27" s="36" t="s">
        <v>96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3" t="s">
        <v>94</v>
      </c>
      <c r="T27" s="36" t="s">
        <v>96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3" t="s">
        <v>86</v>
      </c>
      <c r="AC27" s="36" t="s">
        <v>96</v>
      </c>
      <c r="AD27" s="37">
        <v>0</v>
      </c>
      <c r="AE27" s="37">
        <v>0</v>
      </c>
      <c r="AF27" s="37">
        <v>1</v>
      </c>
      <c r="AG27" s="37">
        <v>0</v>
      </c>
      <c r="AH27" s="37">
        <v>1</v>
      </c>
      <c r="AI27" s="37">
        <v>0</v>
      </c>
      <c r="AJ27" s="37">
        <v>4</v>
      </c>
      <c r="AK27" s="33" t="s">
        <v>85</v>
      </c>
      <c r="AL27" s="36" t="s">
        <v>96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3" t="s">
        <v>88</v>
      </c>
      <c r="AU27" s="36" t="s">
        <v>96</v>
      </c>
      <c r="AV27" s="37">
        <v>0</v>
      </c>
      <c r="AW27" s="37">
        <v>0</v>
      </c>
      <c r="AX27" s="37">
        <v>0</v>
      </c>
      <c r="AY27" s="37">
        <v>0</v>
      </c>
      <c r="AZ27" s="37">
        <v>0</v>
      </c>
      <c r="BA27" s="37">
        <v>0</v>
      </c>
      <c r="BB27" s="37">
        <v>0</v>
      </c>
    </row>
    <row r="28" spans="1:71" ht="14.25" customHeight="1" x14ac:dyDescent="0.3">
      <c r="A28" s="33"/>
      <c r="B28" s="34"/>
      <c r="C28" s="38" t="s">
        <v>56</v>
      </c>
      <c r="D28" s="38" t="s">
        <v>57</v>
      </c>
      <c r="E28" s="38" t="s">
        <v>59</v>
      </c>
      <c r="F28" s="38" t="s">
        <v>60</v>
      </c>
      <c r="G28" s="38" t="s">
        <v>61</v>
      </c>
      <c r="H28" s="38" t="s">
        <v>62</v>
      </c>
      <c r="I28" s="38" t="s">
        <v>65</v>
      </c>
      <c r="J28" s="33"/>
      <c r="K28" s="34"/>
      <c r="L28" s="38" t="s">
        <v>56</v>
      </c>
      <c r="M28" s="38" t="s">
        <v>57</v>
      </c>
      <c r="N28" s="38" t="s">
        <v>59</v>
      </c>
      <c r="O28" s="38" t="s">
        <v>60</v>
      </c>
      <c r="P28" s="38" t="s">
        <v>61</v>
      </c>
      <c r="Q28" s="38" t="s">
        <v>62</v>
      </c>
      <c r="R28" s="38" t="s">
        <v>65</v>
      </c>
      <c r="S28" s="33"/>
      <c r="T28" s="34"/>
      <c r="U28" s="38" t="s">
        <v>56</v>
      </c>
      <c r="V28" s="38" t="s">
        <v>57</v>
      </c>
      <c r="W28" s="38" t="s">
        <v>59</v>
      </c>
      <c r="X28" s="38" t="s">
        <v>60</v>
      </c>
      <c r="Y28" s="38" t="s">
        <v>61</v>
      </c>
      <c r="Z28" s="38" t="s">
        <v>62</v>
      </c>
      <c r="AA28" s="38" t="s">
        <v>65</v>
      </c>
      <c r="AB28" s="33"/>
      <c r="AC28" s="34"/>
      <c r="AD28" s="38" t="s">
        <v>56</v>
      </c>
      <c r="AE28" s="38" t="s">
        <v>57</v>
      </c>
      <c r="AF28" s="38" t="s">
        <v>59</v>
      </c>
      <c r="AG28" s="38" t="s">
        <v>60</v>
      </c>
      <c r="AH28" s="38" t="s">
        <v>61</v>
      </c>
      <c r="AI28" s="38" t="s">
        <v>62</v>
      </c>
      <c r="AJ28" s="38" t="s">
        <v>65</v>
      </c>
      <c r="AK28" s="33"/>
      <c r="AL28" s="34"/>
      <c r="AM28" s="38" t="s">
        <v>56</v>
      </c>
      <c r="AN28" s="38" t="s">
        <v>57</v>
      </c>
      <c r="AO28" s="38" t="s">
        <v>59</v>
      </c>
      <c r="AP28" s="38" t="s">
        <v>60</v>
      </c>
      <c r="AQ28" s="38" t="s">
        <v>61</v>
      </c>
      <c r="AR28" s="38" t="s">
        <v>62</v>
      </c>
      <c r="AS28" s="38" t="s">
        <v>65</v>
      </c>
      <c r="AT28" s="33"/>
      <c r="AU28" s="34"/>
      <c r="AV28" s="38" t="s">
        <v>56</v>
      </c>
      <c r="AW28" s="38" t="s">
        <v>57</v>
      </c>
      <c r="AX28" s="38" t="s">
        <v>59</v>
      </c>
      <c r="AY28" s="38" t="s">
        <v>60</v>
      </c>
      <c r="AZ28" s="38" t="s">
        <v>61</v>
      </c>
      <c r="BA28" s="38" t="s">
        <v>62</v>
      </c>
      <c r="BB28" s="38" t="s">
        <v>65</v>
      </c>
    </row>
    <row r="29" spans="1:71" ht="14.25" customHeight="1" x14ac:dyDescent="0.3">
      <c r="A29" s="33" t="s">
        <v>97</v>
      </c>
      <c r="B29" s="34" t="s">
        <v>93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3" t="s">
        <v>87</v>
      </c>
      <c r="K29" s="34" t="s">
        <v>93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3" t="s">
        <v>98</v>
      </c>
      <c r="T29" s="34" t="s">
        <v>93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3" t="s">
        <v>67</v>
      </c>
      <c r="AC29" s="34" t="s">
        <v>93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0</v>
      </c>
      <c r="AK29" s="33" t="s">
        <v>69</v>
      </c>
      <c r="AL29" s="34" t="s">
        <v>93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3" t="s">
        <v>66</v>
      </c>
      <c r="AU29" s="34" t="s">
        <v>93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</row>
    <row r="30" spans="1:71" ht="14.25" customHeight="1" x14ac:dyDescent="0.3">
      <c r="A30" s="33" t="s">
        <v>97</v>
      </c>
      <c r="B30" s="34" t="s">
        <v>95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3" t="s">
        <v>87</v>
      </c>
      <c r="K30" s="34" t="s">
        <v>95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3" t="s">
        <v>98</v>
      </c>
      <c r="T30" s="34" t="s">
        <v>95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3" t="s">
        <v>67</v>
      </c>
      <c r="AC30" s="34" t="s">
        <v>95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3" t="s">
        <v>69</v>
      </c>
      <c r="AL30" s="34" t="s">
        <v>95</v>
      </c>
      <c r="AM30" s="35">
        <v>0</v>
      </c>
      <c r="AN30" s="35">
        <v>0</v>
      </c>
      <c r="AO30" s="35">
        <v>0</v>
      </c>
      <c r="AP30" s="35">
        <v>1</v>
      </c>
      <c r="AQ30" s="35">
        <v>0</v>
      </c>
      <c r="AR30" s="35">
        <v>0</v>
      </c>
      <c r="AS30" s="35">
        <v>1</v>
      </c>
      <c r="AT30" s="33" t="s">
        <v>66</v>
      </c>
      <c r="AU30" s="34" t="s">
        <v>95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</row>
    <row r="31" spans="1:71" ht="14.25" customHeight="1" x14ac:dyDescent="0.3">
      <c r="A31" s="33" t="s">
        <v>97</v>
      </c>
      <c r="B31" s="34" t="s">
        <v>96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3" t="s">
        <v>87</v>
      </c>
      <c r="K31" s="34" t="s">
        <v>96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3" t="s">
        <v>98</v>
      </c>
      <c r="T31" s="34" t="s">
        <v>96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3" t="s">
        <v>67</v>
      </c>
      <c r="AC31" s="34" t="s">
        <v>96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3" t="s">
        <v>69</v>
      </c>
      <c r="AL31" s="34" t="s">
        <v>96</v>
      </c>
      <c r="AM31" s="35">
        <v>0</v>
      </c>
      <c r="AN31" s="35">
        <v>0</v>
      </c>
      <c r="AO31" s="35">
        <v>2</v>
      </c>
      <c r="AP31" s="35">
        <v>2</v>
      </c>
      <c r="AQ31" s="35">
        <v>0</v>
      </c>
      <c r="AR31" s="35">
        <v>1</v>
      </c>
      <c r="AS31" s="35">
        <v>6</v>
      </c>
      <c r="AT31" s="33" t="s">
        <v>66</v>
      </c>
      <c r="AU31" s="34" t="s">
        <v>96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</row>
    <row r="32" spans="1:71" ht="14.25" customHeight="1" x14ac:dyDescent="0.3">
      <c r="A32" s="33" t="s">
        <v>97</v>
      </c>
      <c r="B32" s="34" t="s">
        <v>93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3" t="s">
        <v>87</v>
      </c>
      <c r="K32" s="34" t="s">
        <v>93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3" t="s">
        <v>98</v>
      </c>
      <c r="T32" s="34" t="s">
        <v>93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3" t="s">
        <v>67</v>
      </c>
      <c r="AC32" s="34" t="s">
        <v>93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3" t="s">
        <v>69</v>
      </c>
      <c r="AL32" s="34" t="s">
        <v>93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3" t="s">
        <v>66</v>
      </c>
      <c r="AU32" s="34" t="s">
        <v>93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</row>
    <row r="33" spans="1:56" ht="14.25" customHeight="1" x14ac:dyDescent="0.3">
      <c r="A33" s="33" t="s">
        <v>97</v>
      </c>
      <c r="B33" s="34" t="s">
        <v>95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3" t="s">
        <v>87</v>
      </c>
      <c r="K33" s="34" t="s">
        <v>95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3" t="s">
        <v>98</v>
      </c>
      <c r="T33" s="34" t="s">
        <v>95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3" t="s">
        <v>67</v>
      </c>
      <c r="AC33" s="34" t="s">
        <v>95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3" t="s">
        <v>69</v>
      </c>
      <c r="AL33" s="34" t="s">
        <v>95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3" t="s">
        <v>66</v>
      </c>
      <c r="AU33" s="34" t="s">
        <v>95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</row>
    <row r="34" spans="1:56" ht="14.25" customHeight="1" x14ac:dyDescent="0.3">
      <c r="A34" s="33" t="s">
        <v>97</v>
      </c>
      <c r="B34" s="36" t="s">
        <v>96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3" t="s">
        <v>87</v>
      </c>
      <c r="K34" s="36" t="s">
        <v>96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3" t="s">
        <v>98</v>
      </c>
      <c r="T34" s="36" t="s">
        <v>96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3" t="s">
        <v>67</v>
      </c>
      <c r="AC34" s="36" t="s">
        <v>96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3" t="s">
        <v>69</v>
      </c>
      <c r="AL34" s="36" t="s">
        <v>96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37">
        <v>0</v>
      </c>
      <c r="AT34" s="33" t="s">
        <v>66</v>
      </c>
      <c r="AU34" s="36" t="s">
        <v>96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7">
        <v>0</v>
      </c>
    </row>
    <row r="35" spans="1:56" ht="25.5" customHeight="1" x14ac:dyDescent="0.3">
      <c r="A35" s="159" t="s">
        <v>99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</row>
    <row r="36" spans="1:56" ht="14.25" customHeight="1" x14ac:dyDescent="0.3">
      <c r="A36" s="18" t="s">
        <v>100</v>
      </c>
      <c r="B36" s="12" t="s">
        <v>101</v>
      </c>
      <c r="C36" s="12" t="s">
        <v>102</v>
      </c>
      <c r="D36" s="12" t="s">
        <v>26</v>
      </c>
      <c r="E36" s="12" t="s">
        <v>103</v>
      </c>
      <c r="F36" s="12" t="s">
        <v>104</v>
      </c>
      <c r="G36" s="12" t="s">
        <v>105</v>
      </c>
      <c r="H36" s="18" t="s">
        <v>82</v>
      </c>
      <c r="I36" s="12" t="s">
        <v>101</v>
      </c>
      <c r="J36" s="12" t="s">
        <v>102</v>
      </c>
      <c r="K36" s="12" t="s">
        <v>26</v>
      </c>
      <c r="L36" s="12" t="s">
        <v>106</v>
      </c>
      <c r="M36" s="12" t="s">
        <v>104</v>
      </c>
      <c r="N36" s="12" t="s">
        <v>105</v>
      </c>
      <c r="O36" s="18" t="s">
        <v>71</v>
      </c>
      <c r="P36" s="12" t="s">
        <v>101</v>
      </c>
      <c r="Q36" s="12" t="s">
        <v>102</v>
      </c>
      <c r="R36" s="12" t="s">
        <v>26</v>
      </c>
      <c r="S36" s="12" t="s">
        <v>106</v>
      </c>
      <c r="T36" s="12" t="s">
        <v>104</v>
      </c>
      <c r="U36" s="12" t="s">
        <v>105</v>
      </c>
      <c r="V36" s="18" t="s">
        <v>76</v>
      </c>
      <c r="W36" s="12" t="s">
        <v>101</v>
      </c>
      <c r="X36" s="12" t="s">
        <v>102</v>
      </c>
      <c r="Y36" s="12" t="s">
        <v>26</v>
      </c>
      <c r="Z36" s="12" t="s">
        <v>106</v>
      </c>
      <c r="AA36" s="12" t="s">
        <v>104</v>
      </c>
      <c r="AB36" s="12" t="s">
        <v>105</v>
      </c>
      <c r="AC36" s="18" t="s">
        <v>72</v>
      </c>
      <c r="AD36" s="12" t="s">
        <v>101</v>
      </c>
      <c r="AE36" s="12" t="s">
        <v>102</v>
      </c>
      <c r="AF36" s="12" t="s">
        <v>26</v>
      </c>
      <c r="AG36" s="12" t="s">
        <v>106</v>
      </c>
      <c r="AH36" s="12" t="s">
        <v>104</v>
      </c>
      <c r="AI36" s="12" t="s">
        <v>105</v>
      </c>
      <c r="AJ36" s="18" t="s">
        <v>74</v>
      </c>
      <c r="AK36" s="12" t="s">
        <v>101</v>
      </c>
      <c r="AL36" s="12" t="s">
        <v>102</v>
      </c>
      <c r="AM36" s="12" t="s">
        <v>26</v>
      </c>
      <c r="AN36" s="12" t="s">
        <v>106</v>
      </c>
      <c r="AO36" s="12" t="s">
        <v>104</v>
      </c>
      <c r="AP36" s="12" t="s">
        <v>105</v>
      </c>
      <c r="AQ36" s="18" t="s">
        <v>90</v>
      </c>
      <c r="AR36" s="12" t="s">
        <v>101</v>
      </c>
      <c r="AS36" s="12" t="s">
        <v>102</v>
      </c>
      <c r="AT36" s="12" t="s">
        <v>26</v>
      </c>
      <c r="AU36" s="12" t="s">
        <v>106</v>
      </c>
      <c r="AV36" s="12" t="s">
        <v>104</v>
      </c>
      <c r="AW36" s="12" t="s">
        <v>105</v>
      </c>
      <c r="AX36" s="18" t="s">
        <v>107</v>
      </c>
      <c r="AY36" s="12" t="s">
        <v>101</v>
      </c>
      <c r="AZ36" s="12" t="s">
        <v>102</v>
      </c>
      <c r="BA36" s="12" t="s">
        <v>26</v>
      </c>
      <c r="BB36" s="12" t="s">
        <v>106</v>
      </c>
      <c r="BC36" s="12" t="s">
        <v>108</v>
      </c>
      <c r="BD36" s="12" t="s">
        <v>105</v>
      </c>
    </row>
    <row r="37" spans="1:56" ht="14.25" customHeight="1" x14ac:dyDescent="0.3">
      <c r="A37" s="18" t="s">
        <v>109</v>
      </c>
      <c r="B37" s="39">
        <v>-4.07E-2</v>
      </c>
      <c r="C37" s="19">
        <v>43</v>
      </c>
      <c r="D37" s="19">
        <v>1</v>
      </c>
      <c r="E37" s="19">
        <v>5</v>
      </c>
      <c r="F37" s="19">
        <v>0</v>
      </c>
      <c r="G37" s="19">
        <v>4</v>
      </c>
      <c r="H37" s="18" t="s">
        <v>109</v>
      </c>
      <c r="I37" s="40">
        <v>0</v>
      </c>
      <c r="J37" s="19">
        <v>8</v>
      </c>
      <c r="K37" s="19">
        <v>3</v>
      </c>
      <c r="L37" s="40">
        <v>0.38</v>
      </c>
      <c r="M37" s="19">
        <v>0</v>
      </c>
      <c r="N37" s="19">
        <v>3</v>
      </c>
      <c r="O37" s="18" t="s">
        <v>109</v>
      </c>
      <c r="P37" s="40">
        <v>0.14000000000000001</v>
      </c>
      <c r="Q37" s="19">
        <v>21</v>
      </c>
      <c r="R37" s="19">
        <v>8</v>
      </c>
      <c r="S37" s="40">
        <v>0.38</v>
      </c>
      <c r="T37" s="19">
        <v>4</v>
      </c>
      <c r="U37" s="19">
        <v>1</v>
      </c>
      <c r="V37" s="18" t="s">
        <v>109</v>
      </c>
      <c r="W37" s="40">
        <v>0.4</v>
      </c>
      <c r="X37" s="19">
        <v>10</v>
      </c>
      <c r="Y37" s="19">
        <v>4</v>
      </c>
      <c r="Z37" s="40">
        <v>0.4</v>
      </c>
      <c r="AA37" s="19">
        <v>0</v>
      </c>
      <c r="AB37" s="19">
        <v>0</v>
      </c>
      <c r="AC37" s="18" t="s">
        <v>109</v>
      </c>
      <c r="AD37" s="40">
        <v>0</v>
      </c>
      <c r="AE37" s="19">
        <v>0</v>
      </c>
      <c r="AF37" s="19">
        <v>0</v>
      </c>
      <c r="AG37" s="40">
        <v>0</v>
      </c>
      <c r="AH37" s="19">
        <v>0</v>
      </c>
      <c r="AI37" s="19">
        <v>0</v>
      </c>
      <c r="AJ37" s="18" t="s">
        <v>109</v>
      </c>
      <c r="AK37" s="40">
        <v>0</v>
      </c>
      <c r="AL37" s="19">
        <v>3</v>
      </c>
      <c r="AM37" s="19">
        <v>1</v>
      </c>
      <c r="AN37" s="40">
        <v>0.33</v>
      </c>
      <c r="AO37" s="19">
        <v>0</v>
      </c>
      <c r="AP37" s="19">
        <v>1</v>
      </c>
      <c r="AQ37" s="18" t="s">
        <v>109</v>
      </c>
      <c r="AR37" s="40">
        <v>0.5</v>
      </c>
      <c r="AS37" s="19">
        <v>4</v>
      </c>
      <c r="AT37" s="19">
        <v>2</v>
      </c>
      <c r="AU37" s="40">
        <v>0.5</v>
      </c>
      <c r="AV37" s="19">
        <v>0</v>
      </c>
      <c r="AW37" s="19">
        <v>0</v>
      </c>
      <c r="AX37" s="18" t="s">
        <v>109</v>
      </c>
      <c r="AY37" s="40">
        <v>-0.08</v>
      </c>
      <c r="AZ37" s="19">
        <v>39</v>
      </c>
      <c r="BA37" s="19">
        <v>4</v>
      </c>
      <c r="BB37" s="40">
        <v>0.1</v>
      </c>
      <c r="BC37" s="40">
        <v>0.26</v>
      </c>
      <c r="BD37" s="19">
        <v>17</v>
      </c>
    </row>
    <row r="38" spans="1:56" ht="14.25" customHeight="1" x14ac:dyDescent="0.3">
      <c r="A38" s="18" t="s">
        <v>68</v>
      </c>
      <c r="B38" s="19">
        <v>0</v>
      </c>
      <c r="C38" s="19">
        <v>2</v>
      </c>
      <c r="D38" s="19">
        <v>0</v>
      </c>
      <c r="E38" s="19">
        <v>0</v>
      </c>
      <c r="F38" s="19">
        <v>0</v>
      </c>
      <c r="G38" s="19">
        <v>0</v>
      </c>
      <c r="H38" s="18" t="s">
        <v>68</v>
      </c>
      <c r="I38" s="40">
        <v>0</v>
      </c>
      <c r="J38" s="19">
        <v>0</v>
      </c>
      <c r="K38" s="19">
        <v>0</v>
      </c>
      <c r="L38" s="40">
        <v>0</v>
      </c>
      <c r="M38" s="19">
        <v>0</v>
      </c>
      <c r="N38" s="19">
        <v>0</v>
      </c>
      <c r="O38" s="18" t="s">
        <v>68</v>
      </c>
      <c r="P38" s="40">
        <v>0</v>
      </c>
      <c r="Q38" s="19">
        <v>0</v>
      </c>
      <c r="R38" s="19">
        <v>0</v>
      </c>
      <c r="S38" s="40">
        <v>0</v>
      </c>
      <c r="T38" s="19">
        <v>0</v>
      </c>
      <c r="U38" s="19">
        <v>0</v>
      </c>
      <c r="V38" s="18" t="s">
        <v>68</v>
      </c>
      <c r="W38" s="40">
        <v>0</v>
      </c>
      <c r="X38" s="19">
        <v>0</v>
      </c>
      <c r="Y38" s="19">
        <v>0</v>
      </c>
      <c r="Z38" s="40">
        <v>0</v>
      </c>
      <c r="AA38" s="19">
        <v>0</v>
      </c>
      <c r="AB38" s="19">
        <v>0</v>
      </c>
      <c r="AC38" s="18" t="s">
        <v>68</v>
      </c>
      <c r="AD38" s="40">
        <v>0</v>
      </c>
      <c r="AE38" s="19">
        <v>0</v>
      </c>
      <c r="AF38" s="19">
        <v>0</v>
      </c>
      <c r="AG38" s="40">
        <v>0</v>
      </c>
      <c r="AH38" s="19">
        <v>0</v>
      </c>
      <c r="AI38" s="19">
        <v>0</v>
      </c>
      <c r="AJ38" s="18" t="s">
        <v>68</v>
      </c>
      <c r="AK38" s="40">
        <v>1</v>
      </c>
      <c r="AL38" s="19">
        <v>1</v>
      </c>
      <c r="AM38" s="19">
        <v>1</v>
      </c>
      <c r="AN38" s="40">
        <v>1</v>
      </c>
      <c r="AO38" s="19">
        <v>0</v>
      </c>
      <c r="AP38" s="19">
        <v>0</v>
      </c>
      <c r="AQ38" s="18" t="s">
        <v>68</v>
      </c>
      <c r="AR38" s="40">
        <v>0</v>
      </c>
      <c r="AS38" s="19">
        <v>0</v>
      </c>
      <c r="AT38" s="19">
        <v>0</v>
      </c>
      <c r="AU38" s="40">
        <v>0</v>
      </c>
      <c r="AV38" s="19">
        <v>0</v>
      </c>
      <c r="AW38" s="19">
        <v>0</v>
      </c>
      <c r="AX38" s="18" t="s">
        <v>68</v>
      </c>
      <c r="AY38" s="40">
        <v>-0.4</v>
      </c>
      <c r="AZ38" s="19">
        <v>5</v>
      </c>
      <c r="BA38" s="19">
        <v>0</v>
      </c>
      <c r="BB38" s="40">
        <v>0</v>
      </c>
      <c r="BC38" s="40">
        <v>0.2</v>
      </c>
      <c r="BD38" s="19">
        <v>3</v>
      </c>
    </row>
    <row r="39" spans="1:56" ht="14.25" customHeight="1" x14ac:dyDescent="0.3">
      <c r="A39" s="18" t="s">
        <v>97</v>
      </c>
      <c r="B39" s="25" t="s">
        <v>80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8" t="s">
        <v>97</v>
      </c>
      <c r="I39" s="40">
        <v>0</v>
      </c>
      <c r="J39" s="19">
        <v>0</v>
      </c>
      <c r="K39" s="19">
        <v>0</v>
      </c>
      <c r="L39" s="40">
        <v>0</v>
      </c>
      <c r="M39" s="19">
        <v>0</v>
      </c>
      <c r="N39" s="19">
        <v>0</v>
      </c>
      <c r="O39" s="18" t="s">
        <v>97</v>
      </c>
      <c r="P39" s="40">
        <v>0</v>
      </c>
      <c r="Q39" s="19">
        <v>0</v>
      </c>
      <c r="R39" s="19">
        <v>0</v>
      </c>
      <c r="S39" s="40">
        <v>0</v>
      </c>
      <c r="T39" s="19">
        <v>0</v>
      </c>
      <c r="U39" s="19">
        <v>0</v>
      </c>
      <c r="V39" s="18" t="s">
        <v>97</v>
      </c>
      <c r="W39" s="40">
        <v>0</v>
      </c>
      <c r="X39" s="19">
        <v>0</v>
      </c>
      <c r="Y39" s="19">
        <v>0</v>
      </c>
      <c r="Z39" s="40">
        <v>0</v>
      </c>
      <c r="AA39" s="19">
        <v>0</v>
      </c>
      <c r="AB39" s="19">
        <v>0</v>
      </c>
      <c r="AC39" s="18" t="s">
        <v>97</v>
      </c>
      <c r="AD39" s="40">
        <v>0</v>
      </c>
      <c r="AE39" s="19">
        <v>0</v>
      </c>
      <c r="AF39" s="19">
        <v>0</v>
      </c>
      <c r="AG39" s="40">
        <v>0</v>
      </c>
      <c r="AH39" s="19">
        <v>0</v>
      </c>
      <c r="AI39" s="19">
        <v>0</v>
      </c>
      <c r="AJ39" s="18" t="s">
        <v>97</v>
      </c>
      <c r="AK39" s="40">
        <v>0</v>
      </c>
      <c r="AL39" s="19">
        <v>0</v>
      </c>
      <c r="AM39" s="19">
        <v>0</v>
      </c>
      <c r="AN39" s="40">
        <v>0</v>
      </c>
      <c r="AO39" s="19">
        <v>0</v>
      </c>
      <c r="AP39" s="19">
        <v>0</v>
      </c>
      <c r="AQ39" s="18" t="s">
        <v>97</v>
      </c>
      <c r="AR39" s="40">
        <v>0</v>
      </c>
      <c r="AS39" s="19">
        <v>0</v>
      </c>
      <c r="AT39" s="19">
        <v>0</v>
      </c>
      <c r="AU39" s="40">
        <v>0</v>
      </c>
      <c r="AV39" s="19">
        <v>0</v>
      </c>
      <c r="AW39" s="19">
        <v>0</v>
      </c>
      <c r="AX39" s="18" t="s">
        <v>97</v>
      </c>
      <c r="AY39" s="40">
        <v>0</v>
      </c>
      <c r="AZ39" s="19">
        <v>0</v>
      </c>
      <c r="BA39" s="19">
        <v>0</v>
      </c>
      <c r="BB39" s="40">
        <v>0</v>
      </c>
      <c r="BC39" s="40">
        <v>0</v>
      </c>
      <c r="BD39" s="19">
        <v>0</v>
      </c>
    </row>
    <row r="40" spans="1:56" ht="14.25" customHeight="1" x14ac:dyDescent="0.3">
      <c r="A40" s="18" t="s">
        <v>54</v>
      </c>
      <c r="B40" s="25" t="s">
        <v>80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8" t="s">
        <v>54</v>
      </c>
      <c r="I40" s="40">
        <v>0</v>
      </c>
      <c r="J40" s="19">
        <v>8</v>
      </c>
      <c r="K40" s="19">
        <v>3</v>
      </c>
      <c r="L40" s="40">
        <v>0.38</v>
      </c>
      <c r="M40" s="19">
        <v>0</v>
      </c>
      <c r="N40" s="19">
        <v>3</v>
      </c>
      <c r="O40" s="18" t="s">
        <v>54</v>
      </c>
      <c r="P40" s="40">
        <v>0</v>
      </c>
      <c r="Q40" s="19">
        <v>0</v>
      </c>
      <c r="R40" s="19">
        <v>0</v>
      </c>
      <c r="S40" s="40">
        <v>0</v>
      </c>
      <c r="T40" s="19">
        <v>0</v>
      </c>
      <c r="U40" s="19">
        <v>0</v>
      </c>
      <c r="V40" s="18" t="s">
        <v>54</v>
      </c>
      <c r="W40" s="40">
        <v>0.4</v>
      </c>
      <c r="X40" s="19">
        <v>10</v>
      </c>
      <c r="Y40" s="19">
        <v>4</v>
      </c>
      <c r="Z40" s="40">
        <v>0.4</v>
      </c>
      <c r="AA40" s="19">
        <v>0</v>
      </c>
      <c r="AB40" s="19">
        <v>0</v>
      </c>
      <c r="AC40" s="18" t="s">
        <v>54</v>
      </c>
      <c r="AD40" s="40">
        <v>0</v>
      </c>
      <c r="AE40" s="19">
        <v>0</v>
      </c>
      <c r="AF40" s="19">
        <v>0</v>
      </c>
      <c r="AG40" s="40">
        <v>0</v>
      </c>
      <c r="AH40" s="19">
        <v>0</v>
      </c>
      <c r="AI40" s="19">
        <v>0</v>
      </c>
      <c r="AJ40" s="18" t="s">
        <v>54</v>
      </c>
      <c r="AK40" s="40">
        <v>0</v>
      </c>
      <c r="AL40" s="19">
        <v>0</v>
      </c>
      <c r="AM40" s="19">
        <v>0</v>
      </c>
      <c r="AN40" s="40">
        <v>0</v>
      </c>
      <c r="AO40" s="19">
        <v>0</v>
      </c>
      <c r="AP40" s="19">
        <v>0</v>
      </c>
      <c r="AQ40" s="18" t="s">
        <v>54</v>
      </c>
      <c r="AR40" s="40">
        <v>0</v>
      </c>
      <c r="AS40" s="19">
        <v>0</v>
      </c>
      <c r="AT40" s="19">
        <v>0</v>
      </c>
      <c r="AU40" s="40">
        <v>0</v>
      </c>
      <c r="AV40" s="19">
        <v>0</v>
      </c>
      <c r="AW40" s="19">
        <v>0</v>
      </c>
      <c r="AX40" s="18" t="s">
        <v>54</v>
      </c>
      <c r="AY40" s="40">
        <v>-0.3</v>
      </c>
      <c r="AZ40" s="19">
        <v>10</v>
      </c>
      <c r="BA40" s="19">
        <v>2</v>
      </c>
      <c r="BB40" s="40">
        <v>0.2</v>
      </c>
      <c r="BC40" s="40">
        <v>0.1</v>
      </c>
      <c r="BD40" s="19">
        <v>6</v>
      </c>
    </row>
    <row r="41" spans="1:56" ht="14.25" customHeight="1" x14ac:dyDescent="0.3">
      <c r="A41" s="18" t="s">
        <v>87</v>
      </c>
      <c r="B41" s="25" t="s">
        <v>80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8" t="s">
        <v>87</v>
      </c>
      <c r="I41" s="40">
        <v>0</v>
      </c>
      <c r="J41" s="19">
        <v>0</v>
      </c>
      <c r="K41" s="19">
        <v>0</v>
      </c>
      <c r="L41" s="40">
        <v>0</v>
      </c>
      <c r="M41" s="19">
        <v>0</v>
      </c>
      <c r="N41" s="19">
        <v>0</v>
      </c>
      <c r="O41" s="18" t="s">
        <v>87</v>
      </c>
      <c r="P41" s="40">
        <v>0</v>
      </c>
      <c r="Q41" s="19">
        <v>0</v>
      </c>
      <c r="R41" s="19">
        <v>0</v>
      </c>
      <c r="S41" s="40">
        <v>0</v>
      </c>
      <c r="T41" s="19">
        <v>0</v>
      </c>
      <c r="U41" s="19">
        <v>0</v>
      </c>
      <c r="V41" s="18" t="s">
        <v>87</v>
      </c>
      <c r="W41" s="40">
        <v>0</v>
      </c>
      <c r="X41" s="19">
        <v>0</v>
      </c>
      <c r="Y41" s="19">
        <v>0</v>
      </c>
      <c r="Z41" s="40">
        <v>0</v>
      </c>
      <c r="AA41" s="19">
        <v>0</v>
      </c>
      <c r="AB41" s="19">
        <v>0</v>
      </c>
      <c r="AC41" s="18" t="s">
        <v>87</v>
      </c>
      <c r="AD41" s="40">
        <v>0</v>
      </c>
      <c r="AE41" s="19">
        <v>0</v>
      </c>
      <c r="AF41" s="19">
        <v>0</v>
      </c>
      <c r="AG41" s="40">
        <v>0</v>
      </c>
      <c r="AH41" s="19">
        <v>0</v>
      </c>
      <c r="AI41" s="19">
        <v>0</v>
      </c>
      <c r="AJ41" s="18" t="s">
        <v>87</v>
      </c>
      <c r="AK41" s="40">
        <v>0</v>
      </c>
      <c r="AL41" s="19">
        <v>0</v>
      </c>
      <c r="AM41" s="19">
        <v>0</v>
      </c>
      <c r="AN41" s="40">
        <v>0</v>
      </c>
      <c r="AO41" s="19">
        <v>0</v>
      </c>
      <c r="AP41" s="19">
        <v>0</v>
      </c>
      <c r="AQ41" s="18" t="s">
        <v>87</v>
      </c>
      <c r="AR41" s="40">
        <v>0</v>
      </c>
      <c r="AS41" s="19">
        <v>0</v>
      </c>
      <c r="AT41" s="19">
        <v>0</v>
      </c>
      <c r="AU41" s="40">
        <v>0</v>
      </c>
      <c r="AV41" s="19">
        <v>0</v>
      </c>
      <c r="AW41" s="19">
        <v>0</v>
      </c>
      <c r="AX41" s="18" t="s">
        <v>87</v>
      </c>
      <c r="AY41" s="40">
        <v>0</v>
      </c>
      <c r="AZ41" s="19">
        <v>0</v>
      </c>
      <c r="BA41" s="19">
        <v>0</v>
      </c>
      <c r="BB41" s="40">
        <v>0</v>
      </c>
      <c r="BC41" s="40">
        <v>0</v>
      </c>
      <c r="BD41" s="19">
        <v>0</v>
      </c>
    </row>
    <row r="42" spans="1:56" ht="14.25" customHeight="1" x14ac:dyDescent="0.3">
      <c r="A42" s="18" t="s">
        <v>94</v>
      </c>
      <c r="B42" s="39">
        <v>0.1</v>
      </c>
      <c r="C42" s="19">
        <v>15</v>
      </c>
      <c r="D42" s="19">
        <v>1</v>
      </c>
      <c r="E42" s="19">
        <v>2</v>
      </c>
      <c r="F42" s="19">
        <v>0</v>
      </c>
      <c r="G42" s="19">
        <v>0</v>
      </c>
      <c r="H42" s="18" t="s">
        <v>94</v>
      </c>
      <c r="I42" s="40">
        <v>0</v>
      </c>
      <c r="J42" s="19">
        <v>0</v>
      </c>
      <c r="K42" s="19">
        <v>0</v>
      </c>
      <c r="L42" s="40">
        <v>0</v>
      </c>
      <c r="M42" s="19">
        <v>0</v>
      </c>
      <c r="N42" s="19">
        <v>0</v>
      </c>
      <c r="O42" s="18" t="s">
        <v>94</v>
      </c>
      <c r="P42" s="40">
        <v>0</v>
      </c>
      <c r="Q42" s="19">
        <v>0</v>
      </c>
      <c r="R42" s="19">
        <v>0</v>
      </c>
      <c r="S42" s="40">
        <v>0</v>
      </c>
      <c r="T42" s="19">
        <v>0</v>
      </c>
      <c r="U42" s="19">
        <v>0</v>
      </c>
      <c r="V42" s="18" t="s">
        <v>94</v>
      </c>
      <c r="W42" s="40">
        <v>0</v>
      </c>
      <c r="X42" s="19">
        <v>0</v>
      </c>
      <c r="Y42" s="19">
        <v>0</v>
      </c>
      <c r="Z42" s="40">
        <v>0</v>
      </c>
      <c r="AA42" s="19">
        <v>0</v>
      </c>
      <c r="AB42" s="19">
        <v>0</v>
      </c>
      <c r="AC42" s="18" t="s">
        <v>94</v>
      </c>
      <c r="AD42" s="40">
        <v>0</v>
      </c>
      <c r="AE42" s="19">
        <v>0</v>
      </c>
      <c r="AF42" s="19">
        <v>0</v>
      </c>
      <c r="AG42" s="40">
        <v>0</v>
      </c>
      <c r="AH42" s="19">
        <v>0</v>
      </c>
      <c r="AI42" s="19">
        <v>0</v>
      </c>
      <c r="AJ42" s="18" t="s">
        <v>94</v>
      </c>
      <c r="AK42" s="40">
        <v>0</v>
      </c>
      <c r="AL42" s="19">
        <v>0</v>
      </c>
      <c r="AM42" s="19">
        <v>0</v>
      </c>
      <c r="AN42" s="40">
        <v>0</v>
      </c>
      <c r="AO42" s="19">
        <v>0</v>
      </c>
      <c r="AP42" s="19">
        <v>0</v>
      </c>
      <c r="AQ42" s="18" t="s">
        <v>94</v>
      </c>
      <c r="AR42" s="40">
        <v>0</v>
      </c>
      <c r="AS42" s="19">
        <v>0</v>
      </c>
      <c r="AT42" s="19">
        <v>0</v>
      </c>
      <c r="AU42" s="40">
        <v>0</v>
      </c>
      <c r="AV42" s="19">
        <v>0</v>
      </c>
      <c r="AW42" s="19">
        <v>0</v>
      </c>
      <c r="AX42" s="18" t="s">
        <v>94</v>
      </c>
      <c r="AY42" s="40">
        <v>0.67</v>
      </c>
      <c r="AZ42" s="19">
        <v>3</v>
      </c>
      <c r="BA42" s="19">
        <v>0</v>
      </c>
      <c r="BB42" s="40">
        <v>0</v>
      </c>
      <c r="BC42" s="40">
        <v>0.67</v>
      </c>
      <c r="BD42" s="19">
        <v>0</v>
      </c>
    </row>
    <row r="43" spans="1:56" ht="14.25" customHeight="1" x14ac:dyDescent="0.3">
      <c r="A43" s="18" t="s">
        <v>86</v>
      </c>
      <c r="B43" s="39">
        <v>-0.2</v>
      </c>
      <c r="C43" s="19">
        <v>5</v>
      </c>
      <c r="D43" s="19">
        <v>0</v>
      </c>
      <c r="E43" s="19">
        <v>0</v>
      </c>
      <c r="F43" s="19">
        <v>0</v>
      </c>
      <c r="G43" s="19">
        <v>1</v>
      </c>
      <c r="H43" s="18" t="s">
        <v>86</v>
      </c>
      <c r="I43" s="40">
        <v>0</v>
      </c>
      <c r="J43" s="19">
        <v>0</v>
      </c>
      <c r="K43" s="19">
        <v>0</v>
      </c>
      <c r="L43" s="40">
        <v>0</v>
      </c>
      <c r="M43" s="19">
        <v>0</v>
      </c>
      <c r="N43" s="19">
        <v>0</v>
      </c>
      <c r="O43" s="18" t="s">
        <v>86</v>
      </c>
      <c r="P43" s="40">
        <v>0.38</v>
      </c>
      <c r="Q43" s="19">
        <v>8</v>
      </c>
      <c r="R43" s="19">
        <v>5</v>
      </c>
      <c r="S43" s="40">
        <v>0.62</v>
      </c>
      <c r="T43" s="19">
        <v>1</v>
      </c>
      <c r="U43" s="19">
        <v>1</v>
      </c>
      <c r="V43" s="18" t="s">
        <v>86</v>
      </c>
      <c r="W43" s="40">
        <v>0</v>
      </c>
      <c r="X43" s="19">
        <v>0</v>
      </c>
      <c r="Y43" s="19">
        <v>0</v>
      </c>
      <c r="Z43" s="40">
        <v>0</v>
      </c>
      <c r="AA43" s="19">
        <v>0</v>
      </c>
      <c r="AB43" s="19">
        <v>0</v>
      </c>
      <c r="AC43" s="18" t="s">
        <v>86</v>
      </c>
      <c r="AD43" s="40">
        <v>0</v>
      </c>
      <c r="AE43" s="19">
        <v>0</v>
      </c>
      <c r="AF43" s="19">
        <v>0</v>
      </c>
      <c r="AG43" s="40">
        <v>0</v>
      </c>
      <c r="AH43" s="19">
        <v>0</v>
      </c>
      <c r="AI43" s="19">
        <v>0</v>
      </c>
      <c r="AJ43" s="18" t="s">
        <v>86</v>
      </c>
      <c r="AK43" s="40">
        <v>0</v>
      </c>
      <c r="AL43" s="19">
        <v>0</v>
      </c>
      <c r="AM43" s="19">
        <v>0</v>
      </c>
      <c r="AN43" s="40">
        <v>0</v>
      </c>
      <c r="AO43" s="19">
        <v>0</v>
      </c>
      <c r="AP43" s="19">
        <v>0</v>
      </c>
      <c r="AQ43" s="18" t="s">
        <v>86</v>
      </c>
      <c r="AR43" s="40">
        <v>0.5</v>
      </c>
      <c r="AS43" s="19">
        <v>4</v>
      </c>
      <c r="AT43" s="19">
        <v>2</v>
      </c>
      <c r="AU43" s="40">
        <v>0.5</v>
      </c>
      <c r="AV43" s="19">
        <v>0</v>
      </c>
      <c r="AW43" s="19">
        <v>0</v>
      </c>
      <c r="AX43" s="18" t="s">
        <v>86</v>
      </c>
      <c r="AY43" s="40">
        <v>-1</v>
      </c>
      <c r="AZ43" s="19">
        <v>2</v>
      </c>
      <c r="BA43" s="19">
        <v>0</v>
      </c>
      <c r="BB43" s="40">
        <v>0</v>
      </c>
      <c r="BC43" s="40">
        <v>0</v>
      </c>
      <c r="BD43" s="19">
        <v>2</v>
      </c>
    </row>
    <row r="44" spans="1:56" ht="14.25" customHeight="1" x14ac:dyDescent="0.3">
      <c r="A44" s="18" t="s">
        <v>85</v>
      </c>
      <c r="B44" s="39">
        <v>-0.2</v>
      </c>
      <c r="C44" s="19">
        <v>5</v>
      </c>
      <c r="D44" s="19">
        <v>0</v>
      </c>
      <c r="E44" s="19">
        <v>0</v>
      </c>
      <c r="F44" s="19">
        <v>0</v>
      </c>
      <c r="G44" s="19">
        <v>1</v>
      </c>
      <c r="H44" s="18" t="s">
        <v>85</v>
      </c>
      <c r="I44" s="40">
        <v>0</v>
      </c>
      <c r="J44" s="19">
        <v>0</v>
      </c>
      <c r="K44" s="19">
        <v>0</v>
      </c>
      <c r="L44" s="40">
        <v>0</v>
      </c>
      <c r="M44" s="19">
        <v>0</v>
      </c>
      <c r="N44" s="19">
        <v>0</v>
      </c>
      <c r="O44" s="18" t="s">
        <v>85</v>
      </c>
      <c r="P44" s="40">
        <v>0</v>
      </c>
      <c r="Q44" s="19">
        <v>13</v>
      </c>
      <c r="R44" s="19">
        <v>3</v>
      </c>
      <c r="S44" s="40">
        <v>0.23</v>
      </c>
      <c r="T44" s="19">
        <v>3</v>
      </c>
      <c r="U44" s="19">
        <v>0</v>
      </c>
      <c r="V44" s="18" t="s">
        <v>85</v>
      </c>
      <c r="W44" s="40">
        <v>0</v>
      </c>
      <c r="X44" s="19">
        <v>0</v>
      </c>
      <c r="Y44" s="19">
        <v>0</v>
      </c>
      <c r="Z44" s="40">
        <v>0</v>
      </c>
      <c r="AA44" s="19">
        <v>0</v>
      </c>
      <c r="AB44" s="19">
        <v>0</v>
      </c>
      <c r="AC44" s="18" t="s">
        <v>85</v>
      </c>
      <c r="AD44" s="40">
        <v>0</v>
      </c>
      <c r="AE44" s="19">
        <v>0</v>
      </c>
      <c r="AF44" s="19">
        <v>0</v>
      </c>
      <c r="AG44" s="40">
        <v>0</v>
      </c>
      <c r="AH44" s="19">
        <v>0</v>
      </c>
      <c r="AI44" s="19">
        <v>0</v>
      </c>
      <c r="AJ44" s="18" t="s">
        <v>85</v>
      </c>
      <c r="AK44" s="40">
        <v>0</v>
      </c>
      <c r="AL44" s="19">
        <v>0</v>
      </c>
      <c r="AM44" s="19">
        <v>0</v>
      </c>
      <c r="AN44" s="40">
        <v>0</v>
      </c>
      <c r="AO44" s="19">
        <v>0</v>
      </c>
      <c r="AP44" s="19">
        <v>0</v>
      </c>
      <c r="AQ44" s="18" t="s">
        <v>85</v>
      </c>
      <c r="AR44" s="40">
        <v>0</v>
      </c>
      <c r="AS44" s="19">
        <v>0</v>
      </c>
      <c r="AT44" s="19">
        <v>0</v>
      </c>
      <c r="AU44" s="40">
        <v>0</v>
      </c>
      <c r="AV44" s="19">
        <v>0</v>
      </c>
      <c r="AW44" s="19">
        <v>0</v>
      </c>
      <c r="AX44" s="18" t="s">
        <v>85</v>
      </c>
      <c r="AY44" s="40">
        <v>0</v>
      </c>
      <c r="AZ44" s="19">
        <v>6</v>
      </c>
      <c r="BA44" s="19">
        <v>0</v>
      </c>
      <c r="BB44" s="40">
        <v>0</v>
      </c>
      <c r="BC44" s="40">
        <v>0.33</v>
      </c>
      <c r="BD44" s="19">
        <v>2</v>
      </c>
    </row>
    <row r="45" spans="1:56" ht="14.25" customHeight="1" x14ac:dyDescent="0.3">
      <c r="A45" s="18" t="s">
        <v>67</v>
      </c>
      <c r="B45" s="25" t="s">
        <v>80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8" t="s">
        <v>67</v>
      </c>
      <c r="I45" s="40">
        <v>0</v>
      </c>
      <c r="J45" s="19">
        <v>0</v>
      </c>
      <c r="K45" s="19">
        <v>0</v>
      </c>
      <c r="L45" s="40">
        <v>0</v>
      </c>
      <c r="M45" s="19">
        <v>0</v>
      </c>
      <c r="N45" s="19">
        <v>0</v>
      </c>
      <c r="O45" s="18" t="s">
        <v>67</v>
      </c>
      <c r="P45" s="40">
        <v>0</v>
      </c>
      <c r="Q45" s="19">
        <v>0</v>
      </c>
      <c r="R45" s="19">
        <v>0</v>
      </c>
      <c r="S45" s="40">
        <v>0</v>
      </c>
      <c r="T45" s="19">
        <v>0</v>
      </c>
      <c r="U45" s="19">
        <v>0</v>
      </c>
      <c r="V45" s="18" t="s">
        <v>67</v>
      </c>
      <c r="W45" s="40">
        <v>0</v>
      </c>
      <c r="X45" s="19">
        <v>0</v>
      </c>
      <c r="Y45" s="19">
        <v>0</v>
      </c>
      <c r="Z45" s="40">
        <v>0</v>
      </c>
      <c r="AA45" s="19">
        <v>0</v>
      </c>
      <c r="AB45" s="19">
        <v>0</v>
      </c>
      <c r="AC45" s="18" t="s">
        <v>67</v>
      </c>
      <c r="AD45" s="40">
        <v>0</v>
      </c>
      <c r="AE45" s="19">
        <v>0</v>
      </c>
      <c r="AF45" s="19">
        <v>0</v>
      </c>
      <c r="AG45" s="40">
        <v>0</v>
      </c>
      <c r="AH45" s="19">
        <v>0</v>
      </c>
      <c r="AI45" s="19">
        <v>0</v>
      </c>
      <c r="AJ45" s="18" t="s">
        <v>67</v>
      </c>
      <c r="AK45" s="40">
        <v>0</v>
      </c>
      <c r="AL45" s="19">
        <v>0</v>
      </c>
      <c r="AM45" s="19">
        <v>0</v>
      </c>
      <c r="AN45" s="40">
        <v>0</v>
      </c>
      <c r="AO45" s="19">
        <v>0</v>
      </c>
      <c r="AP45" s="19">
        <v>0</v>
      </c>
      <c r="AQ45" s="18" t="s">
        <v>67</v>
      </c>
      <c r="AR45" s="40">
        <v>0</v>
      </c>
      <c r="AS45" s="19">
        <v>0</v>
      </c>
      <c r="AT45" s="19">
        <v>0</v>
      </c>
      <c r="AU45" s="40">
        <v>0</v>
      </c>
      <c r="AV45" s="19">
        <v>0</v>
      </c>
      <c r="AW45" s="19">
        <v>0</v>
      </c>
      <c r="AX45" s="18" t="s">
        <v>67</v>
      </c>
      <c r="AY45" s="40">
        <v>0</v>
      </c>
      <c r="AZ45" s="19">
        <v>0</v>
      </c>
      <c r="BA45" s="19">
        <v>0</v>
      </c>
      <c r="BB45" s="40">
        <v>0</v>
      </c>
      <c r="BC45" s="40">
        <v>0</v>
      </c>
      <c r="BD45" s="19">
        <v>0</v>
      </c>
    </row>
    <row r="46" spans="1:56" ht="14.25" customHeight="1" x14ac:dyDescent="0.3">
      <c r="A46" s="18" t="s">
        <v>88</v>
      </c>
      <c r="B46" s="19">
        <v>0</v>
      </c>
      <c r="C46" s="19">
        <v>1</v>
      </c>
      <c r="D46" s="19">
        <v>0</v>
      </c>
      <c r="E46" s="19">
        <v>0</v>
      </c>
      <c r="F46" s="19">
        <v>0</v>
      </c>
      <c r="G46" s="19">
        <v>0</v>
      </c>
      <c r="H46" s="18" t="s">
        <v>88</v>
      </c>
      <c r="I46" s="40">
        <v>0</v>
      </c>
      <c r="J46" s="19">
        <v>0</v>
      </c>
      <c r="K46" s="19">
        <v>0</v>
      </c>
      <c r="L46" s="40">
        <v>0</v>
      </c>
      <c r="M46" s="19">
        <v>0</v>
      </c>
      <c r="N46" s="19">
        <v>0</v>
      </c>
      <c r="O46" s="18" t="s">
        <v>88</v>
      </c>
      <c r="P46" s="40">
        <v>0</v>
      </c>
      <c r="Q46" s="19">
        <v>0</v>
      </c>
      <c r="R46" s="19">
        <v>0</v>
      </c>
      <c r="S46" s="40">
        <v>0</v>
      </c>
      <c r="T46" s="19">
        <v>0</v>
      </c>
      <c r="U46" s="19">
        <v>0</v>
      </c>
      <c r="V46" s="18" t="s">
        <v>88</v>
      </c>
      <c r="W46" s="40">
        <v>0</v>
      </c>
      <c r="X46" s="19">
        <v>0</v>
      </c>
      <c r="Y46" s="19">
        <v>0</v>
      </c>
      <c r="Z46" s="40">
        <v>0</v>
      </c>
      <c r="AA46" s="19">
        <v>0</v>
      </c>
      <c r="AB46" s="19">
        <v>0</v>
      </c>
      <c r="AC46" s="18" t="s">
        <v>88</v>
      </c>
      <c r="AD46" s="40">
        <v>0</v>
      </c>
      <c r="AE46" s="19">
        <v>0</v>
      </c>
      <c r="AF46" s="19">
        <v>0</v>
      </c>
      <c r="AG46" s="40">
        <v>0</v>
      </c>
      <c r="AH46" s="19">
        <v>0</v>
      </c>
      <c r="AI46" s="19">
        <v>0</v>
      </c>
      <c r="AJ46" s="18" t="s">
        <v>88</v>
      </c>
      <c r="AK46" s="40">
        <v>0</v>
      </c>
      <c r="AL46" s="19">
        <v>0</v>
      </c>
      <c r="AM46" s="19">
        <v>0</v>
      </c>
      <c r="AN46" s="40">
        <v>0</v>
      </c>
      <c r="AO46" s="19">
        <v>0</v>
      </c>
      <c r="AP46" s="19">
        <v>0</v>
      </c>
      <c r="AQ46" s="18" t="s">
        <v>88</v>
      </c>
      <c r="AR46" s="40">
        <v>0</v>
      </c>
      <c r="AS46" s="19">
        <v>0</v>
      </c>
      <c r="AT46" s="19">
        <v>0</v>
      </c>
      <c r="AU46" s="40">
        <v>0</v>
      </c>
      <c r="AV46" s="19">
        <v>0</v>
      </c>
      <c r="AW46" s="19">
        <v>0</v>
      </c>
      <c r="AX46" s="18" t="s">
        <v>88</v>
      </c>
      <c r="AY46" s="40">
        <v>0</v>
      </c>
      <c r="AZ46" s="19">
        <v>0</v>
      </c>
      <c r="BA46" s="19">
        <v>0</v>
      </c>
      <c r="BB46" s="40">
        <v>0</v>
      </c>
      <c r="BC46" s="40">
        <v>0</v>
      </c>
      <c r="BD46" s="19">
        <v>0</v>
      </c>
    </row>
    <row r="47" spans="1:56" ht="14.25" customHeight="1" x14ac:dyDescent="0.3">
      <c r="A47" s="18" t="s">
        <v>69</v>
      </c>
      <c r="B47" s="39">
        <v>-0.1071</v>
      </c>
      <c r="C47" s="19">
        <v>7</v>
      </c>
      <c r="D47" s="19">
        <v>0</v>
      </c>
      <c r="E47" s="19">
        <v>1</v>
      </c>
      <c r="F47" s="19">
        <v>0</v>
      </c>
      <c r="G47" s="19">
        <v>1</v>
      </c>
      <c r="H47" s="18" t="s">
        <v>69</v>
      </c>
      <c r="I47" s="40">
        <v>0</v>
      </c>
      <c r="J47" s="19">
        <v>0</v>
      </c>
      <c r="K47" s="19">
        <v>0</v>
      </c>
      <c r="L47" s="40">
        <v>0</v>
      </c>
      <c r="M47" s="19">
        <v>0</v>
      </c>
      <c r="N47" s="19">
        <v>0</v>
      </c>
      <c r="O47" s="18" t="s">
        <v>69</v>
      </c>
      <c r="P47" s="40">
        <v>0</v>
      </c>
      <c r="Q47" s="19">
        <v>0</v>
      </c>
      <c r="R47" s="19">
        <v>0</v>
      </c>
      <c r="S47" s="40">
        <v>0</v>
      </c>
      <c r="T47" s="19">
        <v>0</v>
      </c>
      <c r="U47" s="19">
        <v>0</v>
      </c>
      <c r="V47" s="18" t="s">
        <v>69</v>
      </c>
      <c r="W47" s="40">
        <v>0</v>
      </c>
      <c r="X47" s="19">
        <v>0</v>
      </c>
      <c r="Y47" s="19">
        <v>0</v>
      </c>
      <c r="Z47" s="40">
        <v>0</v>
      </c>
      <c r="AA47" s="19">
        <v>0</v>
      </c>
      <c r="AB47" s="19">
        <v>0</v>
      </c>
      <c r="AC47" s="18" t="s">
        <v>69</v>
      </c>
      <c r="AD47" s="40">
        <v>0</v>
      </c>
      <c r="AE47" s="19">
        <v>0</v>
      </c>
      <c r="AF47" s="19">
        <v>0</v>
      </c>
      <c r="AG47" s="40">
        <v>0</v>
      </c>
      <c r="AH47" s="19">
        <v>0</v>
      </c>
      <c r="AI47" s="19">
        <v>0</v>
      </c>
      <c r="AJ47" s="18" t="s">
        <v>69</v>
      </c>
      <c r="AK47" s="40">
        <v>0</v>
      </c>
      <c r="AL47" s="19">
        <v>0</v>
      </c>
      <c r="AM47" s="19">
        <v>0</v>
      </c>
      <c r="AN47" s="40">
        <v>0</v>
      </c>
      <c r="AO47" s="19">
        <v>0</v>
      </c>
      <c r="AP47" s="19">
        <v>0</v>
      </c>
      <c r="AQ47" s="18" t="s">
        <v>69</v>
      </c>
      <c r="AR47" s="40">
        <v>0</v>
      </c>
      <c r="AS47" s="19">
        <v>0</v>
      </c>
      <c r="AT47" s="19">
        <v>0</v>
      </c>
      <c r="AU47" s="40">
        <v>0</v>
      </c>
      <c r="AV47" s="19">
        <v>0</v>
      </c>
      <c r="AW47" s="19">
        <v>0</v>
      </c>
      <c r="AX47" s="18" t="s">
        <v>69</v>
      </c>
      <c r="AY47" s="40">
        <v>-0.75</v>
      </c>
      <c r="AZ47" s="19">
        <v>4</v>
      </c>
      <c r="BA47" s="19">
        <v>0</v>
      </c>
      <c r="BB47" s="40">
        <v>0</v>
      </c>
      <c r="BC47" s="40">
        <v>0</v>
      </c>
      <c r="BD47" s="19">
        <v>3</v>
      </c>
    </row>
    <row r="48" spans="1:56" ht="14.25" customHeight="1" x14ac:dyDescent="0.3">
      <c r="A48" s="27" t="s">
        <v>66</v>
      </c>
      <c r="B48" s="25" t="s">
        <v>80</v>
      </c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27" t="s">
        <v>66</v>
      </c>
      <c r="I48" s="40">
        <v>0</v>
      </c>
      <c r="J48" s="19">
        <v>0</v>
      </c>
      <c r="K48" s="19">
        <v>0</v>
      </c>
      <c r="L48" s="40">
        <v>0</v>
      </c>
      <c r="M48" s="19">
        <v>0</v>
      </c>
      <c r="N48" s="19">
        <v>0</v>
      </c>
      <c r="O48" s="27" t="s">
        <v>66</v>
      </c>
      <c r="P48" s="40">
        <v>0</v>
      </c>
      <c r="Q48" s="19">
        <v>0</v>
      </c>
      <c r="R48" s="19">
        <v>0</v>
      </c>
      <c r="S48" s="40">
        <v>0</v>
      </c>
      <c r="T48" s="19">
        <v>0</v>
      </c>
      <c r="U48" s="19">
        <v>0</v>
      </c>
      <c r="V48" s="27" t="s">
        <v>66</v>
      </c>
      <c r="W48" s="40">
        <v>0</v>
      </c>
      <c r="X48" s="19">
        <v>0</v>
      </c>
      <c r="Y48" s="19">
        <v>0</v>
      </c>
      <c r="Z48" s="40">
        <v>0</v>
      </c>
      <c r="AA48" s="19">
        <v>0</v>
      </c>
      <c r="AB48" s="19">
        <v>0</v>
      </c>
      <c r="AC48" s="27" t="s">
        <v>66</v>
      </c>
      <c r="AD48" s="41">
        <v>0</v>
      </c>
      <c r="AE48" s="29">
        <v>0</v>
      </c>
      <c r="AF48" s="29">
        <v>0</v>
      </c>
      <c r="AG48" s="41">
        <v>0</v>
      </c>
      <c r="AH48" s="29">
        <v>0</v>
      </c>
      <c r="AI48" s="29">
        <v>0</v>
      </c>
      <c r="AJ48" s="27" t="s">
        <v>66</v>
      </c>
      <c r="AK48" s="41">
        <v>0</v>
      </c>
      <c r="AL48" s="29">
        <v>0</v>
      </c>
      <c r="AM48" s="29">
        <v>0</v>
      </c>
      <c r="AN48" s="41">
        <v>0</v>
      </c>
      <c r="AO48" s="29">
        <v>0</v>
      </c>
      <c r="AP48" s="29">
        <v>0</v>
      </c>
      <c r="AQ48" s="27" t="s">
        <v>66</v>
      </c>
      <c r="AR48" s="40">
        <v>0</v>
      </c>
      <c r="AS48" s="19">
        <v>0</v>
      </c>
      <c r="AT48" s="19">
        <v>0</v>
      </c>
      <c r="AU48" s="40">
        <v>0</v>
      </c>
      <c r="AV48" s="19">
        <v>0</v>
      </c>
      <c r="AW48" s="19">
        <v>0</v>
      </c>
      <c r="AX48" s="27" t="s">
        <v>66</v>
      </c>
      <c r="AY48" s="41">
        <v>0</v>
      </c>
      <c r="AZ48" s="29">
        <v>0</v>
      </c>
      <c r="BA48" s="29">
        <v>0</v>
      </c>
      <c r="BB48" s="41">
        <v>0</v>
      </c>
      <c r="BC48" s="41">
        <v>0</v>
      </c>
      <c r="BD48" s="29">
        <v>0</v>
      </c>
    </row>
    <row r="49" spans="1:56" ht="14.25" customHeight="1" x14ac:dyDescent="0.3">
      <c r="A49" s="27" t="s">
        <v>110</v>
      </c>
      <c r="B49" s="25" t="s">
        <v>80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7" t="s">
        <v>110</v>
      </c>
      <c r="I49" s="40">
        <v>0</v>
      </c>
      <c r="J49" s="19">
        <v>0</v>
      </c>
      <c r="K49" s="19">
        <v>0</v>
      </c>
      <c r="L49" s="40">
        <v>0</v>
      </c>
      <c r="M49" s="19">
        <v>0</v>
      </c>
      <c r="N49" s="19">
        <v>0</v>
      </c>
      <c r="O49" s="27" t="s">
        <v>110</v>
      </c>
      <c r="P49" s="40">
        <v>0</v>
      </c>
      <c r="Q49" s="19">
        <v>0</v>
      </c>
      <c r="R49" s="19">
        <v>0</v>
      </c>
      <c r="S49" s="40">
        <v>0</v>
      </c>
      <c r="T49" s="19">
        <v>0</v>
      </c>
      <c r="U49" s="19">
        <v>0</v>
      </c>
      <c r="V49" s="27" t="s">
        <v>110</v>
      </c>
      <c r="W49" s="40">
        <v>0</v>
      </c>
      <c r="X49" s="19">
        <v>0</v>
      </c>
      <c r="Y49" s="19">
        <v>0</v>
      </c>
      <c r="Z49" s="40">
        <v>0</v>
      </c>
      <c r="AA49" s="19">
        <v>0</v>
      </c>
      <c r="AB49" s="19">
        <v>0</v>
      </c>
      <c r="AC49" s="27" t="s">
        <v>110</v>
      </c>
      <c r="AD49" s="41">
        <v>0</v>
      </c>
      <c r="AE49" s="29">
        <v>0</v>
      </c>
      <c r="AF49" s="29">
        <v>0</v>
      </c>
      <c r="AG49" s="41">
        <v>0</v>
      </c>
      <c r="AH49" s="29">
        <v>0</v>
      </c>
      <c r="AI49" s="29">
        <v>0</v>
      </c>
      <c r="AJ49" s="27" t="s">
        <v>110</v>
      </c>
      <c r="AK49" s="41">
        <v>0</v>
      </c>
      <c r="AL49" s="29">
        <v>0</v>
      </c>
      <c r="AM49" s="29">
        <v>0</v>
      </c>
      <c r="AN49" s="41">
        <v>0</v>
      </c>
      <c r="AO49" s="29">
        <v>0</v>
      </c>
      <c r="AP49" s="29">
        <v>0</v>
      </c>
      <c r="AQ49" s="27" t="s">
        <v>110</v>
      </c>
      <c r="AR49" s="40">
        <v>0</v>
      </c>
      <c r="AS49" s="19">
        <v>0</v>
      </c>
      <c r="AT49" s="19">
        <v>0</v>
      </c>
      <c r="AU49" s="40">
        <v>0</v>
      </c>
      <c r="AV49" s="19">
        <v>0</v>
      </c>
      <c r="AW49" s="19">
        <v>0</v>
      </c>
      <c r="AX49" s="27" t="s">
        <v>110</v>
      </c>
      <c r="AY49" s="41">
        <v>0</v>
      </c>
      <c r="AZ49" s="29">
        <v>0</v>
      </c>
      <c r="BA49" s="29">
        <v>0</v>
      </c>
      <c r="BB49" s="41">
        <v>0</v>
      </c>
      <c r="BC49" s="41">
        <v>0</v>
      </c>
      <c r="BD49" s="29">
        <v>0</v>
      </c>
    </row>
    <row r="50" spans="1:56" ht="14.25" customHeight="1" x14ac:dyDescent="0.3">
      <c r="A50" s="10"/>
      <c r="B50" s="10"/>
      <c r="C50" s="10"/>
      <c r="D50" s="10"/>
      <c r="E50" s="10"/>
      <c r="F50" s="10"/>
      <c r="G50" s="1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</row>
    <row r="51" spans="1:56" ht="14.25" customHeight="1" x14ac:dyDescent="0.3">
      <c r="A51" s="18" t="s">
        <v>111</v>
      </c>
      <c r="B51" s="12" t="s">
        <v>101</v>
      </c>
      <c r="C51" s="12" t="s">
        <v>102</v>
      </c>
      <c r="D51" s="12" t="s">
        <v>26</v>
      </c>
      <c r="E51" s="12" t="s">
        <v>103</v>
      </c>
      <c r="F51" s="12" t="s">
        <v>104</v>
      </c>
      <c r="G51" s="12" t="s">
        <v>105</v>
      </c>
      <c r="H51" s="18" t="s">
        <v>83</v>
      </c>
      <c r="I51" s="12" t="s">
        <v>101</v>
      </c>
      <c r="J51" s="12" t="s">
        <v>102</v>
      </c>
      <c r="K51" s="12" t="s">
        <v>26</v>
      </c>
      <c r="L51" s="12" t="s">
        <v>106</v>
      </c>
      <c r="M51" s="12" t="s">
        <v>104</v>
      </c>
      <c r="N51" s="12" t="s">
        <v>105</v>
      </c>
      <c r="O51" s="18" t="s">
        <v>73</v>
      </c>
      <c r="P51" s="12" t="s">
        <v>101</v>
      </c>
      <c r="Q51" s="12" t="s">
        <v>102</v>
      </c>
      <c r="R51" s="12" t="s">
        <v>26</v>
      </c>
      <c r="S51" s="12" t="s">
        <v>106</v>
      </c>
      <c r="T51" s="12" t="s">
        <v>104</v>
      </c>
      <c r="U51" s="12" t="s">
        <v>105</v>
      </c>
      <c r="V51" s="18" t="s">
        <v>79</v>
      </c>
      <c r="W51" s="12" t="s">
        <v>101</v>
      </c>
      <c r="X51" s="12" t="s">
        <v>102</v>
      </c>
      <c r="Y51" s="12" t="s">
        <v>26</v>
      </c>
      <c r="Z51" s="12" t="s">
        <v>106</v>
      </c>
      <c r="AA51" s="12" t="s">
        <v>104</v>
      </c>
      <c r="AB51" s="12" t="s">
        <v>105</v>
      </c>
      <c r="AC51" s="18" t="s">
        <v>77</v>
      </c>
      <c r="AD51" s="12" t="s">
        <v>101</v>
      </c>
      <c r="AE51" s="12" t="s">
        <v>102</v>
      </c>
      <c r="AF51" s="12" t="s">
        <v>26</v>
      </c>
      <c r="AG51" s="12" t="s">
        <v>106</v>
      </c>
      <c r="AH51" s="12" t="s">
        <v>104</v>
      </c>
      <c r="AI51" s="12" t="s">
        <v>105</v>
      </c>
      <c r="AJ51" s="11" t="s">
        <v>81</v>
      </c>
      <c r="AK51" s="12" t="s">
        <v>101</v>
      </c>
      <c r="AL51" s="12" t="s">
        <v>102</v>
      </c>
      <c r="AM51" s="12" t="s">
        <v>26</v>
      </c>
      <c r="AN51" s="12" t="s">
        <v>106</v>
      </c>
      <c r="AO51" s="12" t="s">
        <v>104</v>
      </c>
      <c r="AP51" s="12" t="s">
        <v>105</v>
      </c>
      <c r="AQ51" s="18" t="s">
        <v>112</v>
      </c>
      <c r="AR51" s="12" t="s">
        <v>101</v>
      </c>
      <c r="AS51" s="12" t="s">
        <v>102</v>
      </c>
      <c r="AT51" s="12" t="s">
        <v>26</v>
      </c>
      <c r="AU51" s="12" t="s">
        <v>106</v>
      </c>
      <c r="AV51" s="12" t="s">
        <v>104</v>
      </c>
      <c r="AW51" s="12" t="s">
        <v>105</v>
      </c>
      <c r="AX51" s="18" t="s">
        <v>113</v>
      </c>
      <c r="AY51" s="12" t="s">
        <v>101</v>
      </c>
      <c r="AZ51" s="12" t="s">
        <v>102</v>
      </c>
      <c r="BA51" s="12" t="s">
        <v>26</v>
      </c>
      <c r="BB51" s="12" t="s">
        <v>106</v>
      </c>
      <c r="BC51" s="12" t="s">
        <v>104</v>
      </c>
      <c r="BD51" s="12" t="s">
        <v>105</v>
      </c>
    </row>
    <row r="52" spans="1:56" ht="14.25" customHeight="1" x14ac:dyDescent="0.3">
      <c r="A52" s="11" t="s">
        <v>109</v>
      </c>
      <c r="B52" s="39">
        <v>-0.46589999999999998</v>
      </c>
      <c r="C52" s="19">
        <v>22</v>
      </c>
      <c r="D52" s="19">
        <v>0</v>
      </c>
      <c r="E52" s="19">
        <v>3</v>
      </c>
      <c r="F52" s="19">
        <v>0</v>
      </c>
      <c r="G52" s="19">
        <v>11</v>
      </c>
      <c r="H52" s="18" t="s">
        <v>109</v>
      </c>
      <c r="I52" s="40">
        <v>0.6</v>
      </c>
      <c r="J52" s="19">
        <v>5</v>
      </c>
      <c r="K52" s="19">
        <v>4</v>
      </c>
      <c r="L52" s="40">
        <v>0.8</v>
      </c>
      <c r="M52" s="19">
        <v>1</v>
      </c>
      <c r="N52" s="19">
        <v>0</v>
      </c>
      <c r="O52" s="18" t="s">
        <v>109</v>
      </c>
      <c r="P52" s="40">
        <v>0</v>
      </c>
      <c r="Q52" s="19">
        <v>0</v>
      </c>
      <c r="R52" s="19">
        <v>0</v>
      </c>
      <c r="S52" s="40">
        <v>0</v>
      </c>
      <c r="T52" s="19">
        <v>0</v>
      </c>
      <c r="U52" s="19">
        <v>0</v>
      </c>
      <c r="V52" s="18" t="s">
        <v>109</v>
      </c>
      <c r="W52" s="40">
        <v>0</v>
      </c>
      <c r="X52" s="19">
        <v>0</v>
      </c>
      <c r="Y52" s="19">
        <v>0</v>
      </c>
      <c r="Z52" s="40">
        <v>0</v>
      </c>
      <c r="AA52" s="19">
        <v>0</v>
      </c>
      <c r="AB52" s="19">
        <v>0</v>
      </c>
      <c r="AC52" s="18" t="s">
        <v>109</v>
      </c>
      <c r="AD52" s="40">
        <v>0.45</v>
      </c>
      <c r="AE52" s="19">
        <v>11</v>
      </c>
      <c r="AF52" s="19">
        <v>5</v>
      </c>
      <c r="AG52" s="40">
        <v>0.45</v>
      </c>
      <c r="AH52" s="19">
        <v>0</v>
      </c>
      <c r="AI52" s="19">
        <v>0</v>
      </c>
      <c r="AJ52" s="18" t="s">
        <v>109</v>
      </c>
      <c r="AK52" s="40">
        <v>0</v>
      </c>
      <c r="AL52" s="19">
        <v>0</v>
      </c>
      <c r="AM52" s="19">
        <v>0</v>
      </c>
      <c r="AN52" s="40">
        <v>0</v>
      </c>
      <c r="AO52" s="19">
        <v>0</v>
      </c>
      <c r="AP52" s="19">
        <v>0</v>
      </c>
      <c r="AQ52" s="18" t="s">
        <v>109</v>
      </c>
      <c r="AR52" s="40">
        <v>0.32</v>
      </c>
      <c r="AS52" s="19">
        <v>28</v>
      </c>
      <c r="AT52" s="19">
        <v>13</v>
      </c>
      <c r="AU52" s="40">
        <v>0.46</v>
      </c>
      <c r="AV52" s="19">
        <v>1</v>
      </c>
      <c r="AW52" s="19">
        <v>3</v>
      </c>
      <c r="AX52" s="18" t="s">
        <v>109</v>
      </c>
      <c r="AY52" s="40">
        <v>0.28000000000000003</v>
      </c>
      <c r="AZ52" s="19">
        <v>58</v>
      </c>
      <c r="BA52" s="19">
        <v>24</v>
      </c>
      <c r="BB52" s="40">
        <v>0.41</v>
      </c>
      <c r="BC52" s="19">
        <v>5</v>
      </c>
      <c r="BD52" s="19">
        <v>3</v>
      </c>
    </row>
    <row r="53" spans="1:56" ht="14.25" customHeight="1" x14ac:dyDescent="0.3">
      <c r="A53" s="11" t="s">
        <v>68</v>
      </c>
      <c r="B53" s="25" t="s">
        <v>80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8" t="s">
        <v>68</v>
      </c>
      <c r="I53" s="40">
        <v>0</v>
      </c>
      <c r="J53" s="19">
        <v>0</v>
      </c>
      <c r="K53" s="19">
        <v>0</v>
      </c>
      <c r="L53" s="40">
        <v>0</v>
      </c>
      <c r="M53" s="19">
        <v>0</v>
      </c>
      <c r="N53" s="19">
        <v>0</v>
      </c>
      <c r="O53" s="18" t="s">
        <v>68</v>
      </c>
      <c r="P53" s="40">
        <v>0</v>
      </c>
      <c r="Q53" s="19">
        <v>0</v>
      </c>
      <c r="R53" s="19">
        <v>0</v>
      </c>
      <c r="S53" s="40">
        <v>0</v>
      </c>
      <c r="T53" s="19">
        <v>0</v>
      </c>
      <c r="U53" s="19">
        <v>0</v>
      </c>
      <c r="V53" s="18" t="s">
        <v>68</v>
      </c>
      <c r="W53" s="40">
        <v>0</v>
      </c>
      <c r="X53" s="19">
        <v>0</v>
      </c>
      <c r="Y53" s="19">
        <v>0</v>
      </c>
      <c r="Z53" s="40">
        <v>0</v>
      </c>
      <c r="AA53" s="19">
        <v>0</v>
      </c>
      <c r="AB53" s="19">
        <v>0</v>
      </c>
      <c r="AC53" s="18" t="s">
        <v>68</v>
      </c>
      <c r="AD53" s="40">
        <v>0.5</v>
      </c>
      <c r="AE53" s="19">
        <v>2</v>
      </c>
      <c r="AF53" s="19">
        <v>1</v>
      </c>
      <c r="AG53" s="40">
        <v>0.5</v>
      </c>
      <c r="AH53" s="19">
        <v>0</v>
      </c>
      <c r="AI53" s="19">
        <v>0</v>
      </c>
      <c r="AJ53" s="18" t="s">
        <v>68</v>
      </c>
      <c r="AK53" s="40">
        <v>0</v>
      </c>
      <c r="AL53" s="19">
        <v>0</v>
      </c>
      <c r="AM53" s="19">
        <v>0</v>
      </c>
      <c r="AN53" s="40">
        <v>0</v>
      </c>
      <c r="AO53" s="19">
        <v>0</v>
      </c>
      <c r="AP53" s="19">
        <v>0</v>
      </c>
      <c r="AQ53" s="18" t="s">
        <v>68</v>
      </c>
      <c r="AR53" s="40">
        <v>0</v>
      </c>
      <c r="AS53" s="19">
        <v>0</v>
      </c>
      <c r="AT53" s="19">
        <v>0</v>
      </c>
      <c r="AU53" s="40">
        <v>0</v>
      </c>
      <c r="AV53" s="19">
        <v>0</v>
      </c>
      <c r="AW53" s="19">
        <v>0</v>
      </c>
      <c r="AX53" s="18" t="s">
        <v>68</v>
      </c>
      <c r="AY53" s="40">
        <v>0.67</v>
      </c>
      <c r="AZ53" s="19">
        <v>3</v>
      </c>
      <c r="BA53" s="19">
        <v>2</v>
      </c>
      <c r="BB53" s="40">
        <v>0.67</v>
      </c>
      <c r="BC53" s="19">
        <v>0</v>
      </c>
      <c r="BD53" s="19">
        <v>0</v>
      </c>
    </row>
    <row r="54" spans="1:56" ht="14.25" customHeight="1" x14ac:dyDescent="0.3">
      <c r="A54" s="11" t="s">
        <v>97</v>
      </c>
      <c r="B54" s="25" t="s">
        <v>80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8" t="s">
        <v>97</v>
      </c>
      <c r="I54" s="40">
        <v>0</v>
      </c>
      <c r="J54" s="19">
        <v>0</v>
      </c>
      <c r="K54" s="19">
        <v>0</v>
      </c>
      <c r="L54" s="40">
        <v>0</v>
      </c>
      <c r="M54" s="19">
        <v>0</v>
      </c>
      <c r="N54" s="19">
        <v>0</v>
      </c>
      <c r="O54" s="18" t="s">
        <v>97</v>
      </c>
      <c r="P54" s="40">
        <v>0</v>
      </c>
      <c r="Q54" s="19">
        <v>0</v>
      </c>
      <c r="R54" s="19">
        <v>0</v>
      </c>
      <c r="S54" s="40">
        <v>0</v>
      </c>
      <c r="T54" s="19">
        <v>0</v>
      </c>
      <c r="U54" s="19">
        <v>0</v>
      </c>
      <c r="V54" s="18" t="s">
        <v>97</v>
      </c>
      <c r="W54" s="40">
        <v>0</v>
      </c>
      <c r="X54" s="19">
        <v>0</v>
      </c>
      <c r="Y54" s="19">
        <v>0</v>
      </c>
      <c r="Z54" s="40">
        <v>0</v>
      </c>
      <c r="AA54" s="19">
        <v>0</v>
      </c>
      <c r="AB54" s="19">
        <v>0</v>
      </c>
      <c r="AC54" s="18" t="s">
        <v>97</v>
      </c>
      <c r="AD54" s="40">
        <v>0</v>
      </c>
      <c r="AE54" s="19">
        <v>0</v>
      </c>
      <c r="AF54" s="19">
        <v>0</v>
      </c>
      <c r="AG54" s="40">
        <v>0</v>
      </c>
      <c r="AH54" s="19">
        <v>0</v>
      </c>
      <c r="AI54" s="19">
        <v>0</v>
      </c>
      <c r="AJ54" s="18" t="s">
        <v>97</v>
      </c>
      <c r="AK54" s="40">
        <v>0</v>
      </c>
      <c r="AL54" s="19">
        <v>0</v>
      </c>
      <c r="AM54" s="19">
        <v>0</v>
      </c>
      <c r="AN54" s="40">
        <v>0</v>
      </c>
      <c r="AO54" s="19">
        <v>0</v>
      </c>
      <c r="AP54" s="19">
        <v>0</v>
      </c>
      <c r="AQ54" s="18" t="s">
        <v>97</v>
      </c>
      <c r="AR54" s="40">
        <v>0</v>
      </c>
      <c r="AS54" s="19">
        <v>0</v>
      </c>
      <c r="AT54" s="19">
        <v>0</v>
      </c>
      <c r="AU54" s="40">
        <v>0</v>
      </c>
      <c r="AV54" s="19">
        <v>0</v>
      </c>
      <c r="AW54" s="19">
        <v>0</v>
      </c>
      <c r="AX54" s="18" t="s">
        <v>97</v>
      </c>
      <c r="AY54" s="40">
        <v>0</v>
      </c>
      <c r="AZ54" s="19">
        <v>0</v>
      </c>
      <c r="BA54" s="19">
        <v>0</v>
      </c>
      <c r="BB54" s="40">
        <v>0</v>
      </c>
      <c r="BC54" s="19">
        <v>0</v>
      </c>
      <c r="BD54" s="19">
        <v>0</v>
      </c>
    </row>
    <row r="55" spans="1:56" ht="14.25" customHeight="1" x14ac:dyDescent="0.3">
      <c r="A55" s="11" t="s">
        <v>54</v>
      </c>
      <c r="B55" s="39">
        <v>-0.20449999999999999</v>
      </c>
      <c r="C55" s="19">
        <v>11</v>
      </c>
      <c r="D55" s="19">
        <v>0</v>
      </c>
      <c r="E55" s="19">
        <v>3</v>
      </c>
      <c r="F55" s="19">
        <v>0</v>
      </c>
      <c r="G55" s="19">
        <v>3</v>
      </c>
      <c r="H55" s="18" t="s">
        <v>54</v>
      </c>
      <c r="I55" s="40">
        <v>0.6</v>
      </c>
      <c r="J55" s="19">
        <v>5</v>
      </c>
      <c r="K55" s="19">
        <v>4</v>
      </c>
      <c r="L55" s="40">
        <v>0.8</v>
      </c>
      <c r="M55" s="19">
        <v>1</v>
      </c>
      <c r="N55" s="19">
        <v>0</v>
      </c>
      <c r="O55" s="18" t="s">
        <v>54</v>
      </c>
      <c r="P55" s="40">
        <v>0</v>
      </c>
      <c r="Q55" s="19">
        <v>0</v>
      </c>
      <c r="R55" s="19">
        <v>0</v>
      </c>
      <c r="S55" s="40">
        <v>0</v>
      </c>
      <c r="T55" s="19">
        <v>0</v>
      </c>
      <c r="U55" s="19">
        <v>0</v>
      </c>
      <c r="V55" s="18" t="s">
        <v>54</v>
      </c>
      <c r="W55" s="40">
        <v>0</v>
      </c>
      <c r="X55" s="19">
        <v>0</v>
      </c>
      <c r="Y55" s="19">
        <v>0</v>
      </c>
      <c r="Z55" s="40">
        <v>0</v>
      </c>
      <c r="AA55" s="19">
        <v>0</v>
      </c>
      <c r="AB55" s="19">
        <v>0</v>
      </c>
      <c r="AC55" s="18" t="s">
        <v>54</v>
      </c>
      <c r="AD55" s="40">
        <v>0</v>
      </c>
      <c r="AE55" s="19">
        <v>0</v>
      </c>
      <c r="AF55" s="19">
        <v>0</v>
      </c>
      <c r="AG55" s="40">
        <v>0</v>
      </c>
      <c r="AH55" s="19">
        <v>0</v>
      </c>
      <c r="AI55" s="19">
        <v>0</v>
      </c>
      <c r="AJ55" s="18" t="s">
        <v>54</v>
      </c>
      <c r="AK55" s="40">
        <v>0</v>
      </c>
      <c r="AL55" s="19">
        <v>0</v>
      </c>
      <c r="AM55" s="19">
        <v>0</v>
      </c>
      <c r="AN55" s="40">
        <v>0</v>
      </c>
      <c r="AO55" s="19">
        <v>0</v>
      </c>
      <c r="AP55" s="19">
        <v>0</v>
      </c>
      <c r="AQ55" s="18" t="s">
        <v>54</v>
      </c>
      <c r="AR55" s="40">
        <v>0.3</v>
      </c>
      <c r="AS55" s="19">
        <v>10</v>
      </c>
      <c r="AT55" s="19">
        <v>6</v>
      </c>
      <c r="AU55" s="40">
        <v>0.6</v>
      </c>
      <c r="AV55" s="19">
        <v>1</v>
      </c>
      <c r="AW55" s="19">
        <v>2</v>
      </c>
      <c r="AX55" s="18" t="s">
        <v>54</v>
      </c>
      <c r="AY55" s="40">
        <v>0.27</v>
      </c>
      <c r="AZ55" s="19">
        <v>22</v>
      </c>
      <c r="BA55" s="19">
        <v>9</v>
      </c>
      <c r="BB55" s="40">
        <v>0.41</v>
      </c>
      <c r="BC55" s="19">
        <v>1</v>
      </c>
      <c r="BD55" s="19">
        <v>2</v>
      </c>
    </row>
    <row r="56" spans="1:56" ht="14.25" customHeight="1" x14ac:dyDescent="0.3">
      <c r="A56" s="11" t="s">
        <v>87</v>
      </c>
      <c r="B56" s="25" t="s">
        <v>80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8" t="s">
        <v>87</v>
      </c>
      <c r="I56" s="40">
        <v>0</v>
      </c>
      <c r="J56" s="19">
        <v>0</v>
      </c>
      <c r="K56" s="19">
        <v>0</v>
      </c>
      <c r="L56" s="40">
        <v>0</v>
      </c>
      <c r="M56" s="19">
        <v>0</v>
      </c>
      <c r="N56" s="19">
        <v>0</v>
      </c>
      <c r="O56" s="18" t="s">
        <v>87</v>
      </c>
      <c r="P56" s="40">
        <v>0</v>
      </c>
      <c r="Q56" s="19">
        <v>0</v>
      </c>
      <c r="R56" s="19">
        <v>0</v>
      </c>
      <c r="S56" s="40">
        <v>0</v>
      </c>
      <c r="T56" s="19">
        <v>0</v>
      </c>
      <c r="U56" s="19">
        <v>0</v>
      </c>
      <c r="V56" s="18" t="s">
        <v>87</v>
      </c>
      <c r="W56" s="40">
        <v>0</v>
      </c>
      <c r="X56" s="19">
        <v>0</v>
      </c>
      <c r="Y56" s="19">
        <v>0</v>
      </c>
      <c r="Z56" s="40">
        <v>0</v>
      </c>
      <c r="AA56" s="19">
        <v>0</v>
      </c>
      <c r="AB56" s="19">
        <v>0</v>
      </c>
      <c r="AC56" s="18" t="s">
        <v>87</v>
      </c>
      <c r="AD56" s="40">
        <v>0</v>
      </c>
      <c r="AE56" s="19">
        <v>0</v>
      </c>
      <c r="AF56" s="19">
        <v>0</v>
      </c>
      <c r="AG56" s="40">
        <v>0</v>
      </c>
      <c r="AH56" s="19">
        <v>0</v>
      </c>
      <c r="AI56" s="19">
        <v>0</v>
      </c>
      <c r="AJ56" s="18" t="s">
        <v>87</v>
      </c>
      <c r="AK56" s="40">
        <v>0</v>
      </c>
      <c r="AL56" s="19">
        <v>0</v>
      </c>
      <c r="AM56" s="19">
        <v>0</v>
      </c>
      <c r="AN56" s="40">
        <v>0</v>
      </c>
      <c r="AO56" s="19">
        <v>0</v>
      </c>
      <c r="AP56" s="19">
        <v>0</v>
      </c>
      <c r="AQ56" s="18" t="s">
        <v>87</v>
      </c>
      <c r="AR56" s="40">
        <v>0</v>
      </c>
      <c r="AS56" s="19">
        <v>0</v>
      </c>
      <c r="AT56" s="19">
        <v>0</v>
      </c>
      <c r="AU56" s="40">
        <v>0</v>
      </c>
      <c r="AV56" s="19">
        <v>0</v>
      </c>
      <c r="AW56" s="19">
        <v>0</v>
      </c>
      <c r="AX56" s="18" t="s">
        <v>87</v>
      </c>
      <c r="AY56" s="40">
        <v>0</v>
      </c>
      <c r="AZ56" s="19">
        <v>0</v>
      </c>
      <c r="BA56" s="19">
        <v>0</v>
      </c>
      <c r="BB56" s="40">
        <v>0</v>
      </c>
      <c r="BC56" s="19">
        <v>0</v>
      </c>
      <c r="BD56" s="19">
        <v>0</v>
      </c>
    </row>
    <row r="57" spans="1:56" ht="14.25" customHeight="1" x14ac:dyDescent="0.3">
      <c r="A57" s="11" t="s">
        <v>94</v>
      </c>
      <c r="B57" s="25" t="s">
        <v>80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8" t="s">
        <v>94</v>
      </c>
      <c r="I57" s="40">
        <v>0</v>
      </c>
      <c r="J57" s="19">
        <v>0</v>
      </c>
      <c r="K57" s="19">
        <v>0</v>
      </c>
      <c r="L57" s="40">
        <v>0</v>
      </c>
      <c r="M57" s="19">
        <v>0</v>
      </c>
      <c r="N57" s="19">
        <v>0</v>
      </c>
      <c r="O57" s="18" t="s">
        <v>94</v>
      </c>
      <c r="P57" s="40">
        <v>0</v>
      </c>
      <c r="Q57" s="19">
        <v>0</v>
      </c>
      <c r="R57" s="19">
        <v>0</v>
      </c>
      <c r="S57" s="40">
        <v>0</v>
      </c>
      <c r="T57" s="19">
        <v>0</v>
      </c>
      <c r="U57" s="19">
        <v>0</v>
      </c>
      <c r="V57" s="18" t="s">
        <v>94</v>
      </c>
      <c r="W57" s="40">
        <v>0</v>
      </c>
      <c r="X57" s="19">
        <v>0</v>
      </c>
      <c r="Y57" s="19">
        <v>0</v>
      </c>
      <c r="Z57" s="40">
        <v>0</v>
      </c>
      <c r="AA57" s="19">
        <v>0</v>
      </c>
      <c r="AB57" s="19">
        <v>0</v>
      </c>
      <c r="AC57" s="18" t="s">
        <v>94</v>
      </c>
      <c r="AD57" s="40">
        <v>0</v>
      </c>
      <c r="AE57" s="19">
        <v>0</v>
      </c>
      <c r="AF57" s="19">
        <v>0</v>
      </c>
      <c r="AG57" s="40">
        <v>0</v>
      </c>
      <c r="AH57" s="19">
        <v>0</v>
      </c>
      <c r="AI57" s="19">
        <v>0</v>
      </c>
      <c r="AJ57" s="18" t="s">
        <v>94</v>
      </c>
      <c r="AK57" s="40">
        <v>0</v>
      </c>
      <c r="AL57" s="19">
        <v>0</v>
      </c>
      <c r="AM57" s="19">
        <v>0</v>
      </c>
      <c r="AN57" s="40">
        <v>0</v>
      </c>
      <c r="AO57" s="19">
        <v>0</v>
      </c>
      <c r="AP57" s="19">
        <v>0</v>
      </c>
      <c r="AQ57" s="18" t="s">
        <v>94</v>
      </c>
      <c r="AR57" s="40">
        <v>0</v>
      </c>
      <c r="AS57" s="19">
        <v>0</v>
      </c>
      <c r="AT57" s="19">
        <v>0</v>
      </c>
      <c r="AU57" s="40">
        <v>0</v>
      </c>
      <c r="AV57" s="19">
        <v>0</v>
      </c>
      <c r="AW57" s="19">
        <v>0</v>
      </c>
      <c r="AX57" s="18" t="s">
        <v>94</v>
      </c>
      <c r="AY57" s="40">
        <v>0</v>
      </c>
      <c r="AZ57" s="19">
        <v>0</v>
      </c>
      <c r="BA57" s="19">
        <v>0</v>
      </c>
      <c r="BB57" s="40">
        <v>0</v>
      </c>
      <c r="BC57" s="19">
        <v>0</v>
      </c>
      <c r="BD57" s="19">
        <v>0</v>
      </c>
    </row>
    <row r="58" spans="1:56" ht="14.25" customHeight="1" x14ac:dyDescent="0.3">
      <c r="A58" s="11" t="s">
        <v>86</v>
      </c>
      <c r="B58" s="39">
        <v>-0.8</v>
      </c>
      <c r="C58" s="19">
        <v>5</v>
      </c>
      <c r="D58" s="19">
        <v>0</v>
      </c>
      <c r="E58" s="19">
        <v>0</v>
      </c>
      <c r="F58" s="19">
        <v>0</v>
      </c>
      <c r="G58" s="19">
        <v>4</v>
      </c>
      <c r="H58" s="18" t="s">
        <v>86</v>
      </c>
      <c r="I58" s="40">
        <v>0</v>
      </c>
      <c r="J58" s="19">
        <v>0</v>
      </c>
      <c r="K58" s="19">
        <v>0</v>
      </c>
      <c r="L58" s="40">
        <v>0</v>
      </c>
      <c r="M58" s="19">
        <v>0</v>
      </c>
      <c r="N58" s="19">
        <v>0</v>
      </c>
      <c r="O58" s="18" t="s">
        <v>86</v>
      </c>
      <c r="P58" s="40">
        <v>0</v>
      </c>
      <c r="Q58" s="19">
        <v>0</v>
      </c>
      <c r="R58" s="19">
        <v>0</v>
      </c>
      <c r="S58" s="40">
        <v>0</v>
      </c>
      <c r="T58" s="19">
        <v>0</v>
      </c>
      <c r="U58" s="19">
        <v>0</v>
      </c>
      <c r="V58" s="18" t="s">
        <v>86</v>
      </c>
      <c r="W58" s="40">
        <v>0</v>
      </c>
      <c r="X58" s="19">
        <v>0</v>
      </c>
      <c r="Y58" s="19">
        <v>0</v>
      </c>
      <c r="Z58" s="40">
        <v>0</v>
      </c>
      <c r="AA58" s="19">
        <v>0</v>
      </c>
      <c r="AB58" s="19">
        <v>0</v>
      </c>
      <c r="AC58" s="18" t="s">
        <v>86</v>
      </c>
      <c r="AD58" s="40">
        <v>0</v>
      </c>
      <c r="AE58" s="19">
        <v>0</v>
      </c>
      <c r="AF58" s="19">
        <v>0</v>
      </c>
      <c r="AG58" s="40">
        <v>0</v>
      </c>
      <c r="AH58" s="19">
        <v>0</v>
      </c>
      <c r="AI58" s="19">
        <v>0</v>
      </c>
      <c r="AJ58" s="18" t="s">
        <v>86</v>
      </c>
      <c r="AK58" s="40">
        <v>0</v>
      </c>
      <c r="AL58" s="19">
        <v>0</v>
      </c>
      <c r="AM58" s="19">
        <v>0</v>
      </c>
      <c r="AN58" s="40">
        <v>0</v>
      </c>
      <c r="AO58" s="19">
        <v>0</v>
      </c>
      <c r="AP58" s="19">
        <v>0</v>
      </c>
      <c r="AQ58" s="18" t="s">
        <v>86</v>
      </c>
      <c r="AR58" s="40">
        <v>1</v>
      </c>
      <c r="AS58" s="19">
        <v>3</v>
      </c>
      <c r="AT58" s="19">
        <v>3</v>
      </c>
      <c r="AU58" s="40">
        <v>1</v>
      </c>
      <c r="AV58" s="19">
        <v>0</v>
      </c>
      <c r="AW58" s="19">
        <v>0</v>
      </c>
      <c r="AX58" s="18" t="s">
        <v>86</v>
      </c>
      <c r="AY58" s="40">
        <v>0.36</v>
      </c>
      <c r="AZ58" s="19">
        <v>11</v>
      </c>
      <c r="BA58" s="19">
        <v>6</v>
      </c>
      <c r="BB58" s="40">
        <v>0.55000000000000004</v>
      </c>
      <c r="BC58" s="19">
        <v>1</v>
      </c>
      <c r="BD58" s="19">
        <v>1</v>
      </c>
    </row>
    <row r="59" spans="1:56" ht="14.25" customHeight="1" x14ac:dyDescent="0.3">
      <c r="A59" s="11" t="s">
        <v>85</v>
      </c>
      <c r="B59" s="39">
        <v>-0.6</v>
      </c>
      <c r="C59" s="19">
        <v>5</v>
      </c>
      <c r="D59" s="19">
        <v>0</v>
      </c>
      <c r="E59" s="19">
        <v>0</v>
      </c>
      <c r="F59" s="19">
        <v>0</v>
      </c>
      <c r="G59" s="19">
        <v>3</v>
      </c>
      <c r="H59" s="18" t="s">
        <v>85</v>
      </c>
      <c r="I59" s="40">
        <v>0</v>
      </c>
      <c r="J59" s="19">
        <v>0</v>
      </c>
      <c r="K59" s="19">
        <v>0</v>
      </c>
      <c r="L59" s="40">
        <v>0</v>
      </c>
      <c r="M59" s="19">
        <v>0</v>
      </c>
      <c r="N59" s="19">
        <v>0</v>
      </c>
      <c r="O59" s="18" t="s">
        <v>85</v>
      </c>
      <c r="P59" s="40">
        <v>0.31</v>
      </c>
      <c r="Q59" s="19">
        <v>13</v>
      </c>
      <c r="R59" s="19">
        <v>4</v>
      </c>
      <c r="S59" s="40">
        <v>0.31</v>
      </c>
      <c r="T59" s="19">
        <v>0</v>
      </c>
      <c r="U59" s="19">
        <v>0</v>
      </c>
      <c r="V59" s="18" t="s">
        <v>85</v>
      </c>
      <c r="W59" s="40">
        <v>0</v>
      </c>
      <c r="X59" s="19">
        <v>0</v>
      </c>
      <c r="Y59" s="19">
        <v>0</v>
      </c>
      <c r="Z59" s="40">
        <v>0</v>
      </c>
      <c r="AA59" s="19">
        <v>0</v>
      </c>
      <c r="AB59" s="19">
        <v>0</v>
      </c>
      <c r="AC59" s="18" t="s">
        <v>85</v>
      </c>
      <c r="AD59" s="40">
        <v>0</v>
      </c>
      <c r="AE59" s="19">
        <v>0</v>
      </c>
      <c r="AF59" s="19">
        <v>0</v>
      </c>
      <c r="AG59" s="40">
        <v>0</v>
      </c>
      <c r="AH59" s="19">
        <v>0</v>
      </c>
      <c r="AI59" s="19">
        <v>0</v>
      </c>
      <c r="AJ59" s="18" t="s">
        <v>85</v>
      </c>
      <c r="AK59" s="40">
        <v>0</v>
      </c>
      <c r="AL59" s="19">
        <v>0</v>
      </c>
      <c r="AM59" s="19">
        <v>0</v>
      </c>
      <c r="AN59" s="40">
        <v>0</v>
      </c>
      <c r="AO59" s="19">
        <v>0</v>
      </c>
      <c r="AP59" s="19">
        <v>0</v>
      </c>
      <c r="AQ59" s="18" t="s">
        <v>85</v>
      </c>
      <c r="AR59" s="40">
        <v>0.31</v>
      </c>
      <c r="AS59" s="19">
        <v>13</v>
      </c>
      <c r="AT59" s="19">
        <v>4</v>
      </c>
      <c r="AU59" s="40">
        <v>0.31</v>
      </c>
      <c r="AV59" s="19">
        <v>0</v>
      </c>
      <c r="AW59" s="19">
        <v>0</v>
      </c>
      <c r="AX59" s="18" t="s">
        <v>85</v>
      </c>
      <c r="AY59" s="40">
        <v>0</v>
      </c>
      <c r="AZ59" s="19">
        <v>13</v>
      </c>
      <c r="BA59" s="19">
        <v>3</v>
      </c>
      <c r="BB59" s="40">
        <v>0.23</v>
      </c>
      <c r="BC59" s="19">
        <v>3</v>
      </c>
      <c r="BD59" s="19">
        <v>0</v>
      </c>
    </row>
    <row r="60" spans="1:56" ht="14.25" customHeight="1" x14ac:dyDescent="0.3">
      <c r="A60" s="11" t="s">
        <v>67</v>
      </c>
      <c r="B60" s="25" t="s">
        <v>80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8" t="s">
        <v>67</v>
      </c>
      <c r="I60" s="40">
        <v>0</v>
      </c>
      <c r="J60" s="19">
        <v>0</v>
      </c>
      <c r="K60" s="19">
        <v>0</v>
      </c>
      <c r="L60" s="40">
        <v>0</v>
      </c>
      <c r="M60" s="19">
        <v>0</v>
      </c>
      <c r="N60" s="19">
        <v>0</v>
      </c>
      <c r="O60" s="18" t="s">
        <v>67</v>
      </c>
      <c r="P60" s="40">
        <v>0</v>
      </c>
      <c r="Q60" s="19">
        <v>0</v>
      </c>
      <c r="R60" s="19">
        <v>0</v>
      </c>
      <c r="S60" s="40">
        <v>0</v>
      </c>
      <c r="T60" s="19">
        <v>0</v>
      </c>
      <c r="U60" s="19">
        <v>0</v>
      </c>
      <c r="V60" s="18" t="s">
        <v>67</v>
      </c>
      <c r="W60" s="40">
        <v>0</v>
      </c>
      <c r="X60" s="19">
        <v>0</v>
      </c>
      <c r="Y60" s="19">
        <v>0</v>
      </c>
      <c r="Z60" s="40">
        <v>0</v>
      </c>
      <c r="AA60" s="19">
        <v>0</v>
      </c>
      <c r="AB60" s="19">
        <v>0</v>
      </c>
      <c r="AC60" s="18" t="s">
        <v>67</v>
      </c>
      <c r="AD60" s="40">
        <v>0</v>
      </c>
      <c r="AE60" s="19">
        <v>0</v>
      </c>
      <c r="AF60" s="19">
        <v>0</v>
      </c>
      <c r="AG60" s="40">
        <v>0</v>
      </c>
      <c r="AH60" s="19">
        <v>0</v>
      </c>
      <c r="AI60" s="19">
        <v>0</v>
      </c>
      <c r="AJ60" s="18" t="s">
        <v>67</v>
      </c>
      <c r="AK60" s="40">
        <v>0</v>
      </c>
      <c r="AL60" s="19">
        <v>0</v>
      </c>
      <c r="AM60" s="19">
        <v>0</v>
      </c>
      <c r="AN60" s="40">
        <v>0</v>
      </c>
      <c r="AO60" s="19">
        <v>0</v>
      </c>
      <c r="AP60" s="19">
        <v>0</v>
      </c>
      <c r="AQ60" s="18" t="s">
        <v>67</v>
      </c>
      <c r="AR60" s="40">
        <v>0</v>
      </c>
      <c r="AS60" s="19">
        <v>0</v>
      </c>
      <c r="AT60" s="19">
        <v>0</v>
      </c>
      <c r="AU60" s="40">
        <v>0</v>
      </c>
      <c r="AV60" s="19">
        <v>0</v>
      </c>
      <c r="AW60" s="19">
        <v>0</v>
      </c>
      <c r="AX60" s="18" t="s">
        <v>67</v>
      </c>
      <c r="AY60" s="40">
        <v>0</v>
      </c>
      <c r="AZ60" s="19">
        <v>0</v>
      </c>
      <c r="BA60" s="19">
        <v>0</v>
      </c>
      <c r="BB60" s="40">
        <v>0</v>
      </c>
      <c r="BC60" s="19">
        <v>0</v>
      </c>
      <c r="BD60" s="19">
        <v>0</v>
      </c>
    </row>
    <row r="61" spans="1:56" ht="14.25" customHeight="1" x14ac:dyDescent="0.3">
      <c r="A61" s="11" t="s">
        <v>88</v>
      </c>
      <c r="B61" s="25" t="s">
        <v>80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8" t="s">
        <v>88</v>
      </c>
      <c r="I61" s="40">
        <v>0</v>
      </c>
      <c r="J61" s="19">
        <v>0</v>
      </c>
      <c r="K61" s="19">
        <v>0</v>
      </c>
      <c r="L61" s="40">
        <v>0</v>
      </c>
      <c r="M61" s="19">
        <v>0</v>
      </c>
      <c r="N61" s="19">
        <v>0</v>
      </c>
      <c r="O61" s="18" t="s">
        <v>88</v>
      </c>
      <c r="P61" s="40">
        <v>0</v>
      </c>
      <c r="Q61" s="19">
        <v>0</v>
      </c>
      <c r="R61" s="19">
        <v>0</v>
      </c>
      <c r="S61" s="40">
        <v>0</v>
      </c>
      <c r="T61" s="19">
        <v>0</v>
      </c>
      <c r="U61" s="19">
        <v>0</v>
      </c>
      <c r="V61" s="18" t="s">
        <v>88</v>
      </c>
      <c r="W61" s="40">
        <v>0</v>
      </c>
      <c r="X61" s="19">
        <v>0</v>
      </c>
      <c r="Y61" s="19">
        <v>0</v>
      </c>
      <c r="Z61" s="40">
        <v>0</v>
      </c>
      <c r="AA61" s="19">
        <v>0</v>
      </c>
      <c r="AB61" s="19">
        <v>0</v>
      </c>
      <c r="AC61" s="18" t="s">
        <v>88</v>
      </c>
      <c r="AD61" s="40">
        <v>0</v>
      </c>
      <c r="AE61" s="19">
        <v>0</v>
      </c>
      <c r="AF61" s="19">
        <v>0</v>
      </c>
      <c r="AG61" s="40">
        <v>0</v>
      </c>
      <c r="AH61" s="19">
        <v>0</v>
      </c>
      <c r="AI61" s="19">
        <v>0</v>
      </c>
      <c r="AJ61" s="18" t="s">
        <v>88</v>
      </c>
      <c r="AK61" s="40">
        <v>0</v>
      </c>
      <c r="AL61" s="19">
        <v>0</v>
      </c>
      <c r="AM61" s="19">
        <v>0</v>
      </c>
      <c r="AN61" s="40">
        <v>0</v>
      </c>
      <c r="AO61" s="19">
        <v>0</v>
      </c>
      <c r="AP61" s="19">
        <v>0</v>
      </c>
      <c r="AQ61" s="18" t="s">
        <v>88</v>
      </c>
      <c r="AR61" s="40">
        <v>0</v>
      </c>
      <c r="AS61" s="19">
        <v>0</v>
      </c>
      <c r="AT61" s="19">
        <v>0</v>
      </c>
      <c r="AU61" s="40">
        <v>0</v>
      </c>
      <c r="AV61" s="19">
        <v>0</v>
      </c>
      <c r="AW61" s="19">
        <v>0</v>
      </c>
      <c r="AX61" s="18" t="s">
        <v>88</v>
      </c>
      <c r="AY61" s="40">
        <v>0</v>
      </c>
      <c r="AZ61" s="19">
        <v>0</v>
      </c>
      <c r="BA61" s="19">
        <v>0</v>
      </c>
      <c r="BB61" s="40">
        <v>0</v>
      </c>
      <c r="BC61" s="19">
        <v>0</v>
      </c>
      <c r="BD61" s="19">
        <v>0</v>
      </c>
    </row>
    <row r="62" spans="1:56" ht="14.25" customHeight="1" x14ac:dyDescent="0.3">
      <c r="A62" s="11" t="s">
        <v>69</v>
      </c>
      <c r="B62" s="25" t="s">
        <v>80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8" t="s">
        <v>69</v>
      </c>
      <c r="I62" s="40">
        <v>0</v>
      </c>
      <c r="J62" s="19">
        <v>0</v>
      </c>
      <c r="K62" s="19">
        <v>0</v>
      </c>
      <c r="L62" s="40">
        <v>0</v>
      </c>
      <c r="M62" s="19">
        <v>0</v>
      </c>
      <c r="N62" s="19">
        <v>0</v>
      </c>
      <c r="O62" s="18" t="s">
        <v>69</v>
      </c>
      <c r="P62" s="40">
        <v>0</v>
      </c>
      <c r="Q62" s="19">
        <v>0</v>
      </c>
      <c r="R62" s="19">
        <v>0</v>
      </c>
      <c r="S62" s="40">
        <v>0</v>
      </c>
      <c r="T62" s="19">
        <v>0</v>
      </c>
      <c r="U62" s="19">
        <v>0</v>
      </c>
      <c r="V62" s="18" t="s">
        <v>69</v>
      </c>
      <c r="W62" s="40">
        <v>0</v>
      </c>
      <c r="X62" s="19">
        <v>0</v>
      </c>
      <c r="Y62" s="19">
        <v>0</v>
      </c>
      <c r="Z62" s="40">
        <v>0</v>
      </c>
      <c r="AA62" s="19">
        <v>0</v>
      </c>
      <c r="AB62" s="19">
        <v>0</v>
      </c>
      <c r="AC62" s="18" t="s">
        <v>69</v>
      </c>
      <c r="AD62" s="40">
        <v>0.5</v>
      </c>
      <c r="AE62" s="19">
        <v>2</v>
      </c>
      <c r="AF62" s="19">
        <v>1</v>
      </c>
      <c r="AG62" s="40">
        <v>0.5</v>
      </c>
      <c r="AH62" s="19">
        <v>0</v>
      </c>
      <c r="AI62" s="19">
        <v>0</v>
      </c>
      <c r="AJ62" s="18" t="s">
        <v>69</v>
      </c>
      <c r="AK62" s="40">
        <v>0</v>
      </c>
      <c r="AL62" s="19">
        <v>0</v>
      </c>
      <c r="AM62" s="19">
        <v>0</v>
      </c>
      <c r="AN62" s="40">
        <v>0</v>
      </c>
      <c r="AO62" s="19">
        <v>0</v>
      </c>
      <c r="AP62" s="19">
        <v>0</v>
      </c>
      <c r="AQ62" s="18" t="s">
        <v>69</v>
      </c>
      <c r="AR62" s="40">
        <v>0</v>
      </c>
      <c r="AS62" s="19">
        <v>0</v>
      </c>
      <c r="AT62" s="19">
        <v>0</v>
      </c>
      <c r="AU62" s="40">
        <v>0</v>
      </c>
      <c r="AV62" s="19">
        <v>0</v>
      </c>
      <c r="AW62" s="19">
        <v>0</v>
      </c>
      <c r="AX62" s="18" t="s">
        <v>69</v>
      </c>
      <c r="AY62" s="40">
        <v>0.5</v>
      </c>
      <c r="AZ62" s="19">
        <v>2</v>
      </c>
      <c r="BA62" s="19">
        <v>1</v>
      </c>
      <c r="BB62" s="40">
        <v>0.5</v>
      </c>
      <c r="BC62" s="19">
        <v>0</v>
      </c>
      <c r="BD62" s="19">
        <v>0</v>
      </c>
    </row>
    <row r="63" spans="1:56" ht="14.25" customHeight="1" x14ac:dyDescent="0.3">
      <c r="A63" s="42" t="s">
        <v>66</v>
      </c>
      <c r="B63" s="25" t="s">
        <v>80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7" t="s">
        <v>66</v>
      </c>
      <c r="I63" s="40">
        <v>0</v>
      </c>
      <c r="J63" s="19">
        <v>0</v>
      </c>
      <c r="K63" s="19">
        <v>0</v>
      </c>
      <c r="L63" s="40">
        <v>0</v>
      </c>
      <c r="M63" s="19">
        <v>0</v>
      </c>
      <c r="N63" s="19">
        <v>0</v>
      </c>
      <c r="O63" s="27" t="s">
        <v>66</v>
      </c>
      <c r="P63" s="40">
        <v>0</v>
      </c>
      <c r="Q63" s="19">
        <v>0</v>
      </c>
      <c r="R63" s="19">
        <v>0</v>
      </c>
      <c r="S63" s="40">
        <v>0</v>
      </c>
      <c r="T63" s="19">
        <v>0</v>
      </c>
      <c r="U63" s="19">
        <v>0</v>
      </c>
      <c r="V63" s="27" t="s">
        <v>66</v>
      </c>
      <c r="W63" s="40">
        <v>0</v>
      </c>
      <c r="X63" s="19">
        <v>0</v>
      </c>
      <c r="Y63" s="19">
        <v>0</v>
      </c>
      <c r="Z63" s="40">
        <v>0</v>
      </c>
      <c r="AA63" s="19">
        <v>0</v>
      </c>
      <c r="AB63" s="19">
        <v>0</v>
      </c>
      <c r="AC63" s="27" t="s">
        <v>66</v>
      </c>
      <c r="AD63" s="41">
        <v>0</v>
      </c>
      <c r="AE63" s="29">
        <v>0</v>
      </c>
      <c r="AF63" s="29">
        <v>0</v>
      </c>
      <c r="AG63" s="41">
        <v>0</v>
      </c>
      <c r="AH63" s="29">
        <v>0</v>
      </c>
      <c r="AI63" s="29">
        <v>0</v>
      </c>
      <c r="AJ63" s="27" t="s">
        <v>66</v>
      </c>
      <c r="AK63" s="41">
        <v>0</v>
      </c>
      <c r="AL63" s="29">
        <v>0</v>
      </c>
      <c r="AM63" s="29">
        <v>0</v>
      </c>
      <c r="AN63" s="41">
        <v>0</v>
      </c>
      <c r="AO63" s="29">
        <v>0</v>
      </c>
      <c r="AP63" s="29">
        <v>0</v>
      </c>
      <c r="AQ63" s="27" t="s">
        <v>66</v>
      </c>
      <c r="AR63" s="41">
        <v>0</v>
      </c>
      <c r="AS63" s="29">
        <v>0</v>
      </c>
      <c r="AT63" s="29">
        <v>0</v>
      </c>
      <c r="AU63" s="41">
        <v>0</v>
      </c>
      <c r="AV63" s="29">
        <v>0</v>
      </c>
      <c r="AW63" s="29">
        <v>0</v>
      </c>
      <c r="AX63" s="27" t="s">
        <v>66</v>
      </c>
      <c r="AY63" s="41">
        <v>0</v>
      </c>
      <c r="AZ63" s="29">
        <v>0</v>
      </c>
      <c r="BA63" s="29">
        <v>0</v>
      </c>
      <c r="BB63" s="41">
        <v>0</v>
      </c>
      <c r="BC63" s="29">
        <v>0</v>
      </c>
      <c r="BD63" s="29">
        <v>0</v>
      </c>
    </row>
    <row r="64" spans="1:56" ht="25.5" customHeight="1" x14ac:dyDescent="0.3">
      <c r="A64" s="42" t="s">
        <v>110</v>
      </c>
      <c r="B64" s="25" t="s">
        <v>80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7" t="s">
        <v>110</v>
      </c>
      <c r="I64" s="40">
        <v>0</v>
      </c>
      <c r="J64" s="19">
        <v>0</v>
      </c>
      <c r="K64" s="19">
        <v>0</v>
      </c>
      <c r="L64" s="40">
        <v>0</v>
      </c>
      <c r="M64" s="19">
        <v>0</v>
      </c>
      <c r="N64" s="19">
        <v>0</v>
      </c>
      <c r="O64" s="27" t="s">
        <v>110</v>
      </c>
      <c r="P64" s="40">
        <v>0</v>
      </c>
      <c r="Q64" s="19">
        <v>0</v>
      </c>
      <c r="R64" s="19">
        <v>0</v>
      </c>
      <c r="S64" s="40">
        <v>0</v>
      </c>
      <c r="T64" s="19">
        <v>0</v>
      </c>
      <c r="U64" s="19">
        <v>0</v>
      </c>
      <c r="V64" s="27" t="s">
        <v>110</v>
      </c>
      <c r="W64" s="40">
        <v>0</v>
      </c>
      <c r="X64" s="19">
        <v>0</v>
      </c>
      <c r="Y64" s="19">
        <v>0</v>
      </c>
      <c r="Z64" s="40">
        <v>0</v>
      </c>
      <c r="AA64" s="19">
        <v>0</v>
      </c>
      <c r="AB64" s="19">
        <v>0</v>
      </c>
      <c r="AC64" s="27" t="s">
        <v>110</v>
      </c>
      <c r="AD64" s="41">
        <v>0</v>
      </c>
      <c r="AE64" s="29">
        <v>0</v>
      </c>
      <c r="AF64" s="29">
        <v>0</v>
      </c>
      <c r="AG64" s="41">
        <v>0</v>
      </c>
      <c r="AH64" s="29">
        <v>0</v>
      </c>
      <c r="AI64" s="29">
        <v>0</v>
      </c>
      <c r="AJ64" s="27" t="s">
        <v>110</v>
      </c>
      <c r="AK64" s="41">
        <v>0</v>
      </c>
      <c r="AL64" s="29">
        <v>0</v>
      </c>
      <c r="AM64" s="29">
        <v>0</v>
      </c>
      <c r="AN64" s="41">
        <v>0</v>
      </c>
      <c r="AO64" s="29">
        <v>0</v>
      </c>
      <c r="AP64" s="29">
        <v>0</v>
      </c>
      <c r="AQ64" s="27" t="s">
        <v>110</v>
      </c>
      <c r="AR64" s="41">
        <v>0</v>
      </c>
      <c r="AS64" s="29">
        <v>0</v>
      </c>
      <c r="AT64" s="29">
        <v>0</v>
      </c>
      <c r="AU64" s="41">
        <v>0</v>
      </c>
      <c r="AV64" s="29">
        <v>0</v>
      </c>
      <c r="AW64" s="29">
        <v>0</v>
      </c>
      <c r="AX64" s="27" t="s">
        <v>110</v>
      </c>
      <c r="AY64" s="41">
        <v>0</v>
      </c>
      <c r="AZ64" s="29">
        <v>0</v>
      </c>
      <c r="BA64" s="29">
        <v>0</v>
      </c>
      <c r="BB64" s="41">
        <v>0</v>
      </c>
      <c r="BC64" s="29">
        <v>0</v>
      </c>
      <c r="BD64" s="29">
        <v>0</v>
      </c>
    </row>
    <row r="65" spans="1:35" ht="13.5" customHeight="1" x14ac:dyDescent="0.3"/>
    <row r="66" spans="1:35" ht="30" customHeight="1" x14ac:dyDescent="0.3">
      <c r="A66" s="155" t="s">
        <v>114</v>
      </c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N66" s="153" t="s">
        <v>115</v>
      </c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</row>
    <row r="67" spans="1:35" ht="25.5" customHeight="1" x14ac:dyDescent="0.3">
      <c r="B67" s="43" t="s">
        <v>97</v>
      </c>
      <c r="C67" s="44" t="s">
        <v>116</v>
      </c>
      <c r="D67" s="44" t="s">
        <v>117</v>
      </c>
      <c r="E67" s="45" t="s">
        <v>118</v>
      </c>
      <c r="F67" s="44" t="s">
        <v>119</v>
      </c>
      <c r="G67" s="45" t="s">
        <v>120</v>
      </c>
      <c r="H67" s="44" t="s">
        <v>121</v>
      </c>
      <c r="I67" s="45" t="s">
        <v>122</v>
      </c>
      <c r="J67" s="44" t="s">
        <v>123</v>
      </c>
      <c r="K67" s="44" t="s">
        <v>102</v>
      </c>
      <c r="O67" s="46" t="s">
        <v>94</v>
      </c>
      <c r="P67" s="44" t="s">
        <v>116</v>
      </c>
      <c r="Q67" s="44" t="s">
        <v>117</v>
      </c>
      <c r="R67" s="44" t="s">
        <v>118</v>
      </c>
      <c r="S67" s="44" t="s">
        <v>119</v>
      </c>
      <c r="T67" s="44" t="s">
        <v>120</v>
      </c>
      <c r="U67" s="44" t="s">
        <v>121</v>
      </c>
      <c r="V67" s="44" t="s">
        <v>122</v>
      </c>
      <c r="W67" s="44" t="s">
        <v>123</v>
      </c>
      <c r="X67" s="44" t="s">
        <v>102</v>
      </c>
    </row>
    <row r="68" spans="1:35" ht="24" customHeight="1" x14ac:dyDescent="0.3">
      <c r="A68" s="43" t="s">
        <v>97</v>
      </c>
      <c r="B68" s="43" t="s">
        <v>124</v>
      </c>
      <c r="C68" s="47">
        <v>0</v>
      </c>
      <c r="D68" s="48">
        <f>IF(K68&gt;0,C68/K68,0)</f>
        <v>0</v>
      </c>
      <c r="E68" s="47">
        <v>0</v>
      </c>
      <c r="F68" s="48">
        <f>IF(K68&gt;0,E68/K68,0)</f>
        <v>0</v>
      </c>
      <c r="G68" s="47">
        <v>0</v>
      </c>
      <c r="H68" s="48">
        <f>IF(K68&gt;0,G68/K68,0)</f>
        <v>0</v>
      </c>
      <c r="I68" s="47">
        <v>0</v>
      </c>
      <c r="J68" s="48">
        <f>IF(K68&gt;0,I68/K68,0)</f>
        <v>0</v>
      </c>
      <c r="K68" s="47">
        <v>0</v>
      </c>
      <c r="N68" s="46" t="s">
        <v>94</v>
      </c>
      <c r="O68" s="46" t="s">
        <v>124</v>
      </c>
      <c r="P68" s="49">
        <v>2</v>
      </c>
      <c r="Q68" s="48">
        <f>IF(X68&gt;0,P68/X68,0)</f>
        <v>0.25</v>
      </c>
      <c r="R68" s="49">
        <v>2</v>
      </c>
      <c r="S68" s="48">
        <f>IF(X68&gt;0,R68/X68,0)</f>
        <v>0.25</v>
      </c>
      <c r="T68" s="49">
        <v>3</v>
      </c>
      <c r="U68" s="48">
        <f>IF(X68&gt;0,T68/X68,0)</f>
        <v>0.375</v>
      </c>
      <c r="V68" s="49">
        <v>1</v>
      </c>
      <c r="W68" s="48">
        <f>IF(X68&gt;0,V68/X68,0)</f>
        <v>0.125</v>
      </c>
      <c r="X68" s="49">
        <v>8</v>
      </c>
      <c r="AA68" s="43" t="s">
        <v>97</v>
      </c>
      <c r="AB68" s="44" t="s">
        <v>101</v>
      </c>
      <c r="AD68" s="43" t="s">
        <v>97</v>
      </c>
      <c r="AE68" s="44" t="s">
        <v>101</v>
      </c>
      <c r="AF68" s="44" t="s">
        <v>102</v>
      </c>
      <c r="AG68" s="44" t="s">
        <v>26</v>
      </c>
      <c r="AH68" s="44" t="s">
        <v>106</v>
      </c>
      <c r="AI68" s="44" t="s">
        <v>125</v>
      </c>
    </row>
    <row r="69" spans="1:35" ht="21.75" customHeight="1" x14ac:dyDescent="0.3">
      <c r="A69" s="43" t="s">
        <v>97</v>
      </c>
      <c r="B69" s="50"/>
      <c r="C69" s="51">
        <v>0</v>
      </c>
      <c r="D69" s="48">
        <f>IF(C68&gt;0,C69/C68,0)</f>
        <v>0</v>
      </c>
      <c r="E69" s="51">
        <v>0</v>
      </c>
      <c r="F69" s="48">
        <f>IF(E68&gt;0,E69/E68,0)</f>
        <v>0</v>
      </c>
      <c r="G69" s="51">
        <v>0</v>
      </c>
      <c r="H69" s="48">
        <f>IF(G68&gt;0,G69/G68,0)</f>
        <v>0</v>
      </c>
      <c r="I69" s="51">
        <v>0</v>
      </c>
      <c r="J69" s="48">
        <f>IF(I68&gt;0,I69/I68,0)</f>
        <v>0</v>
      </c>
      <c r="K69" s="51"/>
      <c r="N69" s="46" t="s">
        <v>94</v>
      </c>
      <c r="O69" s="50"/>
      <c r="P69" s="52">
        <v>0</v>
      </c>
      <c r="Q69" s="48">
        <f>IF(P68&gt;0,P69/P68,0)</f>
        <v>0</v>
      </c>
      <c r="R69" s="52">
        <v>0</v>
      </c>
      <c r="S69" s="48">
        <f>IF(R68&gt;0,R69/R68,0)</f>
        <v>0</v>
      </c>
      <c r="T69" s="52">
        <v>0</v>
      </c>
      <c r="U69" s="48">
        <f>IF(T68&gt;0,T69/T68,0)</f>
        <v>0</v>
      </c>
      <c r="V69" s="52">
        <v>0</v>
      </c>
      <c r="W69" s="48">
        <f>IF(V68&gt;0,V69/V68,0)</f>
        <v>0</v>
      </c>
      <c r="X69" s="52"/>
      <c r="AA69" s="44" t="s">
        <v>126</v>
      </c>
      <c r="AB69" s="53">
        <v>0</v>
      </c>
      <c r="AD69" s="43" t="s">
        <v>124</v>
      </c>
      <c r="AE69" s="53">
        <v>0</v>
      </c>
      <c r="AF69" s="51">
        <v>0</v>
      </c>
      <c r="AG69" s="51">
        <v>0</v>
      </c>
      <c r="AH69" s="53">
        <v>0</v>
      </c>
      <c r="AI69" s="53">
        <v>0</v>
      </c>
    </row>
    <row r="70" spans="1:35" ht="21.75" customHeight="1" x14ac:dyDescent="0.3">
      <c r="A70" s="43" t="s">
        <v>97</v>
      </c>
      <c r="B70" s="43" t="s">
        <v>127</v>
      </c>
      <c r="C70" s="47">
        <v>0</v>
      </c>
      <c r="D70" s="48">
        <f>IF(K70&gt;0,C70/K70,0)</f>
        <v>0</v>
      </c>
      <c r="E70" s="47">
        <v>0</v>
      </c>
      <c r="F70" s="48">
        <f>IF(K70&gt;0,E70/K70,0)</f>
        <v>0</v>
      </c>
      <c r="G70" s="47">
        <v>0</v>
      </c>
      <c r="H70" s="48">
        <f>IF(K70&gt;0,G70/K70,0)</f>
        <v>0</v>
      </c>
      <c r="I70" s="47">
        <v>0</v>
      </c>
      <c r="J70" s="48">
        <f>IF(K70&gt;0,I70/K70,0)</f>
        <v>0</v>
      </c>
      <c r="K70" s="47">
        <v>0</v>
      </c>
      <c r="N70" s="46" t="s">
        <v>94</v>
      </c>
      <c r="O70" s="46" t="s">
        <v>127</v>
      </c>
      <c r="P70" s="49">
        <v>2</v>
      </c>
      <c r="Q70" s="48">
        <f>IF(X70&gt;0,P70/X70,0)</f>
        <v>0.2857142857142857</v>
      </c>
      <c r="R70" s="49">
        <v>4</v>
      </c>
      <c r="S70" s="48">
        <f>IF(X70&gt;0,R70/X70,0)</f>
        <v>0.5714285714285714</v>
      </c>
      <c r="T70" s="49">
        <v>1</v>
      </c>
      <c r="U70" s="48">
        <f>IF(X70&gt;0,T70/X70,0)</f>
        <v>0.14285714285714285</v>
      </c>
      <c r="V70" s="49">
        <v>0</v>
      </c>
      <c r="W70" s="48">
        <f>IF(X70&gt;0,V70/X70,0)</f>
        <v>0</v>
      </c>
      <c r="X70" s="49">
        <v>7</v>
      </c>
      <c r="AA70" s="44" t="s">
        <v>128</v>
      </c>
      <c r="AB70" s="53">
        <v>0</v>
      </c>
      <c r="AD70" s="43" t="s">
        <v>127</v>
      </c>
      <c r="AE70" s="53">
        <v>0</v>
      </c>
      <c r="AF70" s="51">
        <v>0</v>
      </c>
      <c r="AG70" s="51">
        <v>0</v>
      </c>
      <c r="AH70" s="53">
        <v>0</v>
      </c>
      <c r="AI70" s="53">
        <v>0</v>
      </c>
    </row>
    <row r="71" spans="1:35" ht="21.75" customHeight="1" x14ac:dyDescent="0.3">
      <c r="A71" s="43" t="s">
        <v>97</v>
      </c>
      <c r="B71" s="50"/>
      <c r="C71" s="51">
        <v>0</v>
      </c>
      <c r="D71" s="48">
        <f>IF(C70&gt;0,C71/C70,0)</f>
        <v>0</v>
      </c>
      <c r="E71" s="51">
        <v>0</v>
      </c>
      <c r="F71" s="48">
        <f>IF(E70&gt;0,E71/E70,0)</f>
        <v>0</v>
      </c>
      <c r="G71" s="51">
        <v>0</v>
      </c>
      <c r="H71" s="48">
        <f>IF(G70&gt;0,G71/G70,0)</f>
        <v>0</v>
      </c>
      <c r="I71" s="51">
        <v>0</v>
      </c>
      <c r="J71" s="48">
        <f>IF(I70&gt;0,I71/I70,0)</f>
        <v>0</v>
      </c>
      <c r="K71" s="51"/>
      <c r="N71" s="46" t="s">
        <v>94</v>
      </c>
      <c r="O71" s="50"/>
      <c r="P71" s="52">
        <v>2</v>
      </c>
      <c r="Q71" s="48">
        <f>IF(P70&gt;0,P71/P70,0)</f>
        <v>1</v>
      </c>
      <c r="R71" s="52">
        <v>3</v>
      </c>
      <c r="S71" s="48">
        <f>IF(R70&gt;0,R71/R70,0)</f>
        <v>0.75</v>
      </c>
      <c r="T71" s="52">
        <v>1</v>
      </c>
      <c r="U71" s="48">
        <f>IF(T70&gt;0,T71/T70,0)</f>
        <v>1</v>
      </c>
      <c r="V71" s="52">
        <v>0</v>
      </c>
      <c r="W71" s="48">
        <f>IF(V70&gt;0,V71/V70,0)</f>
        <v>0</v>
      </c>
      <c r="X71" s="52"/>
      <c r="AA71" s="44" t="s">
        <v>129</v>
      </c>
      <c r="AB71" s="53">
        <v>0</v>
      </c>
      <c r="AD71" s="43" t="s">
        <v>130</v>
      </c>
      <c r="AE71" s="53">
        <v>0</v>
      </c>
      <c r="AF71" s="51">
        <v>0</v>
      </c>
      <c r="AG71" s="51">
        <v>0</v>
      </c>
      <c r="AH71" s="53">
        <v>0</v>
      </c>
      <c r="AI71" s="53">
        <v>0</v>
      </c>
    </row>
    <row r="72" spans="1:35" ht="21.75" customHeight="1" x14ac:dyDescent="0.3">
      <c r="A72" s="43" t="s">
        <v>97</v>
      </c>
      <c r="B72" s="43" t="s">
        <v>130</v>
      </c>
      <c r="C72" s="47">
        <v>0</v>
      </c>
      <c r="D72" s="48">
        <f>IF(K72&gt;0,C72/K72,0)</f>
        <v>0</v>
      </c>
      <c r="E72" s="47">
        <v>0</v>
      </c>
      <c r="F72" s="48">
        <f>IF(K72&gt;0,E72/K72,0)</f>
        <v>0</v>
      </c>
      <c r="G72" s="47">
        <v>0</v>
      </c>
      <c r="H72" s="48">
        <f>IF(K72&gt;0,G72/K72,0)</f>
        <v>0</v>
      </c>
      <c r="I72" s="47">
        <v>0</v>
      </c>
      <c r="J72" s="48">
        <f>IF(K72&gt;0,I72/K72,0)</f>
        <v>0</v>
      </c>
      <c r="K72" s="47">
        <v>0</v>
      </c>
      <c r="N72" s="46" t="s">
        <v>94</v>
      </c>
      <c r="O72" s="46" t="s">
        <v>130</v>
      </c>
      <c r="P72" s="49">
        <v>2</v>
      </c>
      <c r="Q72" s="48">
        <f>IF(X72&gt;0,P72/X72,0)</f>
        <v>0.4</v>
      </c>
      <c r="R72" s="49">
        <v>2</v>
      </c>
      <c r="S72" s="48">
        <f>IF(X72&gt;0,R72/X72,0)</f>
        <v>0.4</v>
      </c>
      <c r="T72" s="49">
        <v>1</v>
      </c>
      <c r="U72" s="48">
        <f>IF(X72&gt;0,T72/X72,0)</f>
        <v>0.2</v>
      </c>
      <c r="V72" s="49">
        <v>0</v>
      </c>
      <c r="W72" s="48">
        <f>IF(X72&gt;0,V72/X72,0)</f>
        <v>0</v>
      </c>
      <c r="X72" s="49">
        <v>5</v>
      </c>
      <c r="AA72" s="44" t="s">
        <v>131</v>
      </c>
      <c r="AB72" s="53">
        <v>0</v>
      </c>
      <c r="AD72" s="43" t="s">
        <v>132</v>
      </c>
      <c r="AE72" s="53">
        <v>0</v>
      </c>
      <c r="AF72" s="51">
        <v>0</v>
      </c>
      <c r="AG72" s="51">
        <v>0</v>
      </c>
      <c r="AH72" s="53">
        <v>0</v>
      </c>
      <c r="AI72" s="53">
        <v>0</v>
      </c>
    </row>
    <row r="73" spans="1:35" ht="21.75" customHeight="1" x14ac:dyDescent="0.3">
      <c r="A73" s="43" t="s">
        <v>97</v>
      </c>
      <c r="B73" s="50"/>
      <c r="C73" s="51">
        <v>0</v>
      </c>
      <c r="D73" s="48">
        <f>IF(C72&gt;0,C73/C72,0)</f>
        <v>0</v>
      </c>
      <c r="E73" s="51">
        <v>0</v>
      </c>
      <c r="F73" s="48">
        <f>IF(E72&gt;0,E73/E72,0)</f>
        <v>0</v>
      </c>
      <c r="G73" s="51">
        <v>0</v>
      </c>
      <c r="H73" s="48">
        <f>IF(G72&gt;0,G73/G72,0)</f>
        <v>0</v>
      </c>
      <c r="I73" s="51">
        <v>0</v>
      </c>
      <c r="J73" s="48">
        <f>IF(I72&gt;0,I73/I72,0)</f>
        <v>0</v>
      </c>
      <c r="K73" s="51"/>
      <c r="N73" s="46" t="s">
        <v>94</v>
      </c>
      <c r="O73" s="50"/>
      <c r="P73" s="52">
        <v>1</v>
      </c>
      <c r="Q73" s="48">
        <f>IF(P72&gt;0,P73/P72,0)</f>
        <v>0.5</v>
      </c>
      <c r="R73" s="52">
        <v>1</v>
      </c>
      <c r="S73" s="48">
        <f>IF(R72&gt;0,R73/R72,0)</f>
        <v>0.5</v>
      </c>
      <c r="T73" s="52">
        <v>1</v>
      </c>
      <c r="U73" s="48">
        <f>IF(T72&gt;0,T73/T72,0)</f>
        <v>1</v>
      </c>
      <c r="V73" s="52">
        <v>0</v>
      </c>
      <c r="W73" s="48">
        <f>IF(V72&gt;0,V73/V72,0)</f>
        <v>0</v>
      </c>
      <c r="X73" s="52"/>
      <c r="AA73" s="44" t="s">
        <v>133</v>
      </c>
      <c r="AB73" s="53">
        <v>0</v>
      </c>
      <c r="AD73" s="43" t="s">
        <v>134</v>
      </c>
      <c r="AE73" s="53">
        <v>0</v>
      </c>
      <c r="AF73" s="51">
        <v>0</v>
      </c>
      <c r="AG73" s="51">
        <v>0</v>
      </c>
      <c r="AH73" s="53">
        <v>0</v>
      </c>
      <c r="AI73" s="53">
        <v>0</v>
      </c>
    </row>
    <row r="74" spans="1:35" ht="21.75" customHeight="1" x14ac:dyDescent="0.3">
      <c r="A74" s="43" t="s">
        <v>97</v>
      </c>
      <c r="B74" s="43" t="s">
        <v>132</v>
      </c>
      <c r="C74" s="47">
        <v>0</v>
      </c>
      <c r="D74" s="48">
        <f>IF(K74&gt;0,C74/K74,0)</f>
        <v>0</v>
      </c>
      <c r="E74" s="47">
        <v>0</v>
      </c>
      <c r="F74" s="48">
        <f>IF(K74&gt;0,E74/K74,0)</f>
        <v>0</v>
      </c>
      <c r="G74" s="47">
        <v>0</v>
      </c>
      <c r="H74" s="48">
        <f>IF(K74&gt;0,G74/K74,0)</f>
        <v>0</v>
      </c>
      <c r="I74" s="47">
        <v>0</v>
      </c>
      <c r="J74" s="48">
        <f>IF(K74&gt;0,I74/K74,0)</f>
        <v>0</v>
      </c>
      <c r="K74" s="47">
        <v>0</v>
      </c>
      <c r="N74" s="46" t="s">
        <v>94</v>
      </c>
      <c r="O74" s="46" t="s">
        <v>132</v>
      </c>
      <c r="P74" s="49">
        <v>3</v>
      </c>
      <c r="Q74" s="48">
        <f>IF(X74&gt;0,P74/X74,0)</f>
        <v>0.375</v>
      </c>
      <c r="R74" s="49">
        <v>3</v>
      </c>
      <c r="S74" s="48">
        <f>IF(X74&gt;0,R74/X74,0)</f>
        <v>0.375</v>
      </c>
      <c r="T74" s="49">
        <v>2</v>
      </c>
      <c r="U74" s="48">
        <f>IF(X74&gt;0,T74/X74,0)</f>
        <v>0.25</v>
      </c>
      <c r="V74" s="49">
        <v>0</v>
      </c>
      <c r="W74" s="48">
        <f>IF(X74&gt;0,V74/X74,0)</f>
        <v>0</v>
      </c>
      <c r="X74" s="49">
        <v>8</v>
      </c>
      <c r="AA74" s="44" t="s">
        <v>135</v>
      </c>
      <c r="AB74" s="53">
        <v>0</v>
      </c>
      <c r="AD74" s="43" t="s">
        <v>136</v>
      </c>
      <c r="AE74" s="53">
        <v>0</v>
      </c>
      <c r="AF74" s="51">
        <v>0</v>
      </c>
      <c r="AG74" s="51">
        <v>0</v>
      </c>
      <c r="AH74" s="53">
        <v>0</v>
      </c>
      <c r="AI74" s="53">
        <v>0</v>
      </c>
    </row>
    <row r="75" spans="1:35" ht="21.75" customHeight="1" x14ac:dyDescent="0.3">
      <c r="A75" s="43" t="s">
        <v>97</v>
      </c>
      <c r="B75" s="50"/>
      <c r="C75" s="51">
        <v>0</v>
      </c>
      <c r="D75" s="48">
        <f>IF(C74&gt;0,C75/C74,0)</f>
        <v>0</v>
      </c>
      <c r="E75" s="51">
        <v>0</v>
      </c>
      <c r="F75" s="48">
        <f>IF(E74&gt;0,E75/E74,0)</f>
        <v>0</v>
      </c>
      <c r="G75" s="51">
        <v>0</v>
      </c>
      <c r="H75" s="48">
        <f>IF(G74&gt;0,G75/G74,0)</f>
        <v>0</v>
      </c>
      <c r="I75" s="51">
        <v>0</v>
      </c>
      <c r="J75" s="48">
        <f>IF(I74&gt;0,I75/I74,0)</f>
        <v>0</v>
      </c>
      <c r="K75" s="51"/>
      <c r="N75" s="46" t="s">
        <v>94</v>
      </c>
      <c r="O75" s="50"/>
      <c r="P75" s="52">
        <v>1</v>
      </c>
      <c r="Q75" s="48">
        <f>IF(P74&gt;0,P75/P74,0)</f>
        <v>0.33333333333333331</v>
      </c>
      <c r="R75" s="52">
        <v>2</v>
      </c>
      <c r="S75" s="48">
        <f>IF(R74&gt;0,R75/R74,0)</f>
        <v>0.66666666666666663</v>
      </c>
      <c r="T75" s="52">
        <v>1</v>
      </c>
      <c r="U75" s="48">
        <f>IF(T74&gt;0,T75/T74,0)</f>
        <v>0.5</v>
      </c>
      <c r="V75" s="52">
        <v>0</v>
      </c>
      <c r="W75" s="48">
        <f>IF(V74&gt;0,V75/V74,0)</f>
        <v>0</v>
      </c>
      <c r="X75" s="52"/>
      <c r="AD75" s="43" t="s">
        <v>137</v>
      </c>
      <c r="AE75" s="53">
        <v>0</v>
      </c>
      <c r="AF75" s="51">
        <v>0</v>
      </c>
      <c r="AG75" s="51">
        <v>0</v>
      </c>
      <c r="AH75" s="53">
        <v>0</v>
      </c>
      <c r="AI75" s="53">
        <v>0</v>
      </c>
    </row>
    <row r="76" spans="1:35" ht="21.75" customHeight="1" x14ac:dyDescent="0.3">
      <c r="A76" s="43" t="s">
        <v>97</v>
      </c>
      <c r="B76" s="43" t="s">
        <v>134</v>
      </c>
      <c r="C76" s="47">
        <v>0</v>
      </c>
      <c r="D76" s="48">
        <f>IF(K76&gt;0,C76/K76,0)</f>
        <v>0</v>
      </c>
      <c r="E76" s="47">
        <v>0</v>
      </c>
      <c r="F76" s="48">
        <f>IF(K76&gt;0,E76/K76,0)</f>
        <v>0</v>
      </c>
      <c r="G76" s="47">
        <v>0</v>
      </c>
      <c r="H76" s="48">
        <f>IF(K76&gt;0,G76/K76,0)</f>
        <v>0</v>
      </c>
      <c r="I76" s="47">
        <v>0</v>
      </c>
      <c r="J76" s="48">
        <f>IF(K76&gt;0,I76/K76,0)</f>
        <v>0</v>
      </c>
      <c r="K76" s="47">
        <v>0</v>
      </c>
      <c r="N76" s="46" t="s">
        <v>94</v>
      </c>
      <c r="O76" s="46" t="s">
        <v>134</v>
      </c>
      <c r="P76" s="49">
        <v>0</v>
      </c>
      <c r="Q76" s="48">
        <f>IF(X76&gt;0,P76/X76,0)</f>
        <v>0</v>
      </c>
      <c r="R76" s="49">
        <v>0</v>
      </c>
      <c r="S76" s="48">
        <f>IF(X76&gt;0,R76/X76,0)</f>
        <v>0</v>
      </c>
      <c r="T76" s="49">
        <v>0</v>
      </c>
      <c r="U76" s="48">
        <f>IF(X76&gt;0,T76/X76,0)</f>
        <v>0</v>
      </c>
      <c r="V76" s="49">
        <v>1</v>
      </c>
      <c r="W76" s="48">
        <f>IF(X76&gt;0,V76/X76,0)</f>
        <v>1</v>
      </c>
      <c r="X76" s="49">
        <v>1</v>
      </c>
      <c r="AD76" s="43" t="s">
        <v>138</v>
      </c>
      <c r="AE76" s="53">
        <v>0</v>
      </c>
      <c r="AF76" s="51">
        <v>0</v>
      </c>
      <c r="AG76" s="51">
        <v>0</v>
      </c>
      <c r="AH76" s="53">
        <v>0</v>
      </c>
      <c r="AI76" s="53">
        <v>0</v>
      </c>
    </row>
    <row r="77" spans="1:35" ht="21.75" customHeight="1" x14ac:dyDescent="0.3">
      <c r="A77" s="43" t="s">
        <v>97</v>
      </c>
      <c r="B77" s="50"/>
      <c r="C77" s="51">
        <v>0</v>
      </c>
      <c r="D77" s="48">
        <f>IF(C76&gt;0,C77/C76,0)</f>
        <v>0</v>
      </c>
      <c r="E77" s="51">
        <v>0</v>
      </c>
      <c r="F77" s="48">
        <f>IF(E76&gt;0,E77/E76,0)</f>
        <v>0</v>
      </c>
      <c r="G77" s="51">
        <v>0</v>
      </c>
      <c r="H77" s="48">
        <f>IF(G76&gt;0,G77/G76,0)</f>
        <v>0</v>
      </c>
      <c r="I77" s="51">
        <v>0</v>
      </c>
      <c r="J77" s="48">
        <f>IF(I76&gt;0,I77/I76,0)</f>
        <v>0</v>
      </c>
      <c r="K77" s="51"/>
      <c r="N77" s="46" t="s">
        <v>94</v>
      </c>
      <c r="O77" s="50"/>
      <c r="P77" s="52">
        <v>0</v>
      </c>
      <c r="Q77" s="48">
        <f>IF(P76&gt;0,P77/P76,0)</f>
        <v>0</v>
      </c>
      <c r="R77" s="52">
        <v>0</v>
      </c>
      <c r="S77" s="48">
        <f>IF(R76&gt;0,R77/R76,0)</f>
        <v>0</v>
      </c>
      <c r="T77" s="52">
        <v>0</v>
      </c>
      <c r="U77" s="48">
        <f>IF(T76&gt;0,T77/T76,0)</f>
        <v>0</v>
      </c>
      <c r="V77" s="52">
        <v>1</v>
      </c>
      <c r="W77" s="48">
        <f>IF(V76&gt;0,V77/V76,0)</f>
        <v>1</v>
      </c>
      <c r="X77" s="52"/>
      <c r="AE77" s="54"/>
      <c r="AH77" s="54"/>
      <c r="AI77" s="54"/>
    </row>
    <row r="78" spans="1:35" ht="24" customHeight="1" x14ac:dyDescent="0.3">
      <c r="A78" s="43" t="s">
        <v>97</v>
      </c>
      <c r="B78" s="43" t="s">
        <v>136</v>
      </c>
      <c r="C78" s="47">
        <v>0</v>
      </c>
      <c r="D78" s="48">
        <f>IF(K78&gt;0,C78/K78,0)</f>
        <v>0</v>
      </c>
      <c r="E78" s="47">
        <v>0</v>
      </c>
      <c r="F78" s="48">
        <f>IF(K78&gt;0,E78/K78,0)</f>
        <v>0</v>
      </c>
      <c r="G78" s="47">
        <v>0</v>
      </c>
      <c r="H78" s="48">
        <f>IF(K78&gt;0,G78/K78,0)</f>
        <v>0</v>
      </c>
      <c r="I78" s="47">
        <v>0</v>
      </c>
      <c r="J78" s="48">
        <f>IF(K78&gt;0,I78/K78,0)</f>
        <v>0</v>
      </c>
      <c r="K78" s="47">
        <v>0</v>
      </c>
      <c r="N78" s="46" t="s">
        <v>94</v>
      </c>
      <c r="O78" s="46" t="s">
        <v>136</v>
      </c>
      <c r="P78" s="49">
        <v>1</v>
      </c>
      <c r="Q78" s="48">
        <f>IF(X78&gt;0,P78/X78,0)</f>
        <v>1</v>
      </c>
      <c r="R78" s="49">
        <v>0</v>
      </c>
      <c r="S78" s="48">
        <f>IF(X78&gt;0,R78/X78,0)</f>
        <v>0</v>
      </c>
      <c r="T78" s="49">
        <v>0</v>
      </c>
      <c r="U78" s="48">
        <f>IF(X78&gt;0,T78/X78,0)</f>
        <v>0</v>
      </c>
      <c r="V78" s="49">
        <v>0</v>
      </c>
      <c r="W78" s="48">
        <f>IF(X78&gt;0,V78/X78,0)</f>
        <v>0</v>
      </c>
      <c r="X78" s="49">
        <v>1</v>
      </c>
      <c r="AA78" s="46" t="s">
        <v>94</v>
      </c>
      <c r="AB78" s="44" t="s">
        <v>101</v>
      </c>
      <c r="AD78" s="46" t="s">
        <v>94</v>
      </c>
      <c r="AE78" s="55" t="s">
        <v>101</v>
      </c>
      <c r="AF78" s="44" t="s">
        <v>102</v>
      </c>
      <c r="AG78" s="44" t="s">
        <v>26</v>
      </c>
      <c r="AH78" s="55" t="s">
        <v>106</v>
      </c>
      <c r="AI78" s="55" t="s">
        <v>125</v>
      </c>
    </row>
    <row r="79" spans="1:35" ht="21.75" customHeight="1" x14ac:dyDescent="0.3">
      <c r="A79" s="43" t="s">
        <v>97</v>
      </c>
      <c r="B79" s="50"/>
      <c r="C79" s="51">
        <v>0</v>
      </c>
      <c r="D79" s="48">
        <f>IF(C78&gt;0,C79/C78,0)</f>
        <v>0</v>
      </c>
      <c r="E79" s="51">
        <v>0</v>
      </c>
      <c r="F79" s="48">
        <f>IF(E78&gt;0,E79/E78,0)</f>
        <v>0</v>
      </c>
      <c r="G79" s="51">
        <v>0</v>
      </c>
      <c r="H79" s="48">
        <f>IF(G78&gt;0,G79/G78,0)</f>
        <v>0</v>
      </c>
      <c r="I79" s="51">
        <v>0</v>
      </c>
      <c r="J79" s="48">
        <f>IF(I78&gt;0,I79/I78,0)</f>
        <v>0</v>
      </c>
      <c r="K79" s="51"/>
      <c r="N79" s="46" t="s">
        <v>94</v>
      </c>
      <c r="O79" s="50"/>
      <c r="P79" s="52">
        <v>1</v>
      </c>
      <c r="Q79" s="48">
        <f>IF(P78&gt;0,P79/P78,0)</f>
        <v>1</v>
      </c>
      <c r="R79" s="52">
        <v>0</v>
      </c>
      <c r="S79" s="48">
        <f>IF(R78&gt;0,R79/R78,0)</f>
        <v>0</v>
      </c>
      <c r="T79" s="52">
        <v>0</v>
      </c>
      <c r="U79" s="48">
        <f>IF(T78&gt;0,T79/T78,0)</f>
        <v>0</v>
      </c>
      <c r="V79" s="52">
        <v>0</v>
      </c>
      <c r="W79" s="48">
        <f>IF(V78&gt;0,V79/V78,0)</f>
        <v>0</v>
      </c>
      <c r="X79" s="52"/>
      <c r="AA79" s="44" t="s">
        <v>126</v>
      </c>
      <c r="AB79" s="53">
        <v>0.26</v>
      </c>
      <c r="AD79" s="46" t="s">
        <v>124</v>
      </c>
      <c r="AE79" s="53">
        <v>-0.25</v>
      </c>
      <c r="AF79" s="51">
        <v>8</v>
      </c>
      <c r="AG79" s="51">
        <v>0</v>
      </c>
      <c r="AH79" s="53">
        <v>0</v>
      </c>
      <c r="AI79" s="53">
        <v>0.25</v>
      </c>
    </row>
    <row r="80" spans="1:35" ht="21.75" customHeight="1" x14ac:dyDescent="0.3">
      <c r="A80" s="162" t="s">
        <v>139</v>
      </c>
      <c r="B80" s="163"/>
      <c r="C80" s="163"/>
      <c r="D80" s="163"/>
      <c r="E80" s="163"/>
      <c r="F80" s="164"/>
      <c r="G80" s="157" t="s">
        <v>140</v>
      </c>
      <c r="H80" s="158"/>
      <c r="I80" s="158"/>
      <c r="J80" s="158"/>
      <c r="K80" s="158"/>
      <c r="L80" s="158"/>
      <c r="N80" s="162" t="s">
        <v>139</v>
      </c>
      <c r="O80" s="163"/>
      <c r="P80" s="163"/>
      <c r="Q80" s="163"/>
      <c r="R80" s="163"/>
      <c r="S80" s="164"/>
      <c r="T80" s="157" t="s">
        <v>140</v>
      </c>
      <c r="U80" s="158"/>
      <c r="V80" s="158"/>
      <c r="W80" s="158"/>
      <c r="X80" s="158"/>
      <c r="Y80" s="158"/>
      <c r="AA80" s="44" t="s">
        <v>128</v>
      </c>
      <c r="AB80" s="53">
        <v>0.14000000000000001</v>
      </c>
      <c r="AD80" s="46" t="s">
        <v>127</v>
      </c>
      <c r="AE80" s="53">
        <v>0.86</v>
      </c>
      <c r="AF80" s="51">
        <v>7</v>
      </c>
      <c r="AG80" s="51">
        <v>6</v>
      </c>
      <c r="AH80" s="53">
        <v>0.86</v>
      </c>
      <c r="AI80" s="53">
        <v>0</v>
      </c>
    </row>
    <row r="81" spans="1:48" ht="21.75" customHeight="1" x14ac:dyDescent="0.3">
      <c r="A81" s="56">
        <v>0</v>
      </c>
      <c r="B81" s="57"/>
      <c r="C81" s="58">
        <v>0</v>
      </c>
      <c r="D81" s="57"/>
      <c r="E81" s="58">
        <v>0</v>
      </c>
      <c r="F81" s="57"/>
      <c r="G81" s="56">
        <v>0</v>
      </c>
      <c r="H81" s="57"/>
      <c r="I81" s="56">
        <v>0</v>
      </c>
      <c r="J81" s="57"/>
      <c r="K81" s="56">
        <v>0</v>
      </c>
      <c r="L81" s="57"/>
      <c r="N81" s="56">
        <v>10</v>
      </c>
      <c r="O81" s="57"/>
      <c r="P81" s="58">
        <v>11</v>
      </c>
      <c r="Q81" s="57"/>
      <c r="R81" s="58">
        <v>5</v>
      </c>
      <c r="S81" s="57"/>
      <c r="T81" s="56">
        <v>12</v>
      </c>
      <c r="U81" s="57"/>
      <c r="V81" s="56">
        <v>2</v>
      </c>
      <c r="W81" s="57"/>
      <c r="X81" s="56">
        <v>3</v>
      </c>
      <c r="Y81" s="57"/>
      <c r="AA81" s="44" t="s">
        <v>129</v>
      </c>
      <c r="AB81" s="53">
        <v>0.39</v>
      </c>
      <c r="AD81" s="46" t="s">
        <v>130</v>
      </c>
      <c r="AE81" s="53">
        <v>0.6</v>
      </c>
      <c r="AF81" s="51">
        <v>5</v>
      </c>
      <c r="AG81" s="51">
        <v>3</v>
      </c>
      <c r="AH81" s="53">
        <v>0.6</v>
      </c>
      <c r="AI81" s="53">
        <v>0</v>
      </c>
    </row>
    <row r="82" spans="1:48" ht="21.75" customHeight="1" x14ac:dyDescent="0.3">
      <c r="A82" s="59">
        <v>0</v>
      </c>
      <c r="B82" s="60">
        <v>0</v>
      </c>
      <c r="C82" s="61">
        <v>0</v>
      </c>
      <c r="D82" s="60">
        <v>0</v>
      </c>
      <c r="E82" s="61">
        <v>0</v>
      </c>
      <c r="F82" s="60">
        <v>0</v>
      </c>
      <c r="G82" s="59">
        <v>0</v>
      </c>
      <c r="H82" s="60">
        <v>0</v>
      </c>
      <c r="I82" s="59">
        <v>0</v>
      </c>
      <c r="J82" s="60">
        <v>0</v>
      </c>
      <c r="K82" s="59">
        <v>0</v>
      </c>
      <c r="L82" s="60">
        <v>0</v>
      </c>
      <c r="N82" s="59">
        <v>5</v>
      </c>
      <c r="O82" s="60">
        <v>0.5</v>
      </c>
      <c r="P82" s="61">
        <v>6</v>
      </c>
      <c r="Q82" s="60">
        <v>0.55000000000000004</v>
      </c>
      <c r="R82" s="61">
        <v>2</v>
      </c>
      <c r="S82" s="60">
        <v>0.4</v>
      </c>
      <c r="T82" s="59">
        <v>5</v>
      </c>
      <c r="U82" s="60">
        <v>0.42</v>
      </c>
      <c r="V82" s="59">
        <v>0</v>
      </c>
      <c r="W82" s="60">
        <v>0</v>
      </c>
      <c r="X82" s="59">
        <v>2</v>
      </c>
      <c r="Y82" s="60">
        <v>0.67</v>
      </c>
      <c r="AA82" s="44" t="s">
        <v>131</v>
      </c>
      <c r="AB82" s="53">
        <v>7.0000000000000007E-2</v>
      </c>
      <c r="AD82" s="46" t="s">
        <v>132</v>
      </c>
      <c r="AE82" s="53">
        <v>0.12</v>
      </c>
      <c r="AF82" s="51">
        <v>8</v>
      </c>
      <c r="AG82" s="51">
        <v>4</v>
      </c>
      <c r="AH82" s="53">
        <v>0.5</v>
      </c>
      <c r="AI82" s="53">
        <v>0.38</v>
      </c>
    </row>
    <row r="83" spans="1:48" ht="21.75" customHeight="1" x14ac:dyDescent="0.3">
      <c r="A83" s="62"/>
      <c r="B83" s="63"/>
      <c r="C83" s="58">
        <v>0</v>
      </c>
      <c r="D83" s="57"/>
      <c r="E83" s="64">
        <v>0</v>
      </c>
      <c r="F83" s="57"/>
      <c r="G83" s="56"/>
      <c r="H83" s="57"/>
      <c r="I83" s="64">
        <v>0</v>
      </c>
      <c r="J83" s="65"/>
      <c r="K83" s="56">
        <v>0</v>
      </c>
      <c r="L83" s="57"/>
      <c r="N83" s="62"/>
      <c r="O83" s="63"/>
      <c r="P83" s="58">
        <v>2</v>
      </c>
      <c r="Q83" s="57"/>
      <c r="R83" s="64">
        <v>2</v>
      </c>
      <c r="S83" s="57"/>
      <c r="T83" s="56"/>
      <c r="U83" s="57"/>
      <c r="V83" s="64">
        <v>1</v>
      </c>
      <c r="W83" s="65"/>
      <c r="X83" s="56">
        <v>5</v>
      </c>
      <c r="Y83" s="57"/>
      <c r="AA83" s="44" t="s">
        <v>133</v>
      </c>
      <c r="AB83" s="53">
        <v>0.33</v>
      </c>
      <c r="AD83" s="46" t="s">
        <v>134</v>
      </c>
      <c r="AE83" s="53">
        <v>1</v>
      </c>
      <c r="AF83" s="51">
        <v>1</v>
      </c>
      <c r="AG83" s="51">
        <v>1</v>
      </c>
      <c r="AH83" s="53">
        <v>1</v>
      </c>
      <c r="AI83" s="53">
        <v>0</v>
      </c>
    </row>
    <row r="84" spans="1:48" ht="21.75" customHeight="1" x14ac:dyDescent="0.3">
      <c r="A84" s="66"/>
      <c r="B84" s="67"/>
      <c r="C84" s="61">
        <v>0</v>
      </c>
      <c r="D84" s="60">
        <v>0</v>
      </c>
      <c r="E84" s="68">
        <v>0</v>
      </c>
      <c r="F84" s="69">
        <v>0</v>
      </c>
      <c r="G84" s="59"/>
      <c r="H84" s="60"/>
      <c r="I84" s="68">
        <v>0</v>
      </c>
      <c r="J84" s="70">
        <v>0</v>
      </c>
      <c r="K84" s="59">
        <v>0</v>
      </c>
      <c r="L84" s="60">
        <v>0</v>
      </c>
      <c r="N84" s="66"/>
      <c r="O84" s="67"/>
      <c r="P84" s="61">
        <v>1</v>
      </c>
      <c r="Q84" s="60">
        <v>0.5</v>
      </c>
      <c r="R84" s="68">
        <v>1</v>
      </c>
      <c r="S84" s="69">
        <v>0.5</v>
      </c>
      <c r="T84" s="59"/>
      <c r="U84" s="60"/>
      <c r="V84" s="68">
        <v>1</v>
      </c>
      <c r="W84" s="70">
        <v>1</v>
      </c>
      <c r="X84" s="59">
        <v>3</v>
      </c>
      <c r="Y84" s="60">
        <v>0.6</v>
      </c>
      <c r="AA84" s="44" t="s">
        <v>135</v>
      </c>
      <c r="AB84" s="53">
        <v>0.35</v>
      </c>
      <c r="AD84" s="46" t="s">
        <v>136</v>
      </c>
      <c r="AE84" s="53">
        <v>1</v>
      </c>
      <c r="AF84" s="51">
        <v>1</v>
      </c>
      <c r="AG84" s="51">
        <v>1</v>
      </c>
      <c r="AH84" s="53">
        <v>1</v>
      </c>
      <c r="AI84" s="53">
        <v>0</v>
      </c>
    </row>
    <row r="85" spans="1:48" ht="21.75" customHeight="1" x14ac:dyDescent="0.3">
      <c r="A85" s="71"/>
      <c r="B85" s="72"/>
      <c r="AD85" s="46" t="s">
        <v>137</v>
      </c>
      <c r="AE85" s="53">
        <v>0.33</v>
      </c>
      <c r="AF85" s="51">
        <v>30</v>
      </c>
      <c r="AG85" s="51">
        <v>15</v>
      </c>
      <c r="AH85" s="53">
        <v>0.5</v>
      </c>
      <c r="AI85" s="53">
        <v>0.17</v>
      </c>
    </row>
    <row r="86" spans="1:48" ht="21.75" customHeight="1" x14ac:dyDescent="0.3">
      <c r="D86" s="73"/>
      <c r="AD86" s="46" t="s">
        <v>138</v>
      </c>
      <c r="AE86" s="53">
        <v>0.35</v>
      </c>
      <c r="AF86" s="51">
        <v>23</v>
      </c>
      <c r="AG86" s="51">
        <v>11</v>
      </c>
      <c r="AH86" s="53">
        <v>0.48</v>
      </c>
      <c r="AI86" s="53">
        <v>0.13</v>
      </c>
    </row>
    <row r="89" spans="1:48" ht="14.25" customHeight="1" x14ac:dyDescent="0.3">
      <c r="A89" s="74"/>
      <c r="B89" s="75" t="s">
        <v>142</v>
      </c>
      <c r="C89" s="75" t="s">
        <v>102</v>
      </c>
      <c r="D89" s="75" t="s">
        <v>143</v>
      </c>
      <c r="E89" s="75" t="s">
        <v>26</v>
      </c>
      <c r="F89" s="12" t="s">
        <v>103</v>
      </c>
      <c r="G89" s="74" t="s">
        <v>104</v>
      </c>
      <c r="H89" s="75" t="s">
        <v>105</v>
      </c>
      <c r="I89" s="74"/>
      <c r="J89" s="75" t="s">
        <v>142</v>
      </c>
      <c r="K89" s="75" t="s">
        <v>102</v>
      </c>
      <c r="L89" s="75" t="s">
        <v>143</v>
      </c>
      <c r="M89" s="75" t="s">
        <v>26</v>
      </c>
      <c r="N89" s="12" t="s">
        <v>103</v>
      </c>
      <c r="O89" s="74" t="s">
        <v>104</v>
      </c>
      <c r="P89" s="75" t="s">
        <v>105</v>
      </c>
      <c r="Q89" s="74"/>
      <c r="R89" s="75" t="s">
        <v>142</v>
      </c>
      <c r="S89" s="75" t="s">
        <v>102</v>
      </c>
      <c r="T89" s="75" t="s">
        <v>143</v>
      </c>
      <c r="U89" s="75" t="s">
        <v>26</v>
      </c>
      <c r="V89" s="75" t="s">
        <v>103</v>
      </c>
      <c r="W89" s="75" t="s">
        <v>104</v>
      </c>
      <c r="X89" s="12" t="s">
        <v>105</v>
      </c>
      <c r="Y89" s="74"/>
      <c r="Z89" s="75" t="s">
        <v>142</v>
      </c>
      <c r="AA89" s="75" t="s">
        <v>102</v>
      </c>
      <c r="AB89" s="75" t="s">
        <v>143</v>
      </c>
      <c r="AC89" s="75" t="s">
        <v>26</v>
      </c>
      <c r="AD89" s="12" t="s">
        <v>103</v>
      </c>
      <c r="AE89" s="74" t="s">
        <v>104</v>
      </c>
      <c r="AF89" s="75" t="s">
        <v>105</v>
      </c>
      <c r="AG89" s="74"/>
      <c r="AH89" s="75" t="s">
        <v>142</v>
      </c>
      <c r="AI89" s="75" t="s">
        <v>102</v>
      </c>
      <c r="AJ89" s="75" t="s">
        <v>143</v>
      </c>
      <c r="AK89" s="75" t="s">
        <v>26</v>
      </c>
      <c r="AL89" s="75" t="s">
        <v>103</v>
      </c>
      <c r="AM89" s="75" t="s">
        <v>104</v>
      </c>
      <c r="AN89" s="12" t="s">
        <v>105</v>
      </c>
      <c r="AO89" s="74"/>
      <c r="AP89" s="75" t="s">
        <v>142</v>
      </c>
      <c r="AQ89" s="75" t="s">
        <v>102</v>
      </c>
      <c r="AR89" s="75" t="s">
        <v>143</v>
      </c>
      <c r="AS89" s="75" t="s">
        <v>26</v>
      </c>
      <c r="AT89" s="75" t="s">
        <v>103</v>
      </c>
      <c r="AU89" s="75" t="s">
        <v>104</v>
      </c>
      <c r="AV89" s="12" t="s">
        <v>105</v>
      </c>
    </row>
    <row r="90" spans="1:48" ht="14.25" customHeight="1" x14ac:dyDescent="0.3">
      <c r="A90" s="76" t="s">
        <v>144</v>
      </c>
      <c r="B90" s="10" t="s">
        <v>145</v>
      </c>
      <c r="C90" s="77">
        <v>0</v>
      </c>
      <c r="D90" s="77">
        <v>0</v>
      </c>
      <c r="E90" s="77">
        <v>0</v>
      </c>
      <c r="F90" s="78">
        <v>0</v>
      </c>
      <c r="G90" s="78">
        <v>0</v>
      </c>
      <c r="H90" s="77">
        <v>0</v>
      </c>
      <c r="I90" s="76" t="s">
        <v>146</v>
      </c>
      <c r="J90" s="10" t="s">
        <v>145</v>
      </c>
      <c r="K90" s="77">
        <v>14</v>
      </c>
      <c r="L90" s="79">
        <v>0.17860000000000001</v>
      </c>
      <c r="M90" s="77">
        <v>1</v>
      </c>
      <c r="N90" s="78">
        <v>4</v>
      </c>
      <c r="O90" s="78">
        <v>1</v>
      </c>
      <c r="P90" s="77">
        <v>0</v>
      </c>
      <c r="Q90" s="76" t="s">
        <v>87</v>
      </c>
      <c r="R90" s="10" t="s">
        <v>145</v>
      </c>
      <c r="S90" s="77">
        <v>0</v>
      </c>
      <c r="T90" s="10" t="s">
        <v>80</v>
      </c>
      <c r="U90" s="77">
        <v>0</v>
      </c>
      <c r="V90" s="77">
        <v>0</v>
      </c>
      <c r="W90" s="77">
        <v>0</v>
      </c>
      <c r="X90" s="78">
        <v>0</v>
      </c>
      <c r="Y90" s="76" t="s">
        <v>85</v>
      </c>
      <c r="Z90" s="10" t="s">
        <v>145</v>
      </c>
      <c r="AA90" s="77">
        <v>0</v>
      </c>
      <c r="AB90" s="10" t="s">
        <v>80</v>
      </c>
      <c r="AC90" s="77">
        <v>0</v>
      </c>
      <c r="AD90" s="78">
        <v>0</v>
      </c>
      <c r="AE90" s="78">
        <v>0</v>
      </c>
      <c r="AF90" s="77">
        <v>0</v>
      </c>
      <c r="AG90" s="76" t="s">
        <v>86</v>
      </c>
      <c r="AH90" s="10" t="s">
        <v>145</v>
      </c>
      <c r="AI90" s="77">
        <v>1</v>
      </c>
      <c r="AJ90" s="77">
        <v>0</v>
      </c>
      <c r="AK90" s="77">
        <v>0</v>
      </c>
      <c r="AL90" s="77">
        <v>0</v>
      </c>
      <c r="AM90" s="77">
        <v>0</v>
      </c>
      <c r="AN90" s="78">
        <v>0</v>
      </c>
      <c r="AO90" s="76" t="s">
        <v>88</v>
      </c>
      <c r="AP90" s="10" t="s">
        <v>145</v>
      </c>
      <c r="AQ90" s="77">
        <v>0</v>
      </c>
      <c r="AR90" s="10" t="s">
        <v>80</v>
      </c>
      <c r="AS90" s="77">
        <v>0</v>
      </c>
      <c r="AT90" s="77">
        <v>0</v>
      </c>
      <c r="AU90" s="77">
        <v>0</v>
      </c>
      <c r="AV90" s="78">
        <v>0</v>
      </c>
    </row>
    <row r="91" spans="1:48" ht="14.25" customHeight="1" x14ac:dyDescent="0.3">
      <c r="A91" s="76" t="s">
        <v>144</v>
      </c>
      <c r="B91" s="10" t="s">
        <v>147</v>
      </c>
      <c r="C91" s="77">
        <v>0</v>
      </c>
      <c r="D91" s="10" t="s">
        <v>80</v>
      </c>
      <c r="E91" s="77">
        <v>0</v>
      </c>
      <c r="F91" s="78">
        <v>0</v>
      </c>
      <c r="G91" s="80">
        <v>0</v>
      </c>
      <c r="H91" s="77">
        <v>0</v>
      </c>
      <c r="I91" s="76" t="s">
        <v>146</v>
      </c>
      <c r="J91" s="10" t="s">
        <v>147</v>
      </c>
      <c r="K91" s="77">
        <v>17</v>
      </c>
      <c r="L91" s="79">
        <v>2.9399999999999999E-2</v>
      </c>
      <c r="M91" s="77">
        <v>2</v>
      </c>
      <c r="N91" s="78">
        <v>4</v>
      </c>
      <c r="O91" s="80">
        <v>1</v>
      </c>
      <c r="P91" s="77">
        <v>3</v>
      </c>
      <c r="Q91" s="76" t="s">
        <v>87</v>
      </c>
      <c r="R91" s="10" t="s">
        <v>147</v>
      </c>
      <c r="S91" s="77">
        <v>0</v>
      </c>
      <c r="T91" s="10" t="s">
        <v>80</v>
      </c>
      <c r="U91" s="77">
        <v>0</v>
      </c>
      <c r="V91" s="77">
        <v>0</v>
      </c>
      <c r="W91" s="77">
        <v>0</v>
      </c>
      <c r="X91" s="78">
        <v>0</v>
      </c>
      <c r="Y91" s="76" t="s">
        <v>85</v>
      </c>
      <c r="Z91" s="10" t="s">
        <v>147</v>
      </c>
      <c r="AA91" s="77">
        <v>5</v>
      </c>
      <c r="AB91" s="79">
        <v>0.6</v>
      </c>
      <c r="AC91" s="77">
        <v>2</v>
      </c>
      <c r="AD91" s="78">
        <v>2</v>
      </c>
      <c r="AE91" s="80">
        <v>0</v>
      </c>
      <c r="AF91" s="77">
        <v>0</v>
      </c>
      <c r="AG91" s="76" t="s">
        <v>86</v>
      </c>
      <c r="AH91" s="10" t="s">
        <v>147</v>
      </c>
      <c r="AI91" s="77">
        <v>8</v>
      </c>
      <c r="AJ91" s="79">
        <v>0.375</v>
      </c>
      <c r="AK91" s="77">
        <v>1</v>
      </c>
      <c r="AL91" s="77">
        <v>4</v>
      </c>
      <c r="AM91" s="77">
        <v>0</v>
      </c>
      <c r="AN91" s="78">
        <v>0</v>
      </c>
      <c r="AO91" s="76" t="s">
        <v>88</v>
      </c>
      <c r="AP91" s="10" t="s">
        <v>147</v>
      </c>
      <c r="AQ91" s="77">
        <v>2</v>
      </c>
      <c r="AR91" s="79">
        <v>0.25</v>
      </c>
      <c r="AS91" s="77">
        <v>0</v>
      </c>
      <c r="AT91" s="77">
        <v>1</v>
      </c>
      <c r="AU91" s="77">
        <v>0</v>
      </c>
      <c r="AV91" s="78">
        <v>0</v>
      </c>
    </row>
    <row r="92" spans="1:48" ht="14.25" customHeight="1" x14ac:dyDescent="0.3">
      <c r="A92" s="76" t="s">
        <v>144</v>
      </c>
      <c r="B92" s="10" t="s">
        <v>148</v>
      </c>
      <c r="C92" s="77">
        <v>0</v>
      </c>
      <c r="D92" s="10" t="s">
        <v>80</v>
      </c>
      <c r="E92" s="77">
        <v>0</v>
      </c>
      <c r="F92" s="78">
        <v>0</v>
      </c>
      <c r="G92" s="80">
        <v>0</v>
      </c>
      <c r="H92" s="77">
        <v>0</v>
      </c>
      <c r="I92" s="76" t="s">
        <v>146</v>
      </c>
      <c r="J92" s="10" t="s">
        <v>148</v>
      </c>
      <c r="K92" s="77">
        <v>0</v>
      </c>
      <c r="L92" s="10" t="s">
        <v>80</v>
      </c>
      <c r="M92" s="77">
        <v>0</v>
      </c>
      <c r="N92" s="78">
        <v>0</v>
      </c>
      <c r="O92" s="80">
        <v>0</v>
      </c>
      <c r="P92" s="77">
        <v>0</v>
      </c>
      <c r="Q92" s="76" t="s">
        <v>87</v>
      </c>
      <c r="R92" s="10" t="s">
        <v>148</v>
      </c>
      <c r="S92" s="77">
        <v>0</v>
      </c>
      <c r="T92" s="10" t="s">
        <v>80</v>
      </c>
      <c r="U92" s="77">
        <v>0</v>
      </c>
      <c r="V92" s="77">
        <v>0</v>
      </c>
      <c r="W92" s="77">
        <v>0</v>
      </c>
      <c r="X92" s="78">
        <v>0</v>
      </c>
      <c r="Y92" s="76" t="s">
        <v>85</v>
      </c>
      <c r="Z92" s="10" t="s">
        <v>148</v>
      </c>
      <c r="AA92" s="77">
        <v>0</v>
      </c>
      <c r="AB92" s="10" t="s">
        <v>80</v>
      </c>
      <c r="AC92" s="77">
        <v>0</v>
      </c>
      <c r="AD92" s="78">
        <v>0</v>
      </c>
      <c r="AE92" s="80">
        <v>0</v>
      </c>
      <c r="AF92" s="77">
        <v>0</v>
      </c>
      <c r="AG92" s="76" t="s">
        <v>86</v>
      </c>
      <c r="AH92" s="10" t="s">
        <v>148</v>
      </c>
      <c r="AI92" s="77">
        <v>1</v>
      </c>
      <c r="AJ92" s="79">
        <v>0.5</v>
      </c>
      <c r="AK92" s="77">
        <v>0</v>
      </c>
      <c r="AL92" s="77">
        <v>1</v>
      </c>
      <c r="AM92" s="77">
        <v>0</v>
      </c>
      <c r="AN92" s="78">
        <v>0</v>
      </c>
      <c r="AO92" s="76" t="s">
        <v>88</v>
      </c>
      <c r="AP92" s="10" t="s">
        <v>148</v>
      </c>
      <c r="AQ92" s="77">
        <v>0</v>
      </c>
      <c r="AR92" s="10" t="s">
        <v>80</v>
      </c>
      <c r="AS92" s="77">
        <v>0</v>
      </c>
      <c r="AT92" s="77">
        <v>0</v>
      </c>
      <c r="AU92" s="77">
        <v>0</v>
      </c>
      <c r="AV92" s="78">
        <v>0</v>
      </c>
    </row>
    <row r="93" spans="1:48" ht="14.25" customHeight="1" x14ac:dyDescent="0.3">
      <c r="A93" s="76" t="s">
        <v>144</v>
      </c>
      <c r="B93" s="10" t="s">
        <v>149</v>
      </c>
      <c r="C93" s="77">
        <v>0</v>
      </c>
      <c r="D93" s="10" t="s">
        <v>80</v>
      </c>
      <c r="E93" s="77">
        <v>0</v>
      </c>
      <c r="F93" s="78">
        <v>0</v>
      </c>
      <c r="G93" s="80">
        <v>0</v>
      </c>
      <c r="H93" s="77">
        <v>0</v>
      </c>
      <c r="I93" s="76" t="s">
        <v>146</v>
      </c>
      <c r="J93" s="10" t="s">
        <v>149</v>
      </c>
      <c r="K93" s="77">
        <v>2</v>
      </c>
      <c r="L93" s="77">
        <v>0</v>
      </c>
      <c r="M93" s="77">
        <v>0</v>
      </c>
      <c r="N93" s="78">
        <v>0</v>
      </c>
      <c r="O93" s="80">
        <v>0</v>
      </c>
      <c r="P93" s="77">
        <v>0</v>
      </c>
      <c r="Q93" s="76" t="s">
        <v>87</v>
      </c>
      <c r="R93" s="10" t="s">
        <v>149</v>
      </c>
      <c r="S93" s="77">
        <v>0</v>
      </c>
      <c r="T93" s="10" t="s">
        <v>80</v>
      </c>
      <c r="U93" s="77">
        <v>0</v>
      </c>
      <c r="V93" s="77">
        <v>0</v>
      </c>
      <c r="W93" s="77">
        <v>0</v>
      </c>
      <c r="X93" s="78">
        <v>0</v>
      </c>
      <c r="Y93" s="76" t="s">
        <v>85</v>
      </c>
      <c r="Z93" s="10" t="s">
        <v>149</v>
      </c>
      <c r="AA93" s="77">
        <v>0</v>
      </c>
      <c r="AB93" s="10" t="s">
        <v>80</v>
      </c>
      <c r="AC93" s="77">
        <v>0</v>
      </c>
      <c r="AD93" s="78">
        <v>0</v>
      </c>
      <c r="AE93" s="80">
        <v>0</v>
      </c>
      <c r="AF93" s="77">
        <v>0</v>
      </c>
      <c r="AG93" s="76" t="s">
        <v>86</v>
      </c>
      <c r="AH93" s="10" t="s">
        <v>149</v>
      </c>
      <c r="AI93" s="77">
        <v>0</v>
      </c>
      <c r="AJ93" s="10" t="s">
        <v>80</v>
      </c>
      <c r="AK93" s="77">
        <v>0</v>
      </c>
      <c r="AL93" s="77">
        <v>0</v>
      </c>
      <c r="AM93" s="77">
        <v>0</v>
      </c>
      <c r="AN93" s="78">
        <v>0</v>
      </c>
      <c r="AO93" s="76" t="s">
        <v>88</v>
      </c>
      <c r="AP93" s="10" t="s">
        <v>149</v>
      </c>
      <c r="AQ93" s="77">
        <v>0</v>
      </c>
      <c r="AR93" s="10" t="s">
        <v>80</v>
      </c>
      <c r="AS93" s="77">
        <v>0</v>
      </c>
      <c r="AT93" s="77">
        <v>0</v>
      </c>
      <c r="AU93" s="77">
        <v>0</v>
      </c>
      <c r="AV93" s="78">
        <v>0</v>
      </c>
    </row>
    <row r="94" spans="1:48" ht="14.25" customHeight="1" x14ac:dyDescent="0.3">
      <c r="A94" s="76" t="s">
        <v>144</v>
      </c>
      <c r="B94" s="10" t="s">
        <v>150</v>
      </c>
      <c r="C94" s="77">
        <v>0</v>
      </c>
      <c r="D94" s="10" t="s">
        <v>80</v>
      </c>
      <c r="E94" s="77">
        <v>0</v>
      </c>
      <c r="F94" s="78">
        <v>0</v>
      </c>
      <c r="G94" s="80">
        <v>0</v>
      </c>
      <c r="H94" s="77">
        <v>0</v>
      </c>
      <c r="I94" s="76" t="s">
        <v>146</v>
      </c>
      <c r="J94" s="10" t="s">
        <v>150</v>
      </c>
      <c r="K94" s="77">
        <v>3</v>
      </c>
      <c r="L94" s="79">
        <v>0.16669999999999999</v>
      </c>
      <c r="M94" s="77">
        <v>0</v>
      </c>
      <c r="N94" s="78">
        <v>1</v>
      </c>
      <c r="O94" s="80">
        <v>0</v>
      </c>
      <c r="P94" s="77">
        <v>0</v>
      </c>
      <c r="Q94" s="76" t="s">
        <v>87</v>
      </c>
      <c r="R94" s="10" t="s">
        <v>150</v>
      </c>
      <c r="S94" s="77">
        <v>0</v>
      </c>
      <c r="T94" s="10" t="s">
        <v>80</v>
      </c>
      <c r="U94" s="77">
        <v>0</v>
      </c>
      <c r="V94" s="77">
        <v>0</v>
      </c>
      <c r="W94" s="77">
        <v>0</v>
      </c>
      <c r="X94" s="78">
        <v>0</v>
      </c>
      <c r="Y94" s="76" t="s">
        <v>85</v>
      </c>
      <c r="Z94" s="10" t="s">
        <v>150</v>
      </c>
      <c r="AA94" s="77">
        <v>6</v>
      </c>
      <c r="AB94" s="79">
        <v>0.33329999999999999</v>
      </c>
      <c r="AC94" s="77">
        <v>0</v>
      </c>
      <c r="AD94" s="78">
        <v>4</v>
      </c>
      <c r="AE94" s="80">
        <v>0</v>
      </c>
      <c r="AF94" s="77">
        <v>0</v>
      </c>
      <c r="AG94" s="76" t="s">
        <v>86</v>
      </c>
      <c r="AH94" s="10" t="s">
        <v>150</v>
      </c>
      <c r="AI94" s="77">
        <v>2</v>
      </c>
      <c r="AJ94" s="79">
        <v>-0.25</v>
      </c>
      <c r="AK94" s="77">
        <v>0</v>
      </c>
      <c r="AL94" s="77">
        <v>1</v>
      </c>
      <c r="AM94" s="77">
        <v>0</v>
      </c>
      <c r="AN94" s="78">
        <v>1</v>
      </c>
      <c r="AO94" s="76" t="s">
        <v>88</v>
      </c>
      <c r="AP94" s="10" t="s">
        <v>150</v>
      </c>
      <c r="AQ94" s="77">
        <v>0</v>
      </c>
      <c r="AR94" s="10" t="s">
        <v>80</v>
      </c>
      <c r="AS94" s="77">
        <v>0</v>
      </c>
      <c r="AT94" s="77">
        <v>0</v>
      </c>
      <c r="AU94" s="77">
        <v>0</v>
      </c>
      <c r="AV94" s="78">
        <v>0</v>
      </c>
    </row>
    <row r="95" spans="1:48" ht="14.25" customHeight="1" x14ac:dyDescent="0.3">
      <c r="A95" s="81" t="s">
        <v>144</v>
      </c>
      <c r="B95" s="82" t="s">
        <v>151</v>
      </c>
      <c r="C95" s="83">
        <v>0</v>
      </c>
      <c r="D95" s="10" t="s">
        <v>80</v>
      </c>
      <c r="E95" s="77">
        <v>0</v>
      </c>
      <c r="F95" s="78">
        <v>0</v>
      </c>
      <c r="G95" s="80">
        <v>0</v>
      </c>
      <c r="H95" s="77">
        <v>0</v>
      </c>
      <c r="I95" s="81" t="s">
        <v>146</v>
      </c>
      <c r="J95" s="82" t="s">
        <v>151</v>
      </c>
      <c r="K95" s="83">
        <v>0</v>
      </c>
      <c r="L95" s="10" t="s">
        <v>80</v>
      </c>
      <c r="M95" s="77">
        <v>0</v>
      </c>
      <c r="N95" s="78">
        <v>0</v>
      </c>
      <c r="O95" s="80">
        <v>0</v>
      </c>
      <c r="P95" s="77">
        <v>0</v>
      </c>
      <c r="Q95" s="76" t="s">
        <v>87</v>
      </c>
      <c r="R95" s="10" t="s">
        <v>151</v>
      </c>
      <c r="S95" s="77">
        <v>0</v>
      </c>
      <c r="T95" s="10" t="s">
        <v>80</v>
      </c>
      <c r="U95" s="77">
        <v>0</v>
      </c>
      <c r="V95" s="77">
        <v>0</v>
      </c>
      <c r="W95" s="77">
        <v>0</v>
      </c>
      <c r="X95" s="78">
        <v>0</v>
      </c>
      <c r="Y95" s="81" t="s">
        <v>85</v>
      </c>
      <c r="Z95" s="82" t="s">
        <v>151</v>
      </c>
      <c r="AA95" s="83">
        <v>0</v>
      </c>
      <c r="AB95" s="10" t="s">
        <v>80</v>
      </c>
      <c r="AC95" s="77">
        <v>0</v>
      </c>
      <c r="AD95" s="78">
        <v>0</v>
      </c>
      <c r="AE95" s="80">
        <v>0</v>
      </c>
      <c r="AF95" s="77">
        <v>0</v>
      </c>
      <c r="AG95" s="76" t="s">
        <v>86</v>
      </c>
      <c r="AH95" s="10" t="s">
        <v>151</v>
      </c>
      <c r="AI95" s="77">
        <v>3</v>
      </c>
      <c r="AJ95" s="79">
        <v>0.33329999999999999</v>
      </c>
      <c r="AK95" s="77">
        <v>1</v>
      </c>
      <c r="AL95" s="77">
        <v>1</v>
      </c>
      <c r="AM95" s="77">
        <v>1</v>
      </c>
      <c r="AN95" s="78">
        <v>0</v>
      </c>
      <c r="AO95" s="76" t="s">
        <v>88</v>
      </c>
      <c r="AP95" s="10" t="s">
        <v>151</v>
      </c>
      <c r="AQ95" s="77">
        <v>0</v>
      </c>
      <c r="AR95" s="10" t="s">
        <v>80</v>
      </c>
      <c r="AS95" s="77">
        <v>0</v>
      </c>
      <c r="AT95" s="77">
        <v>0</v>
      </c>
      <c r="AU95" s="77">
        <v>0</v>
      </c>
      <c r="AV95" s="78">
        <v>0</v>
      </c>
    </row>
    <row r="96" spans="1:48" ht="14.25" customHeight="1" x14ac:dyDescent="0.3">
      <c r="A96" s="84" t="s">
        <v>144</v>
      </c>
      <c r="B96" s="85" t="s">
        <v>152</v>
      </c>
      <c r="C96" s="86">
        <v>0</v>
      </c>
      <c r="D96" s="85" t="s">
        <v>80</v>
      </c>
      <c r="E96" s="86">
        <v>0</v>
      </c>
      <c r="F96" s="86">
        <v>0</v>
      </c>
      <c r="G96" s="87">
        <v>0</v>
      </c>
      <c r="H96" s="86">
        <v>0</v>
      </c>
      <c r="I96" s="84" t="s">
        <v>146</v>
      </c>
      <c r="J96" s="85" t="s">
        <v>153</v>
      </c>
      <c r="K96" s="86">
        <v>31</v>
      </c>
      <c r="L96" s="88">
        <v>9.6799999999999997E-2</v>
      </c>
      <c r="M96" s="86">
        <v>3</v>
      </c>
      <c r="N96" s="86">
        <v>8</v>
      </c>
      <c r="O96" s="87">
        <v>2</v>
      </c>
      <c r="P96" s="86">
        <v>3</v>
      </c>
      <c r="Q96" s="84" t="s">
        <v>87</v>
      </c>
      <c r="R96" s="85" t="s">
        <v>153</v>
      </c>
      <c r="S96" s="86">
        <v>0</v>
      </c>
      <c r="T96" s="85" t="s">
        <v>80</v>
      </c>
      <c r="U96" s="86">
        <v>0</v>
      </c>
      <c r="V96" s="86">
        <v>0</v>
      </c>
      <c r="W96" s="86">
        <v>0</v>
      </c>
      <c r="X96" s="89">
        <v>0</v>
      </c>
      <c r="Y96" s="84" t="s">
        <v>85</v>
      </c>
      <c r="Z96" s="85" t="s">
        <v>153</v>
      </c>
      <c r="AA96" s="86">
        <v>5</v>
      </c>
      <c r="AB96" s="88">
        <v>0.6</v>
      </c>
      <c r="AC96" s="86">
        <v>2</v>
      </c>
      <c r="AD96" s="86">
        <v>2</v>
      </c>
      <c r="AE96" s="87">
        <v>0</v>
      </c>
      <c r="AF96" s="86">
        <v>0</v>
      </c>
      <c r="AG96" s="84" t="s">
        <v>86</v>
      </c>
      <c r="AH96" s="85" t="s">
        <v>153</v>
      </c>
      <c r="AI96" s="86">
        <v>10</v>
      </c>
      <c r="AJ96" s="88">
        <v>0.35</v>
      </c>
      <c r="AK96" s="86">
        <v>1</v>
      </c>
      <c r="AL96" s="86">
        <v>5</v>
      </c>
      <c r="AM96" s="86">
        <v>0</v>
      </c>
      <c r="AN96" s="89">
        <v>0</v>
      </c>
      <c r="AO96" s="84" t="s">
        <v>88</v>
      </c>
      <c r="AP96" s="85" t="s">
        <v>153</v>
      </c>
      <c r="AQ96" s="86">
        <v>2</v>
      </c>
      <c r="AR96" s="88">
        <v>0.25</v>
      </c>
      <c r="AS96" s="86">
        <v>0</v>
      </c>
      <c r="AT96" s="86">
        <v>1</v>
      </c>
      <c r="AU96" s="86">
        <v>0</v>
      </c>
      <c r="AV96" s="89">
        <v>0</v>
      </c>
    </row>
    <row r="97" spans="1:48" ht="14.25" customHeight="1" x14ac:dyDescent="0.3">
      <c r="A97" s="90" t="s">
        <v>144</v>
      </c>
      <c r="B97" s="91" t="s">
        <v>154</v>
      </c>
      <c r="C97" s="92">
        <v>0</v>
      </c>
      <c r="D97" s="93" t="s">
        <v>80</v>
      </c>
      <c r="E97" s="94">
        <v>0</v>
      </c>
      <c r="F97" s="94">
        <v>0</v>
      </c>
      <c r="G97" s="95">
        <v>0</v>
      </c>
      <c r="H97" s="94">
        <v>0</v>
      </c>
      <c r="I97" s="90" t="s">
        <v>146</v>
      </c>
      <c r="J97" s="91" t="s">
        <v>155</v>
      </c>
      <c r="K97" s="92">
        <v>5</v>
      </c>
      <c r="L97" s="96">
        <v>0.1</v>
      </c>
      <c r="M97" s="94">
        <v>0</v>
      </c>
      <c r="N97" s="94">
        <v>1</v>
      </c>
      <c r="O97" s="95">
        <v>0</v>
      </c>
      <c r="P97" s="94">
        <v>0</v>
      </c>
      <c r="Q97" s="90" t="s">
        <v>87</v>
      </c>
      <c r="R97" s="97" t="s">
        <v>155</v>
      </c>
      <c r="S97" s="98">
        <v>0</v>
      </c>
      <c r="T97" s="93" t="s">
        <v>80</v>
      </c>
      <c r="U97" s="99">
        <v>0</v>
      </c>
      <c r="V97" s="99">
        <v>0</v>
      </c>
      <c r="W97" s="99">
        <v>0</v>
      </c>
      <c r="X97" s="100">
        <v>0</v>
      </c>
      <c r="Y97" s="90" t="s">
        <v>85</v>
      </c>
      <c r="Z97" s="91" t="s">
        <v>155</v>
      </c>
      <c r="AA97" s="92">
        <v>6</v>
      </c>
      <c r="AB97" s="96">
        <v>0.33329999999999999</v>
      </c>
      <c r="AC97" s="94">
        <v>0</v>
      </c>
      <c r="AD97" s="94">
        <v>4</v>
      </c>
      <c r="AE97" s="95">
        <v>0</v>
      </c>
      <c r="AF97" s="94">
        <v>0</v>
      </c>
      <c r="AG97" s="90" t="s">
        <v>86</v>
      </c>
      <c r="AH97" s="97" t="s">
        <v>155</v>
      </c>
      <c r="AI97" s="98">
        <v>5</v>
      </c>
      <c r="AJ97" s="96">
        <v>0.1</v>
      </c>
      <c r="AK97" s="99">
        <v>1</v>
      </c>
      <c r="AL97" s="99">
        <v>2</v>
      </c>
      <c r="AM97" s="99">
        <v>1</v>
      </c>
      <c r="AN97" s="100">
        <v>1</v>
      </c>
      <c r="AO97" s="90" t="s">
        <v>88</v>
      </c>
      <c r="AP97" s="97" t="s">
        <v>155</v>
      </c>
      <c r="AQ97" s="98">
        <v>0</v>
      </c>
      <c r="AR97" s="93" t="s">
        <v>80</v>
      </c>
      <c r="AS97" s="99">
        <v>0</v>
      </c>
      <c r="AT97" s="99">
        <v>0</v>
      </c>
      <c r="AU97" s="99">
        <v>0</v>
      </c>
      <c r="AV97" s="100">
        <v>0</v>
      </c>
    </row>
    <row r="98" spans="1:48" ht="14.2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1"/>
      <c r="AJ98" s="10"/>
      <c r="AK98" s="10"/>
      <c r="AL98" s="10"/>
      <c r="AM98" s="26"/>
      <c r="AN98" s="32"/>
      <c r="AO98" s="10"/>
      <c r="AP98" s="10"/>
      <c r="AQ98" s="101"/>
      <c r="AR98" s="10"/>
      <c r="AS98" s="10"/>
      <c r="AT98" s="10"/>
      <c r="AU98" s="26"/>
      <c r="AV98" s="32"/>
    </row>
    <row r="99" spans="1:48" ht="14.25" customHeight="1" x14ac:dyDescent="0.3">
      <c r="A99" s="102"/>
      <c r="B99" s="103" t="s">
        <v>156</v>
      </c>
      <c r="C99" s="104" t="s">
        <v>102</v>
      </c>
      <c r="D99" s="104" t="s">
        <v>143</v>
      </c>
      <c r="E99" s="104" t="s">
        <v>26</v>
      </c>
      <c r="F99" s="104" t="s">
        <v>103</v>
      </c>
      <c r="G99" s="104" t="s">
        <v>104</v>
      </c>
      <c r="H99" s="104" t="s">
        <v>105</v>
      </c>
      <c r="I99" s="102"/>
      <c r="J99" s="103" t="s">
        <v>156</v>
      </c>
      <c r="K99" s="104" t="s">
        <v>102</v>
      </c>
      <c r="L99" s="104" t="s">
        <v>143</v>
      </c>
      <c r="M99" s="104" t="s">
        <v>26</v>
      </c>
      <c r="N99" s="104" t="s">
        <v>103</v>
      </c>
      <c r="O99" s="104" t="s">
        <v>104</v>
      </c>
      <c r="P99" s="104" t="s">
        <v>105</v>
      </c>
      <c r="Q99" s="10"/>
      <c r="R99" s="103" t="s">
        <v>156</v>
      </c>
      <c r="S99" s="104" t="s">
        <v>102</v>
      </c>
      <c r="T99" s="104" t="s">
        <v>143</v>
      </c>
      <c r="U99" s="104" t="s">
        <v>26</v>
      </c>
      <c r="V99" s="104" t="s">
        <v>103</v>
      </c>
      <c r="W99" s="104" t="s">
        <v>104</v>
      </c>
      <c r="X99" s="105" t="s">
        <v>105</v>
      </c>
      <c r="Y99" s="10"/>
      <c r="Z99" s="103" t="s">
        <v>156</v>
      </c>
      <c r="AA99" s="104" t="s">
        <v>102</v>
      </c>
      <c r="AB99" s="104" t="s">
        <v>143</v>
      </c>
      <c r="AC99" s="104" t="s">
        <v>26</v>
      </c>
      <c r="AD99" s="104" t="s">
        <v>103</v>
      </c>
      <c r="AE99" s="104" t="s">
        <v>104</v>
      </c>
      <c r="AF99" s="104" t="s">
        <v>105</v>
      </c>
      <c r="AG99" s="10"/>
      <c r="AH99" s="103" t="s">
        <v>156</v>
      </c>
      <c r="AI99" s="104" t="s">
        <v>102</v>
      </c>
      <c r="AJ99" s="104" t="s">
        <v>143</v>
      </c>
      <c r="AK99" s="104" t="s">
        <v>26</v>
      </c>
      <c r="AL99" s="104" t="s">
        <v>103</v>
      </c>
      <c r="AM99" s="104" t="s">
        <v>104</v>
      </c>
      <c r="AN99" s="105" t="s">
        <v>105</v>
      </c>
      <c r="AO99" s="10"/>
      <c r="AP99" s="103" t="s">
        <v>156</v>
      </c>
      <c r="AQ99" s="104" t="s">
        <v>102</v>
      </c>
      <c r="AR99" s="104" t="s">
        <v>143</v>
      </c>
      <c r="AS99" s="104" t="s">
        <v>26</v>
      </c>
      <c r="AT99" s="104" t="s">
        <v>103</v>
      </c>
      <c r="AU99" s="104" t="s">
        <v>104</v>
      </c>
      <c r="AV99" s="105" t="s">
        <v>105</v>
      </c>
    </row>
    <row r="100" spans="1:48" ht="14.25" customHeight="1" x14ac:dyDescent="0.3">
      <c r="A100" s="76" t="s">
        <v>144</v>
      </c>
      <c r="B100" s="106" t="s">
        <v>157</v>
      </c>
      <c r="C100" s="107">
        <v>0</v>
      </c>
      <c r="D100" s="108" t="s">
        <v>80</v>
      </c>
      <c r="E100" s="107">
        <v>0</v>
      </c>
      <c r="F100" s="107">
        <v>0</v>
      </c>
      <c r="G100" s="107">
        <v>0</v>
      </c>
      <c r="H100" s="109">
        <v>0</v>
      </c>
      <c r="I100" s="76" t="s">
        <v>146</v>
      </c>
      <c r="J100" s="110" t="s">
        <v>157</v>
      </c>
      <c r="K100" s="92">
        <v>8</v>
      </c>
      <c r="L100" s="111">
        <v>0.25</v>
      </c>
      <c r="M100" s="92">
        <v>2</v>
      </c>
      <c r="N100" s="92">
        <v>2</v>
      </c>
      <c r="O100" s="92">
        <v>2</v>
      </c>
      <c r="P100" s="92">
        <v>0</v>
      </c>
      <c r="Q100" s="76" t="s">
        <v>87</v>
      </c>
      <c r="R100" s="110" t="s">
        <v>157</v>
      </c>
      <c r="S100" s="92">
        <v>0</v>
      </c>
      <c r="T100" s="108" t="s">
        <v>80</v>
      </c>
      <c r="U100" s="92">
        <v>0</v>
      </c>
      <c r="V100" s="92">
        <v>0</v>
      </c>
      <c r="W100" s="92">
        <v>0</v>
      </c>
      <c r="X100" s="112">
        <v>0</v>
      </c>
      <c r="Y100" s="76" t="s">
        <v>85</v>
      </c>
      <c r="Z100" s="110" t="s">
        <v>157</v>
      </c>
      <c r="AA100" s="92">
        <v>2</v>
      </c>
      <c r="AB100" s="111">
        <v>0.75</v>
      </c>
      <c r="AC100" s="92">
        <v>1</v>
      </c>
      <c r="AD100" s="92">
        <v>1</v>
      </c>
      <c r="AE100" s="92">
        <v>0</v>
      </c>
      <c r="AF100" s="92">
        <v>0</v>
      </c>
      <c r="AG100" s="76" t="s">
        <v>86</v>
      </c>
      <c r="AH100" s="110" t="s">
        <v>157</v>
      </c>
      <c r="AI100" s="92">
        <v>5</v>
      </c>
      <c r="AJ100" s="111">
        <v>0.4</v>
      </c>
      <c r="AK100" s="92">
        <v>0</v>
      </c>
      <c r="AL100" s="92">
        <v>4</v>
      </c>
      <c r="AM100" s="92">
        <v>0</v>
      </c>
      <c r="AN100" s="112">
        <v>0</v>
      </c>
      <c r="AO100" s="76" t="s">
        <v>88</v>
      </c>
      <c r="AP100" s="110" t="s">
        <v>157</v>
      </c>
      <c r="AQ100" s="92">
        <v>1</v>
      </c>
      <c r="AR100" s="111">
        <v>0.5</v>
      </c>
      <c r="AS100" s="92">
        <v>0</v>
      </c>
      <c r="AT100" s="92">
        <v>1</v>
      </c>
      <c r="AU100" s="92">
        <v>0</v>
      </c>
      <c r="AV100" s="112">
        <v>0</v>
      </c>
    </row>
    <row r="101" spans="1:48" ht="14.25" customHeight="1" x14ac:dyDescent="0.3">
      <c r="A101" s="76" t="s">
        <v>144</v>
      </c>
      <c r="B101" s="76" t="s">
        <v>158</v>
      </c>
      <c r="C101" s="77">
        <v>0</v>
      </c>
      <c r="D101" s="10" t="s">
        <v>80</v>
      </c>
      <c r="E101" s="77">
        <v>0</v>
      </c>
      <c r="F101" s="77">
        <v>0</v>
      </c>
      <c r="G101" s="77">
        <v>0</v>
      </c>
      <c r="H101" s="78">
        <v>0</v>
      </c>
      <c r="I101" s="76" t="s">
        <v>146</v>
      </c>
      <c r="J101" s="76" t="s">
        <v>158</v>
      </c>
      <c r="K101" s="77">
        <v>3</v>
      </c>
      <c r="L101" s="79">
        <v>0.33329999999999999</v>
      </c>
      <c r="M101" s="77">
        <v>1</v>
      </c>
      <c r="N101" s="77">
        <v>1</v>
      </c>
      <c r="O101" s="77">
        <v>1</v>
      </c>
      <c r="P101" s="77">
        <v>0</v>
      </c>
      <c r="Q101" s="76" t="s">
        <v>87</v>
      </c>
      <c r="R101" s="76" t="s">
        <v>158</v>
      </c>
      <c r="S101" s="77">
        <v>0</v>
      </c>
      <c r="T101" s="10" t="s">
        <v>80</v>
      </c>
      <c r="U101" s="77">
        <v>0</v>
      </c>
      <c r="V101" s="77">
        <v>0</v>
      </c>
      <c r="W101" s="77">
        <v>0</v>
      </c>
      <c r="X101" s="78">
        <v>0</v>
      </c>
      <c r="Y101" s="76" t="s">
        <v>85</v>
      </c>
      <c r="Z101" s="76" t="s">
        <v>158</v>
      </c>
      <c r="AA101" s="77">
        <v>0</v>
      </c>
      <c r="AB101" s="10" t="s">
        <v>80</v>
      </c>
      <c r="AC101" s="77">
        <v>0</v>
      </c>
      <c r="AD101" s="77">
        <v>0</v>
      </c>
      <c r="AE101" s="77">
        <v>0</v>
      </c>
      <c r="AF101" s="77">
        <v>0</v>
      </c>
      <c r="AG101" s="76" t="s">
        <v>86</v>
      </c>
      <c r="AH101" s="76" t="s">
        <v>158</v>
      </c>
      <c r="AI101" s="77">
        <v>0</v>
      </c>
      <c r="AJ101" s="10" t="s">
        <v>80</v>
      </c>
      <c r="AK101" s="77">
        <v>0</v>
      </c>
      <c r="AL101" s="77">
        <v>0</v>
      </c>
      <c r="AM101" s="77">
        <v>0</v>
      </c>
      <c r="AN101" s="78">
        <v>0</v>
      </c>
      <c r="AO101" s="76" t="s">
        <v>88</v>
      </c>
      <c r="AP101" s="76" t="s">
        <v>158</v>
      </c>
      <c r="AQ101" s="77">
        <v>0</v>
      </c>
      <c r="AR101" s="10" t="s">
        <v>80</v>
      </c>
      <c r="AS101" s="77">
        <v>0</v>
      </c>
      <c r="AT101" s="77">
        <v>0</v>
      </c>
      <c r="AU101" s="77">
        <v>0</v>
      </c>
      <c r="AV101" s="78">
        <v>0</v>
      </c>
    </row>
    <row r="102" spans="1:48" ht="14.25" customHeight="1" x14ac:dyDescent="0.3">
      <c r="A102" s="76" t="s">
        <v>144</v>
      </c>
      <c r="B102" s="76" t="s">
        <v>159</v>
      </c>
      <c r="C102" s="77">
        <v>0</v>
      </c>
      <c r="D102" s="10" t="s">
        <v>80</v>
      </c>
      <c r="E102" s="77">
        <v>0</v>
      </c>
      <c r="F102" s="77">
        <v>0</v>
      </c>
      <c r="G102" s="77">
        <v>0</v>
      </c>
      <c r="H102" s="78">
        <v>0</v>
      </c>
      <c r="I102" s="76" t="s">
        <v>146</v>
      </c>
      <c r="J102" s="76" t="s">
        <v>159</v>
      </c>
      <c r="K102" s="77">
        <v>5</v>
      </c>
      <c r="L102" s="79">
        <v>0.2</v>
      </c>
      <c r="M102" s="77">
        <v>1</v>
      </c>
      <c r="N102" s="77">
        <v>2</v>
      </c>
      <c r="O102" s="77">
        <v>1</v>
      </c>
      <c r="P102" s="77">
        <v>0</v>
      </c>
      <c r="Q102" s="76" t="s">
        <v>87</v>
      </c>
      <c r="R102" s="76" t="s">
        <v>159</v>
      </c>
      <c r="S102" s="77">
        <v>0</v>
      </c>
      <c r="T102" s="10" t="s">
        <v>80</v>
      </c>
      <c r="U102" s="77">
        <v>0</v>
      </c>
      <c r="V102" s="77">
        <v>0</v>
      </c>
      <c r="W102" s="77">
        <v>0</v>
      </c>
      <c r="X102" s="78">
        <v>0</v>
      </c>
      <c r="Y102" s="76" t="s">
        <v>85</v>
      </c>
      <c r="Z102" s="76" t="s">
        <v>159</v>
      </c>
      <c r="AA102" s="77">
        <v>2</v>
      </c>
      <c r="AB102" s="79">
        <v>0.5</v>
      </c>
      <c r="AC102" s="77">
        <v>1</v>
      </c>
      <c r="AD102" s="77">
        <v>1</v>
      </c>
      <c r="AE102" s="77">
        <v>0</v>
      </c>
      <c r="AF102" s="77">
        <v>0</v>
      </c>
      <c r="AG102" s="76" t="s">
        <v>86</v>
      </c>
      <c r="AH102" s="76" t="s">
        <v>159</v>
      </c>
      <c r="AI102" s="77">
        <v>4</v>
      </c>
      <c r="AJ102" s="77">
        <v>0</v>
      </c>
      <c r="AK102" s="77">
        <v>0</v>
      </c>
      <c r="AL102" s="77">
        <v>3</v>
      </c>
      <c r="AM102" s="77">
        <v>0</v>
      </c>
      <c r="AN102" s="78">
        <v>0</v>
      </c>
      <c r="AO102" s="76" t="s">
        <v>88</v>
      </c>
      <c r="AP102" s="76" t="s">
        <v>159</v>
      </c>
      <c r="AQ102" s="77">
        <v>1</v>
      </c>
      <c r="AR102" s="77">
        <v>0</v>
      </c>
      <c r="AS102" s="77">
        <v>0</v>
      </c>
      <c r="AT102" s="77">
        <v>1</v>
      </c>
      <c r="AU102" s="77">
        <v>0</v>
      </c>
      <c r="AV102" s="78">
        <v>0</v>
      </c>
    </row>
    <row r="103" spans="1:48" ht="14.25" customHeight="1" x14ac:dyDescent="0.3">
      <c r="A103" s="76" t="s">
        <v>144</v>
      </c>
      <c r="B103" s="76" t="s">
        <v>160</v>
      </c>
      <c r="C103" s="77">
        <v>0</v>
      </c>
      <c r="D103" s="10" t="s">
        <v>80</v>
      </c>
      <c r="E103" s="77">
        <v>0</v>
      </c>
      <c r="F103" s="77">
        <v>0</v>
      </c>
      <c r="G103" s="77">
        <v>0</v>
      </c>
      <c r="H103" s="78">
        <v>0</v>
      </c>
      <c r="I103" s="76" t="s">
        <v>146</v>
      </c>
      <c r="J103" s="76" t="s">
        <v>160</v>
      </c>
      <c r="K103" s="77">
        <v>0</v>
      </c>
      <c r="L103" s="10" t="s">
        <v>80</v>
      </c>
      <c r="M103" s="77">
        <v>0</v>
      </c>
      <c r="N103" s="77">
        <v>0</v>
      </c>
      <c r="O103" s="77">
        <v>0</v>
      </c>
      <c r="P103" s="77">
        <v>0</v>
      </c>
      <c r="Q103" s="76" t="s">
        <v>87</v>
      </c>
      <c r="R103" s="76" t="s">
        <v>160</v>
      </c>
      <c r="S103" s="77">
        <v>0</v>
      </c>
      <c r="T103" s="10" t="s">
        <v>80</v>
      </c>
      <c r="U103" s="77">
        <v>0</v>
      </c>
      <c r="V103" s="77">
        <v>0</v>
      </c>
      <c r="W103" s="77">
        <v>0</v>
      </c>
      <c r="X103" s="78">
        <v>0</v>
      </c>
      <c r="Y103" s="76" t="s">
        <v>85</v>
      </c>
      <c r="Z103" s="76" t="s">
        <v>160</v>
      </c>
      <c r="AA103" s="77">
        <v>0</v>
      </c>
      <c r="AB103" s="10" t="s">
        <v>80</v>
      </c>
      <c r="AC103" s="77">
        <v>0</v>
      </c>
      <c r="AD103" s="77">
        <v>0</v>
      </c>
      <c r="AE103" s="77">
        <v>0</v>
      </c>
      <c r="AF103" s="77">
        <v>0</v>
      </c>
      <c r="AG103" s="76" t="s">
        <v>86</v>
      </c>
      <c r="AH103" s="76" t="s">
        <v>160</v>
      </c>
      <c r="AI103" s="77">
        <v>1</v>
      </c>
      <c r="AJ103" s="77">
        <v>0</v>
      </c>
      <c r="AK103" s="77">
        <v>0</v>
      </c>
      <c r="AL103" s="77">
        <v>1</v>
      </c>
      <c r="AM103" s="77">
        <v>0</v>
      </c>
      <c r="AN103" s="78">
        <v>0</v>
      </c>
      <c r="AO103" s="76" t="s">
        <v>88</v>
      </c>
      <c r="AP103" s="76" t="s">
        <v>160</v>
      </c>
      <c r="AQ103" s="77">
        <v>0</v>
      </c>
      <c r="AR103" s="10" t="s">
        <v>80</v>
      </c>
      <c r="AS103" s="77">
        <v>0</v>
      </c>
      <c r="AT103" s="77">
        <v>0</v>
      </c>
      <c r="AU103" s="77">
        <v>0</v>
      </c>
      <c r="AV103" s="78">
        <v>0</v>
      </c>
    </row>
    <row r="104" spans="1:48" ht="14.25" customHeight="1" x14ac:dyDescent="0.3">
      <c r="A104" s="76" t="s">
        <v>144</v>
      </c>
      <c r="B104" s="110" t="s">
        <v>161</v>
      </c>
      <c r="C104" s="92">
        <v>0</v>
      </c>
      <c r="D104" s="91" t="s">
        <v>80</v>
      </c>
      <c r="E104" s="92">
        <v>0</v>
      </c>
      <c r="F104" s="92">
        <v>0</v>
      </c>
      <c r="G104" s="92">
        <v>0</v>
      </c>
      <c r="H104" s="112">
        <v>0</v>
      </c>
      <c r="I104" s="76" t="s">
        <v>146</v>
      </c>
      <c r="J104" s="110" t="s">
        <v>161</v>
      </c>
      <c r="K104" s="92">
        <v>8</v>
      </c>
      <c r="L104" s="113">
        <v>-0.375</v>
      </c>
      <c r="M104" s="92">
        <v>0</v>
      </c>
      <c r="N104" s="92">
        <v>2</v>
      </c>
      <c r="O104" s="92">
        <v>0</v>
      </c>
      <c r="P104" s="92">
        <v>3</v>
      </c>
      <c r="Q104" s="76" t="s">
        <v>87</v>
      </c>
      <c r="R104" s="110" t="s">
        <v>161</v>
      </c>
      <c r="S104" s="92">
        <v>0</v>
      </c>
      <c r="T104" s="91" t="s">
        <v>80</v>
      </c>
      <c r="U104" s="92">
        <v>0</v>
      </c>
      <c r="V104" s="92">
        <v>0</v>
      </c>
      <c r="W104" s="92">
        <v>0</v>
      </c>
      <c r="X104" s="112">
        <v>0</v>
      </c>
      <c r="Y104" s="76" t="s">
        <v>85</v>
      </c>
      <c r="Z104" s="110" t="s">
        <v>161</v>
      </c>
      <c r="AA104" s="92">
        <v>0</v>
      </c>
      <c r="AB104" s="91" t="s">
        <v>80</v>
      </c>
      <c r="AC104" s="92">
        <v>0</v>
      </c>
      <c r="AD104" s="92">
        <v>0</v>
      </c>
      <c r="AE104" s="92">
        <v>0</v>
      </c>
      <c r="AF104" s="92">
        <v>0</v>
      </c>
      <c r="AG104" s="76" t="s">
        <v>86</v>
      </c>
      <c r="AH104" s="110" t="s">
        <v>161</v>
      </c>
      <c r="AI104" s="92">
        <v>2</v>
      </c>
      <c r="AJ104" s="113">
        <v>0.75</v>
      </c>
      <c r="AK104" s="92">
        <v>1</v>
      </c>
      <c r="AL104" s="92">
        <v>0</v>
      </c>
      <c r="AM104" s="92">
        <v>0</v>
      </c>
      <c r="AN104" s="112">
        <v>0</v>
      </c>
      <c r="AO104" s="76" t="s">
        <v>88</v>
      </c>
      <c r="AP104" s="110" t="s">
        <v>161</v>
      </c>
      <c r="AQ104" s="92">
        <v>1</v>
      </c>
      <c r="AR104" s="92">
        <v>0</v>
      </c>
      <c r="AS104" s="92">
        <v>0</v>
      </c>
      <c r="AT104" s="92">
        <v>0</v>
      </c>
      <c r="AU104" s="92">
        <v>0</v>
      </c>
      <c r="AV104" s="112">
        <v>0</v>
      </c>
    </row>
    <row r="105" spans="1:48" ht="14.25" customHeight="1" x14ac:dyDescent="0.3">
      <c r="A105" s="76" t="s">
        <v>144</v>
      </c>
      <c r="B105" s="76" t="s">
        <v>162</v>
      </c>
      <c r="C105" s="77">
        <v>0</v>
      </c>
      <c r="D105" s="10" t="s">
        <v>80</v>
      </c>
      <c r="E105" s="77">
        <v>0</v>
      </c>
      <c r="F105" s="77">
        <v>0</v>
      </c>
      <c r="G105" s="77">
        <v>0</v>
      </c>
      <c r="H105" s="78">
        <v>0</v>
      </c>
      <c r="I105" s="76" t="s">
        <v>146</v>
      </c>
      <c r="J105" s="76" t="s">
        <v>162</v>
      </c>
      <c r="K105" s="77">
        <v>1</v>
      </c>
      <c r="L105" s="79">
        <v>0.5</v>
      </c>
      <c r="M105" s="77">
        <v>0</v>
      </c>
      <c r="N105" s="77">
        <v>1</v>
      </c>
      <c r="O105" s="77">
        <v>0</v>
      </c>
      <c r="P105" s="77">
        <v>0</v>
      </c>
      <c r="Q105" s="76" t="s">
        <v>87</v>
      </c>
      <c r="R105" s="76" t="s">
        <v>162</v>
      </c>
      <c r="S105" s="77">
        <v>0</v>
      </c>
      <c r="T105" s="10" t="s">
        <v>80</v>
      </c>
      <c r="U105" s="77">
        <v>0</v>
      </c>
      <c r="V105" s="77">
        <v>0</v>
      </c>
      <c r="W105" s="77">
        <v>0</v>
      </c>
      <c r="X105" s="78">
        <v>0</v>
      </c>
      <c r="Y105" s="76" t="s">
        <v>85</v>
      </c>
      <c r="Z105" s="76" t="s">
        <v>162</v>
      </c>
      <c r="AA105" s="77">
        <v>0</v>
      </c>
      <c r="AB105" s="10" t="s">
        <v>80</v>
      </c>
      <c r="AC105" s="77">
        <v>0</v>
      </c>
      <c r="AD105" s="77">
        <v>0</v>
      </c>
      <c r="AE105" s="77">
        <v>0</v>
      </c>
      <c r="AF105" s="77">
        <v>0</v>
      </c>
      <c r="AG105" s="76" t="s">
        <v>86</v>
      </c>
      <c r="AH105" s="76" t="s">
        <v>162</v>
      </c>
      <c r="AI105" s="77">
        <v>0</v>
      </c>
      <c r="AJ105" s="10" t="s">
        <v>80</v>
      </c>
      <c r="AK105" s="77">
        <v>0</v>
      </c>
      <c r="AL105" s="77">
        <v>0</v>
      </c>
      <c r="AM105" s="77">
        <v>0</v>
      </c>
      <c r="AN105" s="78">
        <v>0</v>
      </c>
      <c r="AO105" s="76" t="s">
        <v>88</v>
      </c>
      <c r="AP105" s="76" t="s">
        <v>162</v>
      </c>
      <c r="AQ105" s="77">
        <v>0</v>
      </c>
      <c r="AR105" s="10" t="s">
        <v>80</v>
      </c>
      <c r="AS105" s="77">
        <v>0</v>
      </c>
      <c r="AT105" s="77">
        <v>0</v>
      </c>
      <c r="AU105" s="77">
        <v>0</v>
      </c>
      <c r="AV105" s="78">
        <v>0</v>
      </c>
    </row>
    <row r="106" spans="1:48" ht="14.25" customHeight="1" x14ac:dyDescent="0.3">
      <c r="A106" s="76" t="s">
        <v>144</v>
      </c>
      <c r="B106" s="76" t="s">
        <v>163</v>
      </c>
      <c r="C106" s="77">
        <v>0</v>
      </c>
      <c r="D106" s="10" t="s">
        <v>80</v>
      </c>
      <c r="E106" s="77">
        <v>0</v>
      </c>
      <c r="F106" s="77">
        <v>0</v>
      </c>
      <c r="G106" s="77">
        <v>0</v>
      </c>
      <c r="H106" s="78">
        <v>0</v>
      </c>
      <c r="I106" s="76" t="s">
        <v>146</v>
      </c>
      <c r="J106" s="76" t="s">
        <v>163</v>
      </c>
      <c r="K106" s="77">
        <v>7</v>
      </c>
      <c r="L106" s="79">
        <v>-0.35709999999999997</v>
      </c>
      <c r="M106" s="77">
        <v>0</v>
      </c>
      <c r="N106" s="77">
        <v>1</v>
      </c>
      <c r="O106" s="77">
        <v>0</v>
      </c>
      <c r="P106" s="77">
        <v>3</v>
      </c>
      <c r="Q106" s="76" t="s">
        <v>87</v>
      </c>
      <c r="R106" s="76" t="s">
        <v>163</v>
      </c>
      <c r="S106" s="77">
        <v>0</v>
      </c>
      <c r="T106" s="10" t="s">
        <v>80</v>
      </c>
      <c r="U106" s="77">
        <v>0</v>
      </c>
      <c r="V106" s="77">
        <v>0</v>
      </c>
      <c r="W106" s="77">
        <v>0</v>
      </c>
      <c r="X106" s="78">
        <v>0</v>
      </c>
      <c r="Y106" s="76" t="s">
        <v>85</v>
      </c>
      <c r="Z106" s="76" t="s">
        <v>163</v>
      </c>
      <c r="AA106" s="77">
        <v>0</v>
      </c>
      <c r="AB106" s="10" t="s">
        <v>80</v>
      </c>
      <c r="AC106" s="77">
        <v>0</v>
      </c>
      <c r="AD106" s="77">
        <v>0</v>
      </c>
      <c r="AE106" s="77">
        <v>0</v>
      </c>
      <c r="AF106" s="77">
        <v>0</v>
      </c>
      <c r="AG106" s="76" t="s">
        <v>86</v>
      </c>
      <c r="AH106" s="76" t="s">
        <v>163</v>
      </c>
      <c r="AI106" s="77">
        <v>2</v>
      </c>
      <c r="AJ106" s="79">
        <v>0.5</v>
      </c>
      <c r="AK106" s="77">
        <v>1</v>
      </c>
      <c r="AL106" s="77">
        <v>0</v>
      </c>
      <c r="AM106" s="77">
        <v>0</v>
      </c>
      <c r="AN106" s="78">
        <v>0</v>
      </c>
      <c r="AO106" s="76" t="s">
        <v>88</v>
      </c>
      <c r="AP106" s="76" t="s">
        <v>163</v>
      </c>
      <c r="AQ106" s="77">
        <v>1</v>
      </c>
      <c r="AR106" s="77">
        <v>0</v>
      </c>
      <c r="AS106" s="77">
        <v>0</v>
      </c>
      <c r="AT106" s="77">
        <v>0</v>
      </c>
      <c r="AU106" s="77">
        <v>0</v>
      </c>
      <c r="AV106" s="78">
        <v>0</v>
      </c>
    </row>
    <row r="107" spans="1:48" ht="14.25" customHeight="1" x14ac:dyDescent="0.3">
      <c r="A107" s="76" t="s">
        <v>144</v>
      </c>
      <c r="B107" s="76" t="s">
        <v>164</v>
      </c>
      <c r="C107" s="77">
        <v>0</v>
      </c>
      <c r="D107" s="10" t="s">
        <v>80</v>
      </c>
      <c r="E107" s="77">
        <v>0</v>
      </c>
      <c r="F107" s="77">
        <v>0</v>
      </c>
      <c r="G107" s="77">
        <v>0</v>
      </c>
      <c r="H107" s="78">
        <v>0</v>
      </c>
      <c r="I107" s="76" t="s">
        <v>146</v>
      </c>
      <c r="J107" s="76" t="s">
        <v>164</v>
      </c>
      <c r="K107" s="77">
        <v>0</v>
      </c>
      <c r="L107" s="10" t="s">
        <v>80</v>
      </c>
      <c r="M107" s="77">
        <v>0</v>
      </c>
      <c r="N107" s="77">
        <v>0</v>
      </c>
      <c r="O107" s="77">
        <v>0</v>
      </c>
      <c r="P107" s="77">
        <v>0</v>
      </c>
      <c r="Q107" s="76" t="s">
        <v>87</v>
      </c>
      <c r="R107" s="76" t="s">
        <v>164</v>
      </c>
      <c r="S107" s="77">
        <v>0</v>
      </c>
      <c r="T107" s="10" t="s">
        <v>80</v>
      </c>
      <c r="U107" s="77">
        <v>0</v>
      </c>
      <c r="V107" s="77">
        <v>0</v>
      </c>
      <c r="W107" s="77">
        <v>0</v>
      </c>
      <c r="X107" s="78">
        <v>0</v>
      </c>
      <c r="Y107" s="76" t="s">
        <v>85</v>
      </c>
      <c r="Z107" s="76" t="s">
        <v>164</v>
      </c>
      <c r="AA107" s="77">
        <v>0</v>
      </c>
      <c r="AB107" s="10" t="s">
        <v>80</v>
      </c>
      <c r="AC107" s="77">
        <v>0</v>
      </c>
      <c r="AD107" s="77">
        <v>0</v>
      </c>
      <c r="AE107" s="77">
        <v>0</v>
      </c>
      <c r="AF107" s="77">
        <v>0</v>
      </c>
      <c r="AG107" s="76" t="s">
        <v>86</v>
      </c>
      <c r="AH107" s="76" t="s">
        <v>164</v>
      </c>
      <c r="AI107" s="77">
        <v>0</v>
      </c>
      <c r="AJ107" s="10" t="s">
        <v>80</v>
      </c>
      <c r="AK107" s="77">
        <v>0</v>
      </c>
      <c r="AL107" s="77">
        <v>0</v>
      </c>
      <c r="AM107" s="77">
        <v>0</v>
      </c>
      <c r="AN107" s="78">
        <v>0</v>
      </c>
      <c r="AO107" s="76" t="s">
        <v>88</v>
      </c>
      <c r="AP107" s="76" t="s">
        <v>164</v>
      </c>
      <c r="AQ107" s="77">
        <v>0</v>
      </c>
      <c r="AR107" s="10" t="s">
        <v>80</v>
      </c>
      <c r="AS107" s="77">
        <v>0</v>
      </c>
      <c r="AT107" s="77">
        <v>0</v>
      </c>
      <c r="AU107" s="77">
        <v>0</v>
      </c>
      <c r="AV107" s="78">
        <v>0</v>
      </c>
    </row>
    <row r="108" spans="1:48" ht="14.25" customHeight="1" x14ac:dyDescent="0.3">
      <c r="A108" s="76" t="s">
        <v>144</v>
      </c>
      <c r="B108" s="110" t="s">
        <v>165</v>
      </c>
      <c r="C108" s="92">
        <v>0</v>
      </c>
      <c r="D108" s="91" t="s">
        <v>80</v>
      </c>
      <c r="E108" s="92">
        <v>0</v>
      </c>
      <c r="F108" s="92">
        <v>0</v>
      </c>
      <c r="G108" s="92">
        <v>0</v>
      </c>
      <c r="H108" s="112">
        <v>0</v>
      </c>
      <c r="I108" s="76" t="s">
        <v>146</v>
      </c>
      <c r="J108" s="110" t="s">
        <v>165</v>
      </c>
      <c r="K108" s="92">
        <v>15</v>
      </c>
      <c r="L108" s="113">
        <v>0.2</v>
      </c>
      <c r="M108" s="92">
        <v>1</v>
      </c>
      <c r="N108" s="92">
        <v>4</v>
      </c>
      <c r="O108" s="92">
        <v>0</v>
      </c>
      <c r="P108" s="92">
        <v>0</v>
      </c>
      <c r="Q108" s="76" t="s">
        <v>87</v>
      </c>
      <c r="R108" s="110" t="s">
        <v>165</v>
      </c>
      <c r="S108" s="92">
        <v>0</v>
      </c>
      <c r="T108" s="91" t="s">
        <v>80</v>
      </c>
      <c r="U108" s="92">
        <v>0</v>
      </c>
      <c r="V108" s="92">
        <v>0</v>
      </c>
      <c r="W108" s="92">
        <v>0</v>
      </c>
      <c r="X108" s="112">
        <v>0</v>
      </c>
      <c r="Y108" s="76" t="s">
        <v>85</v>
      </c>
      <c r="Z108" s="110" t="s">
        <v>165</v>
      </c>
      <c r="AA108" s="92">
        <v>3</v>
      </c>
      <c r="AB108" s="113">
        <v>0.5</v>
      </c>
      <c r="AC108" s="92">
        <v>1</v>
      </c>
      <c r="AD108" s="92">
        <v>1</v>
      </c>
      <c r="AE108" s="92">
        <v>0</v>
      </c>
      <c r="AF108" s="92">
        <v>0</v>
      </c>
      <c r="AG108" s="76" t="s">
        <v>86</v>
      </c>
      <c r="AH108" s="110" t="s">
        <v>165</v>
      </c>
      <c r="AI108" s="92">
        <v>3</v>
      </c>
      <c r="AJ108" s="113">
        <v>0.16669999999999999</v>
      </c>
      <c r="AK108" s="92">
        <v>0</v>
      </c>
      <c r="AL108" s="92">
        <v>1</v>
      </c>
      <c r="AM108" s="92">
        <v>0</v>
      </c>
      <c r="AN108" s="112">
        <v>0</v>
      </c>
      <c r="AO108" s="76" t="s">
        <v>88</v>
      </c>
      <c r="AP108" s="110" t="s">
        <v>165</v>
      </c>
      <c r="AQ108" s="92">
        <v>0</v>
      </c>
      <c r="AR108" s="91" t="s">
        <v>80</v>
      </c>
      <c r="AS108" s="92">
        <v>0</v>
      </c>
      <c r="AT108" s="92">
        <v>0</v>
      </c>
      <c r="AU108" s="92">
        <v>0</v>
      </c>
      <c r="AV108" s="112">
        <v>0</v>
      </c>
    </row>
    <row r="109" spans="1:48" ht="14.25" customHeight="1" x14ac:dyDescent="0.3">
      <c r="A109" s="76" t="s">
        <v>144</v>
      </c>
      <c r="B109" s="76" t="s">
        <v>166</v>
      </c>
      <c r="C109" s="77">
        <v>0</v>
      </c>
      <c r="D109" s="10" t="s">
        <v>80</v>
      </c>
      <c r="E109" s="77">
        <v>0</v>
      </c>
      <c r="F109" s="77">
        <v>0</v>
      </c>
      <c r="G109" s="77">
        <v>0</v>
      </c>
      <c r="H109" s="78">
        <v>0</v>
      </c>
      <c r="I109" s="76" t="s">
        <v>146</v>
      </c>
      <c r="J109" s="76" t="s">
        <v>166</v>
      </c>
      <c r="K109" s="77">
        <v>10</v>
      </c>
      <c r="L109" s="77">
        <v>0</v>
      </c>
      <c r="M109" s="77">
        <v>0</v>
      </c>
      <c r="N109" s="77">
        <v>3</v>
      </c>
      <c r="O109" s="77">
        <v>0</v>
      </c>
      <c r="P109" s="77">
        <v>0</v>
      </c>
      <c r="Q109" s="76" t="s">
        <v>87</v>
      </c>
      <c r="R109" s="76" t="s">
        <v>166</v>
      </c>
      <c r="S109" s="77">
        <v>0</v>
      </c>
      <c r="T109" s="10" t="s">
        <v>80</v>
      </c>
      <c r="U109" s="77">
        <v>0</v>
      </c>
      <c r="V109" s="77">
        <v>0</v>
      </c>
      <c r="W109" s="77">
        <v>0</v>
      </c>
      <c r="X109" s="78">
        <v>0</v>
      </c>
      <c r="Y109" s="76" t="s">
        <v>85</v>
      </c>
      <c r="Z109" s="76" t="s">
        <v>166</v>
      </c>
      <c r="AA109" s="77">
        <v>0</v>
      </c>
      <c r="AB109" s="10" t="s">
        <v>80</v>
      </c>
      <c r="AC109" s="77">
        <v>0</v>
      </c>
      <c r="AD109" s="77">
        <v>0</v>
      </c>
      <c r="AE109" s="77">
        <v>0</v>
      </c>
      <c r="AF109" s="77">
        <v>0</v>
      </c>
      <c r="AG109" s="76" t="s">
        <v>86</v>
      </c>
      <c r="AH109" s="76" t="s">
        <v>166</v>
      </c>
      <c r="AI109" s="77">
        <v>1</v>
      </c>
      <c r="AJ109" s="77">
        <v>0</v>
      </c>
      <c r="AK109" s="77">
        <v>0</v>
      </c>
      <c r="AL109" s="77">
        <v>0</v>
      </c>
      <c r="AM109" s="77">
        <v>0</v>
      </c>
      <c r="AN109" s="78">
        <v>0</v>
      </c>
      <c r="AO109" s="76" t="s">
        <v>88</v>
      </c>
      <c r="AP109" s="76" t="s">
        <v>166</v>
      </c>
      <c r="AQ109" s="77">
        <v>0</v>
      </c>
      <c r="AR109" s="10" t="s">
        <v>80</v>
      </c>
      <c r="AS109" s="77">
        <v>0</v>
      </c>
      <c r="AT109" s="77">
        <v>0</v>
      </c>
      <c r="AU109" s="77">
        <v>0</v>
      </c>
      <c r="AV109" s="78">
        <v>0</v>
      </c>
    </row>
    <row r="110" spans="1:48" ht="14.25" customHeight="1" x14ac:dyDescent="0.3">
      <c r="A110" s="76" t="s">
        <v>144</v>
      </c>
      <c r="B110" s="76" t="s">
        <v>167</v>
      </c>
      <c r="C110" s="77">
        <v>0</v>
      </c>
      <c r="D110" s="10" t="s">
        <v>80</v>
      </c>
      <c r="E110" s="77">
        <v>0</v>
      </c>
      <c r="F110" s="77">
        <v>0</v>
      </c>
      <c r="G110" s="77">
        <v>0</v>
      </c>
      <c r="H110" s="78">
        <v>0</v>
      </c>
      <c r="I110" s="76" t="s">
        <v>146</v>
      </c>
      <c r="J110" s="76" t="s">
        <v>167</v>
      </c>
      <c r="K110" s="77">
        <v>5</v>
      </c>
      <c r="L110" s="79">
        <v>0.3</v>
      </c>
      <c r="M110" s="77">
        <v>1</v>
      </c>
      <c r="N110" s="77">
        <v>1</v>
      </c>
      <c r="O110" s="77">
        <v>0</v>
      </c>
      <c r="P110" s="77">
        <v>0</v>
      </c>
      <c r="Q110" s="76" t="s">
        <v>87</v>
      </c>
      <c r="R110" s="76" t="s">
        <v>167</v>
      </c>
      <c r="S110" s="77">
        <v>0</v>
      </c>
      <c r="T110" s="10" t="s">
        <v>80</v>
      </c>
      <c r="U110" s="77">
        <v>0</v>
      </c>
      <c r="V110" s="77">
        <v>0</v>
      </c>
      <c r="W110" s="77">
        <v>0</v>
      </c>
      <c r="X110" s="78">
        <v>0</v>
      </c>
      <c r="Y110" s="76" t="s">
        <v>85</v>
      </c>
      <c r="Z110" s="76" t="s">
        <v>167</v>
      </c>
      <c r="AA110" s="77">
        <v>3</v>
      </c>
      <c r="AB110" s="79">
        <v>0.5</v>
      </c>
      <c r="AC110" s="77">
        <v>1</v>
      </c>
      <c r="AD110" s="77">
        <v>1</v>
      </c>
      <c r="AE110" s="77">
        <v>0</v>
      </c>
      <c r="AF110" s="77">
        <v>0</v>
      </c>
      <c r="AG110" s="76" t="s">
        <v>86</v>
      </c>
      <c r="AH110" s="76" t="s">
        <v>167</v>
      </c>
      <c r="AI110" s="77">
        <v>2</v>
      </c>
      <c r="AJ110" s="79">
        <v>0.25</v>
      </c>
      <c r="AK110" s="77">
        <v>0</v>
      </c>
      <c r="AL110" s="77">
        <v>1</v>
      </c>
      <c r="AM110" s="77">
        <v>0</v>
      </c>
      <c r="AN110" s="78">
        <v>0</v>
      </c>
      <c r="AO110" s="76" t="s">
        <v>88</v>
      </c>
      <c r="AP110" s="76" t="s">
        <v>167</v>
      </c>
      <c r="AQ110" s="77">
        <v>0</v>
      </c>
      <c r="AR110" s="10" t="s">
        <v>80</v>
      </c>
      <c r="AS110" s="77">
        <v>0</v>
      </c>
      <c r="AT110" s="77">
        <v>0</v>
      </c>
      <c r="AU110" s="77">
        <v>0</v>
      </c>
      <c r="AV110" s="78">
        <v>0</v>
      </c>
    </row>
    <row r="111" spans="1:48" ht="14.25" customHeight="1" x14ac:dyDescent="0.3">
      <c r="A111" s="76" t="s">
        <v>144</v>
      </c>
      <c r="B111" s="81" t="s">
        <v>168</v>
      </c>
      <c r="C111" s="83">
        <v>0</v>
      </c>
      <c r="D111" s="82" t="s">
        <v>80</v>
      </c>
      <c r="E111" s="83">
        <v>0</v>
      </c>
      <c r="F111" s="83">
        <v>0</v>
      </c>
      <c r="G111" s="83">
        <v>0</v>
      </c>
      <c r="H111" s="114">
        <v>0</v>
      </c>
      <c r="I111" s="76" t="s">
        <v>146</v>
      </c>
      <c r="J111" s="81" t="s">
        <v>168</v>
      </c>
      <c r="K111" s="83">
        <v>0</v>
      </c>
      <c r="L111" s="82" t="s">
        <v>80</v>
      </c>
      <c r="M111" s="83">
        <v>0</v>
      </c>
      <c r="N111" s="83">
        <v>0</v>
      </c>
      <c r="O111" s="83">
        <v>0</v>
      </c>
      <c r="P111" s="83">
        <v>0</v>
      </c>
      <c r="Q111" s="76" t="s">
        <v>87</v>
      </c>
      <c r="R111" s="81" t="s">
        <v>168</v>
      </c>
      <c r="S111" s="83">
        <v>0</v>
      </c>
      <c r="T111" s="82" t="s">
        <v>80</v>
      </c>
      <c r="U111" s="83">
        <v>0</v>
      </c>
      <c r="V111" s="83">
        <v>0</v>
      </c>
      <c r="W111" s="83">
        <v>0</v>
      </c>
      <c r="X111" s="114">
        <v>0</v>
      </c>
      <c r="Y111" s="76" t="s">
        <v>85</v>
      </c>
      <c r="Z111" s="81" t="s">
        <v>168</v>
      </c>
      <c r="AA111" s="83">
        <v>0</v>
      </c>
      <c r="AB111" s="82" t="s">
        <v>80</v>
      </c>
      <c r="AC111" s="83">
        <v>0</v>
      </c>
      <c r="AD111" s="83">
        <v>0</v>
      </c>
      <c r="AE111" s="83">
        <v>0</v>
      </c>
      <c r="AF111" s="83">
        <v>0</v>
      </c>
      <c r="AG111" s="76" t="s">
        <v>86</v>
      </c>
      <c r="AH111" s="81" t="s">
        <v>168</v>
      </c>
      <c r="AI111" s="83">
        <v>0</v>
      </c>
      <c r="AJ111" s="82" t="s">
        <v>80</v>
      </c>
      <c r="AK111" s="83">
        <v>0</v>
      </c>
      <c r="AL111" s="83">
        <v>0</v>
      </c>
      <c r="AM111" s="83">
        <v>0</v>
      </c>
      <c r="AN111" s="114">
        <v>0</v>
      </c>
      <c r="AO111" s="76" t="s">
        <v>88</v>
      </c>
      <c r="AP111" s="81" t="s">
        <v>168</v>
      </c>
      <c r="AQ111" s="83">
        <v>0</v>
      </c>
      <c r="AR111" s="82" t="s">
        <v>80</v>
      </c>
      <c r="AS111" s="83">
        <v>0</v>
      </c>
      <c r="AT111" s="83">
        <v>0</v>
      </c>
      <c r="AU111" s="83">
        <v>0</v>
      </c>
      <c r="AV111" s="114">
        <v>0</v>
      </c>
    </row>
    <row r="112" spans="1:48" ht="14.25" customHeight="1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</row>
    <row r="113" spans="1:55" ht="14.25" customHeight="1" x14ac:dyDescent="0.3">
      <c r="A113" s="26"/>
      <c r="B113" s="103" t="s">
        <v>169</v>
      </c>
      <c r="C113" s="104" t="s">
        <v>102</v>
      </c>
      <c r="D113" s="104" t="s">
        <v>143</v>
      </c>
      <c r="E113" s="104" t="s">
        <v>26</v>
      </c>
      <c r="F113" s="104" t="s">
        <v>103</v>
      </c>
      <c r="G113" s="104" t="s">
        <v>104</v>
      </c>
      <c r="H113" s="104" t="s">
        <v>105</v>
      </c>
      <c r="I113" s="26"/>
      <c r="J113" s="103" t="s">
        <v>169</v>
      </c>
      <c r="K113" s="104" t="s">
        <v>102</v>
      </c>
      <c r="L113" s="104" t="s">
        <v>143</v>
      </c>
      <c r="M113" s="104" t="s">
        <v>26</v>
      </c>
      <c r="N113" s="104" t="s">
        <v>103</v>
      </c>
      <c r="O113" s="104" t="s">
        <v>104</v>
      </c>
      <c r="P113" s="104" t="s">
        <v>105</v>
      </c>
      <c r="Q113" s="26"/>
      <c r="R113" s="103" t="s">
        <v>169</v>
      </c>
      <c r="S113" s="104" t="s">
        <v>102</v>
      </c>
      <c r="T113" s="104" t="s">
        <v>143</v>
      </c>
      <c r="U113" s="104" t="s">
        <v>26</v>
      </c>
      <c r="V113" s="104" t="s">
        <v>103</v>
      </c>
      <c r="W113" s="104" t="s">
        <v>104</v>
      </c>
      <c r="X113" s="105" t="s">
        <v>105</v>
      </c>
      <c r="Y113" s="26"/>
      <c r="Z113" s="103" t="s">
        <v>169</v>
      </c>
      <c r="AA113" s="104" t="s">
        <v>102</v>
      </c>
      <c r="AB113" s="104" t="s">
        <v>143</v>
      </c>
      <c r="AC113" s="104" t="s">
        <v>26</v>
      </c>
      <c r="AD113" s="104" t="s">
        <v>103</v>
      </c>
      <c r="AE113" s="104" t="s">
        <v>104</v>
      </c>
      <c r="AF113" s="104" t="s">
        <v>105</v>
      </c>
      <c r="AG113" s="26"/>
      <c r="AH113" s="103" t="s">
        <v>169</v>
      </c>
      <c r="AI113" s="104" t="s">
        <v>102</v>
      </c>
      <c r="AJ113" s="104" t="s">
        <v>143</v>
      </c>
      <c r="AK113" s="104" t="s">
        <v>26</v>
      </c>
      <c r="AL113" s="104" t="s">
        <v>103</v>
      </c>
      <c r="AM113" s="104" t="s">
        <v>104</v>
      </c>
      <c r="AN113" s="105" t="s">
        <v>105</v>
      </c>
      <c r="AO113" s="26"/>
      <c r="AP113" s="103" t="s">
        <v>169</v>
      </c>
      <c r="AQ113" s="104" t="s">
        <v>102</v>
      </c>
      <c r="AR113" s="104" t="s">
        <v>143</v>
      </c>
      <c r="AS113" s="104" t="s">
        <v>26</v>
      </c>
      <c r="AT113" s="104" t="s">
        <v>103</v>
      </c>
      <c r="AU113" s="104" t="s">
        <v>104</v>
      </c>
      <c r="AV113" s="105" t="s">
        <v>105</v>
      </c>
    </row>
    <row r="114" spans="1:55" ht="14.25" customHeight="1" x14ac:dyDescent="0.3">
      <c r="A114" s="76" t="s">
        <v>144</v>
      </c>
      <c r="B114" s="110" t="s">
        <v>170</v>
      </c>
      <c r="C114" s="92">
        <v>0</v>
      </c>
      <c r="D114" s="108" t="s">
        <v>80</v>
      </c>
      <c r="E114" s="92">
        <v>0</v>
      </c>
      <c r="F114" s="92">
        <v>0</v>
      </c>
      <c r="G114" s="92">
        <v>0</v>
      </c>
      <c r="H114" s="92">
        <v>0</v>
      </c>
      <c r="I114" s="76" t="s">
        <v>146</v>
      </c>
      <c r="J114" s="110" t="s">
        <v>170</v>
      </c>
      <c r="K114" s="92">
        <v>1</v>
      </c>
      <c r="L114" s="111">
        <v>0.5</v>
      </c>
      <c r="M114" s="92">
        <v>0</v>
      </c>
      <c r="N114" s="92">
        <v>1</v>
      </c>
      <c r="O114" s="92">
        <v>0</v>
      </c>
      <c r="P114" s="92">
        <v>0</v>
      </c>
      <c r="Q114" s="76" t="s">
        <v>87</v>
      </c>
      <c r="R114" s="110" t="s">
        <v>170</v>
      </c>
      <c r="S114" s="92">
        <v>0</v>
      </c>
      <c r="T114" s="108" t="s">
        <v>80</v>
      </c>
      <c r="U114" s="92">
        <v>0</v>
      </c>
      <c r="V114" s="92">
        <v>0</v>
      </c>
      <c r="W114" s="92">
        <v>0</v>
      </c>
      <c r="X114" s="112">
        <v>0</v>
      </c>
      <c r="Y114" s="76" t="s">
        <v>85</v>
      </c>
      <c r="Z114" s="110" t="s">
        <v>170</v>
      </c>
      <c r="AA114" s="92">
        <v>0</v>
      </c>
      <c r="AB114" s="108" t="s">
        <v>80</v>
      </c>
      <c r="AC114" s="92">
        <v>0</v>
      </c>
      <c r="AD114" s="92">
        <v>0</v>
      </c>
      <c r="AE114" s="92">
        <v>0</v>
      </c>
      <c r="AF114" s="92">
        <v>0</v>
      </c>
      <c r="AG114" s="76" t="s">
        <v>86</v>
      </c>
      <c r="AH114" s="110" t="s">
        <v>170</v>
      </c>
      <c r="AI114" s="92">
        <v>0</v>
      </c>
      <c r="AJ114" s="108" t="s">
        <v>80</v>
      </c>
      <c r="AK114" s="92">
        <v>0</v>
      </c>
      <c r="AL114" s="92">
        <v>0</v>
      </c>
      <c r="AM114" s="92">
        <v>0</v>
      </c>
      <c r="AN114" s="112">
        <v>0</v>
      </c>
      <c r="AO114" s="76" t="s">
        <v>88</v>
      </c>
      <c r="AP114" s="110" t="s">
        <v>170</v>
      </c>
      <c r="AQ114" s="92">
        <v>0</v>
      </c>
      <c r="AR114" s="108" t="s">
        <v>80</v>
      </c>
      <c r="AS114" s="92">
        <v>0</v>
      </c>
      <c r="AT114" s="92">
        <v>0</v>
      </c>
      <c r="AU114" s="92">
        <v>0</v>
      </c>
      <c r="AV114" s="112">
        <v>0</v>
      </c>
    </row>
    <row r="115" spans="1:55" ht="14.25" customHeight="1" x14ac:dyDescent="0.3">
      <c r="A115" s="76" t="s">
        <v>144</v>
      </c>
      <c r="B115" s="76" t="s">
        <v>171</v>
      </c>
      <c r="C115" s="77">
        <v>0</v>
      </c>
      <c r="D115" s="10" t="s">
        <v>80</v>
      </c>
      <c r="E115" s="77">
        <v>0</v>
      </c>
      <c r="F115" s="77">
        <v>0</v>
      </c>
      <c r="G115" s="77">
        <v>0</v>
      </c>
      <c r="H115" s="77">
        <v>0</v>
      </c>
      <c r="I115" s="76" t="s">
        <v>146</v>
      </c>
      <c r="J115" s="76" t="s">
        <v>171</v>
      </c>
      <c r="K115" s="77">
        <v>0</v>
      </c>
      <c r="L115" s="10" t="s">
        <v>80</v>
      </c>
      <c r="M115" s="77">
        <v>0</v>
      </c>
      <c r="N115" s="77">
        <v>0</v>
      </c>
      <c r="O115" s="77">
        <v>0</v>
      </c>
      <c r="P115" s="77">
        <v>0</v>
      </c>
      <c r="Q115" s="76" t="s">
        <v>87</v>
      </c>
      <c r="R115" s="76" t="s">
        <v>171</v>
      </c>
      <c r="S115" s="77">
        <v>0</v>
      </c>
      <c r="T115" s="10" t="s">
        <v>80</v>
      </c>
      <c r="U115" s="77">
        <v>0</v>
      </c>
      <c r="V115" s="77">
        <v>0</v>
      </c>
      <c r="W115" s="77">
        <v>0</v>
      </c>
      <c r="X115" s="78">
        <v>0</v>
      </c>
      <c r="Y115" s="76" t="s">
        <v>85</v>
      </c>
      <c r="Z115" s="76" t="s">
        <v>171</v>
      </c>
      <c r="AA115" s="77">
        <v>0</v>
      </c>
      <c r="AB115" s="10" t="s">
        <v>80</v>
      </c>
      <c r="AC115" s="77">
        <v>0</v>
      </c>
      <c r="AD115" s="77">
        <v>0</v>
      </c>
      <c r="AE115" s="77">
        <v>0</v>
      </c>
      <c r="AF115" s="77">
        <v>0</v>
      </c>
      <c r="AG115" s="76" t="s">
        <v>86</v>
      </c>
      <c r="AH115" s="76" t="s">
        <v>171</v>
      </c>
      <c r="AI115" s="77">
        <v>0</v>
      </c>
      <c r="AJ115" s="10" t="s">
        <v>80</v>
      </c>
      <c r="AK115" s="77">
        <v>0</v>
      </c>
      <c r="AL115" s="77">
        <v>0</v>
      </c>
      <c r="AM115" s="77">
        <v>0</v>
      </c>
      <c r="AN115" s="78">
        <v>0</v>
      </c>
      <c r="AO115" s="76" t="s">
        <v>88</v>
      </c>
      <c r="AP115" s="76" t="s">
        <v>171</v>
      </c>
      <c r="AQ115" s="77">
        <v>0</v>
      </c>
      <c r="AR115" s="10" t="s">
        <v>80</v>
      </c>
      <c r="AS115" s="77">
        <v>0</v>
      </c>
      <c r="AT115" s="77">
        <v>0</v>
      </c>
      <c r="AU115" s="77">
        <v>0</v>
      </c>
      <c r="AV115" s="78">
        <v>0</v>
      </c>
    </row>
    <row r="116" spans="1:55" ht="14.25" customHeight="1" x14ac:dyDescent="0.3">
      <c r="A116" s="76" t="s">
        <v>144</v>
      </c>
      <c r="B116" s="76" t="s">
        <v>172</v>
      </c>
      <c r="C116" s="77">
        <v>0</v>
      </c>
      <c r="D116" s="10" t="s">
        <v>80</v>
      </c>
      <c r="E116" s="77">
        <v>0</v>
      </c>
      <c r="F116" s="77">
        <v>0</v>
      </c>
      <c r="G116" s="77">
        <v>0</v>
      </c>
      <c r="H116" s="77">
        <v>0</v>
      </c>
      <c r="I116" s="76" t="s">
        <v>146</v>
      </c>
      <c r="J116" s="76" t="s">
        <v>172</v>
      </c>
      <c r="K116" s="77">
        <v>1</v>
      </c>
      <c r="L116" s="77">
        <v>0</v>
      </c>
      <c r="M116" s="77">
        <v>0</v>
      </c>
      <c r="N116" s="77">
        <v>1</v>
      </c>
      <c r="O116" s="77">
        <v>0</v>
      </c>
      <c r="P116" s="77">
        <v>0</v>
      </c>
      <c r="Q116" s="76" t="s">
        <v>87</v>
      </c>
      <c r="R116" s="76" t="s">
        <v>172</v>
      </c>
      <c r="S116" s="77">
        <v>0</v>
      </c>
      <c r="T116" s="10" t="s">
        <v>80</v>
      </c>
      <c r="U116" s="77">
        <v>0</v>
      </c>
      <c r="V116" s="77">
        <v>0</v>
      </c>
      <c r="W116" s="77">
        <v>0</v>
      </c>
      <c r="X116" s="78">
        <v>0</v>
      </c>
      <c r="Y116" s="76" t="s">
        <v>85</v>
      </c>
      <c r="Z116" s="76" t="s">
        <v>172</v>
      </c>
      <c r="AA116" s="77">
        <v>0</v>
      </c>
      <c r="AB116" s="10" t="s">
        <v>80</v>
      </c>
      <c r="AC116" s="77">
        <v>0</v>
      </c>
      <c r="AD116" s="77">
        <v>0</v>
      </c>
      <c r="AE116" s="77">
        <v>0</v>
      </c>
      <c r="AF116" s="77">
        <v>0</v>
      </c>
      <c r="AG116" s="76" t="s">
        <v>86</v>
      </c>
      <c r="AH116" s="76" t="s">
        <v>172</v>
      </c>
      <c r="AI116" s="77">
        <v>0</v>
      </c>
      <c r="AJ116" s="10" t="s">
        <v>80</v>
      </c>
      <c r="AK116" s="77">
        <v>0</v>
      </c>
      <c r="AL116" s="77">
        <v>0</v>
      </c>
      <c r="AM116" s="77">
        <v>0</v>
      </c>
      <c r="AN116" s="78">
        <v>0</v>
      </c>
      <c r="AO116" s="76" t="s">
        <v>88</v>
      </c>
      <c r="AP116" s="76" t="s">
        <v>172</v>
      </c>
      <c r="AQ116" s="77">
        <v>0</v>
      </c>
      <c r="AR116" s="10" t="s">
        <v>80</v>
      </c>
      <c r="AS116" s="77">
        <v>0</v>
      </c>
      <c r="AT116" s="77">
        <v>0</v>
      </c>
      <c r="AU116" s="77">
        <v>0</v>
      </c>
      <c r="AV116" s="78">
        <v>0</v>
      </c>
    </row>
    <row r="117" spans="1:55" ht="14.25" customHeight="1" x14ac:dyDescent="0.3">
      <c r="A117" s="76" t="s">
        <v>144</v>
      </c>
      <c r="B117" s="76" t="s">
        <v>173</v>
      </c>
      <c r="C117" s="77">
        <v>0</v>
      </c>
      <c r="D117" s="10" t="s">
        <v>80</v>
      </c>
      <c r="E117" s="77">
        <v>0</v>
      </c>
      <c r="F117" s="77">
        <v>0</v>
      </c>
      <c r="G117" s="77">
        <v>0</v>
      </c>
      <c r="H117" s="77">
        <v>0</v>
      </c>
      <c r="I117" s="76" t="s">
        <v>146</v>
      </c>
      <c r="J117" s="76" t="s">
        <v>173</v>
      </c>
      <c r="K117" s="77">
        <v>0</v>
      </c>
      <c r="L117" s="10" t="s">
        <v>80</v>
      </c>
      <c r="M117" s="77">
        <v>0</v>
      </c>
      <c r="N117" s="77">
        <v>0</v>
      </c>
      <c r="O117" s="77">
        <v>0</v>
      </c>
      <c r="P117" s="77">
        <v>0</v>
      </c>
      <c r="Q117" s="76" t="s">
        <v>87</v>
      </c>
      <c r="R117" s="76" t="s">
        <v>173</v>
      </c>
      <c r="S117" s="77">
        <v>0</v>
      </c>
      <c r="T117" s="10" t="s">
        <v>80</v>
      </c>
      <c r="U117" s="77">
        <v>0</v>
      </c>
      <c r="V117" s="77">
        <v>0</v>
      </c>
      <c r="W117" s="77">
        <v>0</v>
      </c>
      <c r="X117" s="78">
        <v>0</v>
      </c>
      <c r="Y117" s="76" t="s">
        <v>85</v>
      </c>
      <c r="Z117" s="76" t="s">
        <v>173</v>
      </c>
      <c r="AA117" s="77">
        <v>0</v>
      </c>
      <c r="AB117" s="10" t="s">
        <v>80</v>
      </c>
      <c r="AC117" s="77">
        <v>0</v>
      </c>
      <c r="AD117" s="77">
        <v>0</v>
      </c>
      <c r="AE117" s="77">
        <v>0</v>
      </c>
      <c r="AF117" s="77">
        <v>0</v>
      </c>
      <c r="AG117" s="76" t="s">
        <v>86</v>
      </c>
      <c r="AH117" s="76" t="s">
        <v>173</v>
      </c>
      <c r="AI117" s="77">
        <v>0</v>
      </c>
      <c r="AJ117" s="10" t="s">
        <v>80</v>
      </c>
      <c r="AK117" s="77">
        <v>0</v>
      </c>
      <c r="AL117" s="77">
        <v>0</v>
      </c>
      <c r="AM117" s="77">
        <v>0</v>
      </c>
      <c r="AN117" s="78">
        <v>0</v>
      </c>
      <c r="AO117" s="76" t="s">
        <v>88</v>
      </c>
      <c r="AP117" s="76" t="s">
        <v>173</v>
      </c>
      <c r="AQ117" s="77">
        <v>0</v>
      </c>
      <c r="AR117" s="10" t="s">
        <v>80</v>
      </c>
      <c r="AS117" s="77">
        <v>0</v>
      </c>
      <c r="AT117" s="77">
        <v>0</v>
      </c>
      <c r="AU117" s="77">
        <v>0</v>
      </c>
      <c r="AV117" s="78">
        <v>0</v>
      </c>
    </row>
    <row r="118" spans="1:55" ht="14.25" customHeight="1" x14ac:dyDescent="0.3">
      <c r="A118" s="76" t="s">
        <v>144</v>
      </c>
      <c r="B118" s="110" t="s">
        <v>174</v>
      </c>
      <c r="C118" s="92">
        <v>0</v>
      </c>
      <c r="D118" s="91" t="s">
        <v>80</v>
      </c>
      <c r="E118" s="92">
        <v>0</v>
      </c>
      <c r="F118" s="92">
        <v>0</v>
      </c>
      <c r="G118" s="92">
        <v>0</v>
      </c>
      <c r="H118" s="92">
        <v>0</v>
      </c>
      <c r="I118" s="76" t="s">
        <v>146</v>
      </c>
      <c r="J118" s="110" t="s">
        <v>174</v>
      </c>
      <c r="K118" s="92">
        <v>3</v>
      </c>
      <c r="L118" s="92">
        <v>0</v>
      </c>
      <c r="M118" s="92">
        <v>0</v>
      </c>
      <c r="N118" s="92">
        <v>0</v>
      </c>
      <c r="O118" s="92">
        <v>0</v>
      </c>
      <c r="P118" s="92">
        <v>0</v>
      </c>
      <c r="Q118" s="76" t="s">
        <v>87</v>
      </c>
      <c r="R118" s="110" t="s">
        <v>174</v>
      </c>
      <c r="S118" s="92">
        <v>0</v>
      </c>
      <c r="T118" s="91" t="s">
        <v>80</v>
      </c>
      <c r="U118" s="92">
        <v>0</v>
      </c>
      <c r="V118" s="92">
        <v>0</v>
      </c>
      <c r="W118" s="92">
        <v>0</v>
      </c>
      <c r="X118" s="112">
        <v>0</v>
      </c>
      <c r="Y118" s="76" t="s">
        <v>85</v>
      </c>
      <c r="Z118" s="110" t="s">
        <v>174</v>
      </c>
      <c r="AA118" s="92">
        <v>6</v>
      </c>
      <c r="AB118" s="92">
        <v>0</v>
      </c>
      <c r="AC118" s="92">
        <v>0</v>
      </c>
      <c r="AD118" s="92">
        <v>4</v>
      </c>
      <c r="AE118" s="92">
        <v>0</v>
      </c>
      <c r="AF118" s="92">
        <v>0</v>
      </c>
      <c r="AG118" s="76" t="s">
        <v>86</v>
      </c>
      <c r="AH118" s="110" t="s">
        <v>174</v>
      </c>
      <c r="AI118" s="92">
        <v>5</v>
      </c>
      <c r="AJ118" s="92">
        <v>0</v>
      </c>
      <c r="AK118" s="92">
        <v>1</v>
      </c>
      <c r="AL118" s="92">
        <v>2</v>
      </c>
      <c r="AM118" s="92">
        <v>1</v>
      </c>
      <c r="AN118" s="112">
        <v>1</v>
      </c>
      <c r="AO118" s="76" t="s">
        <v>88</v>
      </c>
      <c r="AP118" s="110" t="s">
        <v>174</v>
      </c>
      <c r="AQ118" s="92">
        <v>0</v>
      </c>
      <c r="AR118" s="91" t="s">
        <v>80</v>
      </c>
      <c r="AS118" s="92">
        <v>0</v>
      </c>
      <c r="AT118" s="92">
        <v>0</v>
      </c>
      <c r="AU118" s="92">
        <v>0</v>
      </c>
      <c r="AV118" s="112">
        <v>0</v>
      </c>
    </row>
    <row r="119" spans="1:55" ht="14.25" customHeight="1" x14ac:dyDescent="0.3">
      <c r="A119" s="76" t="s">
        <v>144</v>
      </c>
      <c r="B119" s="76" t="s">
        <v>175</v>
      </c>
      <c r="C119" s="77">
        <v>0</v>
      </c>
      <c r="D119" s="10" t="s">
        <v>80</v>
      </c>
      <c r="E119" s="77">
        <v>0</v>
      </c>
      <c r="F119" s="77">
        <v>0</v>
      </c>
      <c r="G119" s="77">
        <v>0</v>
      </c>
      <c r="H119" s="77">
        <v>0</v>
      </c>
      <c r="I119" s="76" t="s">
        <v>146</v>
      </c>
      <c r="J119" s="76" t="s">
        <v>175</v>
      </c>
      <c r="K119" s="77">
        <v>1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6" t="s">
        <v>87</v>
      </c>
      <c r="R119" s="76" t="s">
        <v>175</v>
      </c>
      <c r="S119" s="77">
        <v>0</v>
      </c>
      <c r="T119" s="10" t="s">
        <v>80</v>
      </c>
      <c r="U119" s="77">
        <v>0</v>
      </c>
      <c r="V119" s="77">
        <v>0</v>
      </c>
      <c r="W119" s="77">
        <v>0</v>
      </c>
      <c r="X119" s="78">
        <v>0</v>
      </c>
      <c r="Y119" s="76" t="s">
        <v>85</v>
      </c>
      <c r="Z119" s="76" t="s">
        <v>175</v>
      </c>
      <c r="AA119" s="77">
        <v>0</v>
      </c>
      <c r="AB119" s="10" t="s">
        <v>80</v>
      </c>
      <c r="AC119" s="77">
        <v>0</v>
      </c>
      <c r="AD119" s="77">
        <v>0</v>
      </c>
      <c r="AE119" s="77">
        <v>0</v>
      </c>
      <c r="AF119" s="77">
        <v>0</v>
      </c>
      <c r="AG119" s="76" t="s">
        <v>86</v>
      </c>
      <c r="AH119" s="76" t="s">
        <v>175</v>
      </c>
      <c r="AI119" s="77">
        <v>0</v>
      </c>
      <c r="AJ119" s="10" t="s">
        <v>80</v>
      </c>
      <c r="AK119" s="77">
        <v>0</v>
      </c>
      <c r="AL119" s="77">
        <v>0</v>
      </c>
      <c r="AM119" s="77">
        <v>0</v>
      </c>
      <c r="AN119" s="78">
        <v>0</v>
      </c>
      <c r="AO119" s="76" t="s">
        <v>88</v>
      </c>
      <c r="AP119" s="76" t="s">
        <v>175</v>
      </c>
      <c r="AQ119" s="77">
        <v>0</v>
      </c>
      <c r="AR119" s="10" t="s">
        <v>80</v>
      </c>
      <c r="AS119" s="77">
        <v>0</v>
      </c>
      <c r="AT119" s="77">
        <v>0</v>
      </c>
      <c r="AU119" s="77">
        <v>0</v>
      </c>
      <c r="AV119" s="78">
        <v>0</v>
      </c>
    </row>
    <row r="120" spans="1:55" ht="14.25" customHeight="1" x14ac:dyDescent="0.3">
      <c r="A120" s="76" t="s">
        <v>144</v>
      </c>
      <c r="B120" s="76" t="s">
        <v>176</v>
      </c>
      <c r="C120" s="77">
        <v>0</v>
      </c>
      <c r="D120" s="10" t="s">
        <v>80</v>
      </c>
      <c r="E120" s="77">
        <v>0</v>
      </c>
      <c r="F120" s="77">
        <v>0</v>
      </c>
      <c r="G120" s="77">
        <v>0</v>
      </c>
      <c r="H120" s="77">
        <v>0</v>
      </c>
      <c r="I120" s="76" t="s">
        <v>146</v>
      </c>
      <c r="J120" s="76" t="s">
        <v>176</v>
      </c>
      <c r="K120" s="77">
        <v>2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  <c r="Q120" s="76" t="s">
        <v>87</v>
      </c>
      <c r="R120" s="76" t="s">
        <v>176</v>
      </c>
      <c r="S120" s="77">
        <v>0</v>
      </c>
      <c r="T120" s="10" t="s">
        <v>80</v>
      </c>
      <c r="U120" s="77">
        <v>0</v>
      </c>
      <c r="V120" s="77">
        <v>0</v>
      </c>
      <c r="W120" s="77">
        <v>0</v>
      </c>
      <c r="X120" s="78">
        <v>0</v>
      </c>
      <c r="Y120" s="76" t="s">
        <v>85</v>
      </c>
      <c r="Z120" s="76" t="s">
        <v>176</v>
      </c>
      <c r="AA120" s="77">
        <v>6</v>
      </c>
      <c r="AB120" s="79">
        <v>0.33329999999999999</v>
      </c>
      <c r="AC120" s="77">
        <v>0</v>
      </c>
      <c r="AD120" s="77">
        <v>4</v>
      </c>
      <c r="AE120" s="77">
        <v>0</v>
      </c>
      <c r="AF120" s="77">
        <v>0</v>
      </c>
      <c r="AG120" s="76" t="s">
        <v>86</v>
      </c>
      <c r="AH120" s="76" t="s">
        <v>176</v>
      </c>
      <c r="AI120" s="77">
        <v>2</v>
      </c>
      <c r="AJ120" s="79">
        <v>-0.25</v>
      </c>
      <c r="AK120" s="77">
        <v>0</v>
      </c>
      <c r="AL120" s="77">
        <v>1</v>
      </c>
      <c r="AM120" s="77">
        <v>0</v>
      </c>
      <c r="AN120" s="78">
        <v>1</v>
      </c>
      <c r="AO120" s="76" t="s">
        <v>88</v>
      </c>
      <c r="AP120" s="76" t="s">
        <v>176</v>
      </c>
      <c r="AQ120" s="77">
        <v>0</v>
      </c>
      <c r="AR120" s="10" t="s">
        <v>80</v>
      </c>
      <c r="AS120" s="77">
        <v>0</v>
      </c>
      <c r="AT120" s="77">
        <v>0</v>
      </c>
      <c r="AU120" s="77">
        <v>0</v>
      </c>
      <c r="AV120" s="78">
        <v>0</v>
      </c>
    </row>
    <row r="121" spans="1:55" ht="14.25" customHeight="1" x14ac:dyDescent="0.3">
      <c r="A121" s="76" t="s">
        <v>144</v>
      </c>
      <c r="B121" s="76" t="s">
        <v>177</v>
      </c>
      <c r="C121" s="77">
        <v>0</v>
      </c>
      <c r="D121" s="10" t="s">
        <v>80</v>
      </c>
      <c r="E121" s="77">
        <v>0</v>
      </c>
      <c r="F121" s="77">
        <v>0</v>
      </c>
      <c r="G121" s="77">
        <v>0</v>
      </c>
      <c r="H121" s="77">
        <v>0</v>
      </c>
      <c r="I121" s="76" t="s">
        <v>146</v>
      </c>
      <c r="J121" s="76" t="s">
        <v>177</v>
      </c>
      <c r="K121" s="77">
        <v>0</v>
      </c>
      <c r="L121" s="10" t="s">
        <v>80</v>
      </c>
      <c r="M121" s="77">
        <v>0</v>
      </c>
      <c r="N121" s="77">
        <v>0</v>
      </c>
      <c r="O121" s="77">
        <v>0</v>
      </c>
      <c r="P121" s="77">
        <v>0</v>
      </c>
      <c r="Q121" s="76" t="s">
        <v>87</v>
      </c>
      <c r="R121" s="76" t="s">
        <v>177</v>
      </c>
      <c r="S121" s="77">
        <v>0</v>
      </c>
      <c r="T121" s="10" t="s">
        <v>80</v>
      </c>
      <c r="U121" s="77">
        <v>0</v>
      </c>
      <c r="V121" s="77">
        <v>0</v>
      </c>
      <c r="W121" s="77">
        <v>0</v>
      </c>
      <c r="X121" s="78">
        <v>0</v>
      </c>
      <c r="Y121" s="76" t="s">
        <v>85</v>
      </c>
      <c r="Z121" s="76" t="s">
        <v>177</v>
      </c>
      <c r="AA121" s="77">
        <v>0</v>
      </c>
      <c r="AB121" s="10" t="s">
        <v>80</v>
      </c>
      <c r="AC121" s="77">
        <v>0</v>
      </c>
      <c r="AD121" s="77">
        <v>0</v>
      </c>
      <c r="AE121" s="77">
        <v>0</v>
      </c>
      <c r="AF121" s="77">
        <v>0</v>
      </c>
      <c r="AG121" s="76" t="s">
        <v>86</v>
      </c>
      <c r="AH121" s="76" t="s">
        <v>177</v>
      </c>
      <c r="AI121" s="77">
        <v>3</v>
      </c>
      <c r="AJ121" s="79">
        <v>0.33329999999999999</v>
      </c>
      <c r="AK121" s="77">
        <v>1</v>
      </c>
      <c r="AL121" s="77">
        <v>1</v>
      </c>
      <c r="AM121" s="77">
        <v>1</v>
      </c>
      <c r="AN121" s="78">
        <v>0</v>
      </c>
      <c r="AO121" s="76" t="s">
        <v>88</v>
      </c>
      <c r="AP121" s="76" t="s">
        <v>177</v>
      </c>
      <c r="AQ121" s="77">
        <v>0</v>
      </c>
      <c r="AR121" s="10" t="s">
        <v>80</v>
      </c>
      <c r="AS121" s="77">
        <v>0</v>
      </c>
      <c r="AT121" s="77">
        <v>0</v>
      </c>
      <c r="AU121" s="77">
        <v>0</v>
      </c>
      <c r="AV121" s="78">
        <v>0</v>
      </c>
    </row>
    <row r="122" spans="1:55" ht="14.25" customHeight="1" x14ac:dyDescent="0.3">
      <c r="A122" s="76" t="s">
        <v>144</v>
      </c>
      <c r="B122" s="110" t="s">
        <v>178</v>
      </c>
      <c r="C122" s="92">
        <v>0</v>
      </c>
      <c r="D122" s="91" t="s">
        <v>80</v>
      </c>
      <c r="E122" s="92">
        <v>0</v>
      </c>
      <c r="F122" s="92">
        <v>0</v>
      </c>
      <c r="G122" s="92">
        <v>0</v>
      </c>
      <c r="H122" s="92">
        <v>0</v>
      </c>
      <c r="I122" s="76" t="s">
        <v>146</v>
      </c>
      <c r="J122" s="110" t="s">
        <v>178</v>
      </c>
      <c r="K122" s="92">
        <v>1</v>
      </c>
      <c r="L122" s="92">
        <v>0</v>
      </c>
      <c r="M122" s="92">
        <v>0</v>
      </c>
      <c r="N122" s="92">
        <v>0</v>
      </c>
      <c r="O122" s="92">
        <v>0</v>
      </c>
      <c r="P122" s="92">
        <v>0</v>
      </c>
      <c r="Q122" s="76" t="s">
        <v>87</v>
      </c>
      <c r="R122" s="110" t="s">
        <v>178</v>
      </c>
      <c r="S122" s="92">
        <v>0</v>
      </c>
      <c r="T122" s="91" t="s">
        <v>80</v>
      </c>
      <c r="U122" s="92">
        <v>0</v>
      </c>
      <c r="V122" s="92">
        <v>0</v>
      </c>
      <c r="W122" s="92">
        <v>0</v>
      </c>
      <c r="X122" s="112">
        <v>0</v>
      </c>
      <c r="Y122" s="76" t="s">
        <v>85</v>
      </c>
      <c r="Z122" s="110" t="s">
        <v>178</v>
      </c>
      <c r="AA122" s="92">
        <v>0</v>
      </c>
      <c r="AB122" s="91" t="s">
        <v>80</v>
      </c>
      <c r="AC122" s="92">
        <v>0</v>
      </c>
      <c r="AD122" s="92">
        <v>0</v>
      </c>
      <c r="AE122" s="92">
        <v>0</v>
      </c>
      <c r="AF122" s="92">
        <v>0</v>
      </c>
      <c r="AG122" s="76" t="s">
        <v>86</v>
      </c>
      <c r="AH122" s="110" t="s">
        <v>178</v>
      </c>
      <c r="AI122" s="92">
        <v>0</v>
      </c>
      <c r="AJ122" s="91" t="s">
        <v>80</v>
      </c>
      <c r="AK122" s="92">
        <v>0</v>
      </c>
      <c r="AL122" s="92">
        <v>0</v>
      </c>
      <c r="AM122" s="92">
        <v>0</v>
      </c>
      <c r="AN122" s="112">
        <v>0</v>
      </c>
      <c r="AO122" s="76" t="s">
        <v>88</v>
      </c>
      <c r="AP122" s="110" t="s">
        <v>178</v>
      </c>
      <c r="AQ122" s="92">
        <v>0</v>
      </c>
      <c r="AR122" s="91" t="s">
        <v>80</v>
      </c>
      <c r="AS122" s="92">
        <v>0</v>
      </c>
      <c r="AT122" s="92">
        <v>0</v>
      </c>
      <c r="AU122" s="92">
        <v>0</v>
      </c>
      <c r="AV122" s="112">
        <v>0</v>
      </c>
    </row>
    <row r="123" spans="1:55" ht="14.25" customHeight="1" x14ac:dyDescent="0.3">
      <c r="A123" s="76" t="s">
        <v>144</v>
      </c>
      <c r="B123" s="76" t="s">
        <v>179</v>
      </c>
      <c r="C123" s="77">
        <v>0</v>
      </c>
      <c r="D123" s="10" t="s">
        <v>80</v>
      </c>
      <c r="E123" s="77">
        <v>0</v>
      </c>
      <c r="F123" s="77">
        <v>0</v>
      </c>
      <c r="G123" s="77">
        <v>0</v>
      </c>
      <c r="H123" s="77">
        <v>0</v>
      </c>
      <c r="I123" s="76" t="s">
        <v>146</v>
      </c>
      <c r="J123" s="76" t="s">
        <v>179</v>
      </c>
      <c r="K123" s="77">
        <v>1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  <c r="Q123" s="76" t="s">
        <v>87</v>
      </c>
      <c r="R123" s="76" t="s">
        <v>179</v>
      </c>
      <c r="S123" s="77">
        <v>0</v>
      </c>
      <c r="T123" s="10" t="s">
        <v>80</v>
      </c>
      <c r="U123" s="77">
        <v>0</v>
      </c>
      <c r="V123" s="77">
        <v>0</v>
      </c>
      <c r="W123" s="77">
        <v>0</v>
      </c>
      <c r="X123" s="78">
        <v>0</v>
      </c>
      <c r="Y123" s="76" t="s">
        <v>85</v>
      </c>
      <c r="Z123" s="76" t="s">
        <v>179</v>
      </c>
      <c r="AA123" s="77">
        <v>0</v>
      </c>
      <c r="AB123" s="10" t="s">
        <v>80</v>
      </c>
      <c r="AC123" s="77">
        <v>0</v>
      </c>
      <c r="AD123" s="77">
        <v>0</v>
      </c>
      <c r="AE123" s="77">
        <v>0</v>
      </c>
      <c r="AF123" s="77">
        <v>0</v>
      </c>
      <c r="AG123" s="76" t="s">
        <v>86</v>
      </c>
      <c r="AH123" s="76" t="s">
        <v>179</v>
      </c>
      <c r="AI123" s="77">
        <v>0</v>
      </c>
      <c r="AJ123" s="10" t="s">
        <v>80</v>
      </c>
      <c r="AK123" s="77">
        <v>0</v>
      </c>
      <c r="AL123" s="77">
        <v>0</v>
      </c>
      <c r="AM123" s="77">
        <v>0</v>
      </c>
      <c r="AN123" s="78">
        <v>0</v>
      </c>
      <c r="AO123" s="76" t="s">
        <v>88</v>
      </c>
      <c r="AP123" s="76" t="s">
        <v>179</v>
      </c>
      <c r="AQ123" s="77">
        <v>0</v>
      </c>
      <c r="AR123" s="10" t="s">
        <v>80</v>
      </c>
      <c r="AS123" s="77">
        <v>0</v>
      </c>
      <c r="AT123" s="77">
        <v>0</v>
      </c>
      <c r="AU123" s="77">
        <v>0</v>
      </c>
      <c r="AV123" s="78">
        <v>0</v>
      </c>
    </row>
    <row r="124" spans="1:55" ht="14.25" customHeight="1" x14ac:dyDescent="0.3">
      <c r="A124" s="76" t="s">
        <v>144</v>
      </c>
      <c r="B124" s="76" t="s">
        <v>180</v>
      </c>
      <c r="C124" s="77">
        <v>0</v>
      </c>
      <c r="D124" s="10" t="s">
        <v>80</v>
      </c>
      <c r="E124" s="77">
        <v>0</v>
      </c>
      <c r="F124" s="77">
        <v>0</v>
      </c>
      <c r="G124" s="77">
        <v>0</v>
      </c>
      <c r="H124" s="77">
        <v>0</v>
      </c>
      <c r="I124" s="76" t="s">
        <v>146</v>
      </c>
      <c r="J124" s="76" t="s">
        <v>180</v>
      </c>
      <c r="K124" s="77">
        <v>0</v>
      </c>
      <c r="L124" s="10" t="s">
        <v>80</v>
      </c>
      <c r="M124" s="77">
        <v>0</v>
      </c>
      <c r="N124" s="77">
        <v>0</v>
      </c>
      <c r="O124" s="77">
        <v>0</v>
      </c>
      <c r="P124" s="77">
        <v>0</v>
      </c>
      <c r="Q124" s="76" t="s">
        <v>87</v>
      </c>
      <c r="R124" s="76" t="s">
        <v>180</v>
      </c>
      <c r="S124" s="77">
        <v>0</v>
      </c>
      <c r="T124" s="10" t="s">
        <v>80</v>
      </c>
      <c r="U124" s="77">
        <v>0</v>
      </c>
      <c r="V124" s="77">
        <v>0</v>
      </c>
      <c r="W124" s="77">
        <v>0</v>
      </c>
      <c r="X124" s="78">
        <v>0</v>
      </c>
      <c r="Y124" s="76" t="s">
        <v>85</v>
      </c>
      <c r="Z124" s="76" t="s">
        <v>180</v>
      </c>
      <c r="AA124" s="77">
        <v>0</v>
      </c>
      <c r="AB124" s="10" t="s">
        <v>80</v>
      </c>
      <c r="AC124" s="77">
        <v>0</v>
      </c>
      <c r="AD124" s="77">
        <v>0</v>
      </c>
      <c r="AE124" s="77">
        <v>0</v>
      </c>
      <c r="AF124" s="77">
        <v>0</v>
      </c>
      <c r="AG124" s="76" t="s">
        <v>86</v>
      </c>
      <c r="AH124" s="76" t="s">
        <v>180</v>
      </c>
      <c r="AI124" s="77">
        <v>0</v>
      </c>
      <c r="AJ124" s="10" t="s">
        <v>80</v>
      </c>
      <c r="AK124" s="77">
        <v>0</v>
      </c>
      <c r="AL124" s="77">
        <v>0</v>
      </c>
      <c r="AM124" s="77">
        <v>0</v>
      </c>
      <c r="AN124" s="78">
        <v>0</v>
      </c>
      <c r="AO124" s="76" t="s">
        <v>88</v>
      </c>
      <c r="AP124" s="76" t="s">
        <v>180</v>
      </c>
      <c r="AQ124" s="77">
        <v>0</v>
      </c>
      <c r="AR124" s="10" t="s">
        <v>80</v>
      </c>
      <c r="AS124" s="77">
        <v>0</v>
      </c>
      <c r="AT124" s="77">
        <v>0</v>
      </c>
      <c r="AU124" s="77">
        <v>0</v>
      </c>
      <c r="AV124" s="78">
        <v>0</v>
      </c>
    </row>
    <row r="125" spans="1:55" ht="14.25" customHeight="1" x14ac:dyDescent="0.3">
      <c r="A125" s="76" t="s">
        <v>144</v>
      </c>
      <c r="B125" s="81" t="s">
        <v>181</v>
      </c>
      <c r="C125" s="83">
        <v>0</v>
      </c>
      <c r="D125" s="82" t="s">
        <v>80</v>
      </c>
      <c r="E125" s="83">
        <v>0</v>
      </c>
      <c r="F125" s="83">
        <v>0</v>
      </c>
      <c r="G125" s="83">
        <v>0</v>
      </c>
      <c r="H125" s="83">
        <v>0</v>
      </c>
      <c r="I125" s="76" t="s">
        <v>146</v>
      </c>
      <c r="J125" s="81" t="s">
        <v>181</v>
      </c>
      <c r="K125" s="83">
        <v>0</v>
      </c>
      <c r="L125" s="82" t="s">
        <v>80</v>
      </c>
      <c r="M125" s="83">
        <v>0</v>
      </c>
      <c r="N125" s="83">
        <v>0</v>
      </c>
      <c r="O125" s="83">
        <v>0</v>
      </c>
      <c r="P125" s="83">
        <v>0</v>
      </c>
      <c r="Q125" s="76" t="s">
        <v>87</v>
      </c>
      <c r="R125" s="81" t="s">
        <v>181</v>
      </c>
      <c r="S125" s="83">
        <v>0</v>
      </c>
      <c r="T125" s="82" t="s">
        <v>80</v>
      </c>
      <c r="U125" s="83">
        <v>0</v>
      </c>
      <c r="V125" s="83">
        <v>0</v>
      </c>
      <c r="W125" s="83">
        <v>0</v>
      </c>
      <c r="X125" s="114">
        <v>0</v>
      </c>
      <c r="Y125" s="76" t="s">
        <v>85</v>
      </c>
      <c r="Z125" s="81" t="s">
        <v>181</v>
      </c>
      <c r="AA125" s="83">
        <v>0</v>
      </c>
      <c r="AB125" s="82" t="s">
        <v>80</v>
      </c>
      <c r="AC125" s="83">
        <v>0</v>
      </c>
      <c r="AD125" s="83">
        <v>0</v>
      </c>
      <c r="AE125" s="83">
        <v>0</v>
      </c>
      <c r="AF125" s="83">
        <v>0</v>
      </c>
      <c r="AG125" s="76" t="s">
        <v>86</v>
      </c>
      <c r="AH125" s="81" t="s">
        <v>181</v>
      </c>
      <c r="AI125" s="83">
        <v>0</v>
      </c>
      <c r="AJ125" s="82" t="s">
        <v>80</v>
      </c>
      <c r="AK125" s="83">
        <v>0</v>
      </c>
      <c r="AL125" s="83">
        <v>0</v>
      </c>
      <c r="AM125" s="83">
        <v>0</v>
      </c>
      <c r="AN125" s="114">
        <v>0</v>
      </c>
      <c r="AO125" s="76" t="s">
        <v>88</v>
      </c>
      <c r="AP125" s="81" t="s">
        <v>181</v>
      </c>
      <c r="AQ125" s="83">
        <v>0</v>
      </c>
      <c r="AR125" s="82" t="s">
        <v>80</v>
      </c>
      <c r="AS125" s="83">
        <v>0</v>
      </c>
      <c r="AT125" s="83">
        <v>0</v>
      </c>
      <c r="AU125" s="83">
        <v>0</v>
      </c>
      <c r="AV125" s="114">
        <v>0</v>
      </c>
    </row>
    <row r="127" spans="1:55" ht="14.25" customHeight="1" x14ac:dyDescent="0.3">
      <c r="A127" s="155" t="s">
        <v>182</v>
      </c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</row>
    <row r="128" spans="1:55" ht="14.25" customHeight="1" x14ac:dyDescent="0.3">
      <c r="A128" s="116">
        <f t="shared" ref="A128:F137" si="0">A147</f>
        <v>0</v>
      </c>
      <c r="B128" s="116" t="str">
        <f t="shared" si="0"/>
        <v>SQ #</v>
      </c>
      <c r="C128" s="116" t="str">
        <f t="shared" si="0"/>
        <v>SQ +</v>
      </c>
      <c r="D128" s="116" t="str">
        <f t="shared" si="0"/>
        <v>SQ /</v>
      </c>
      <c r="E128" s="116" t="str">
        <f t="shared" si="0"/>
        <v>SQ =</v>
      </c>
      <c r="F128" s="116" t="str">
        <f t="shared" si="0"/>
        <v>SQ TOT</v>
      </c>
      <c r="G128" s="116" t="s">
        <v>183</v>
      </c>
      <c r="H128" s="116" t="str">
        <f t="shared" ref="H128:L137" si="1">G147</f>
        <v>REC #</v>
      </c>
      <c r="I128" s="116" t="str">
        <f t="shared" si="1"/>
        <v>REC +</v>
      </c>
      <c r="J128" s="116" t="str">
        <f t="shared" si="1"/>
        <v>REC /</v>
      </c>
      <c r="K128" s="116" t="str">
        <f t="shared" si="1"/>
        <v>REC =</v>
      </c>
      <c r="L128" s="116" t="str">
        <f t="shared" si="1"/>
        <v>REC TOT</v>
      </c>
      <c r="M128" s="116" t="s">
        <v>184</v>
      </c>
      <c r="N128" s="116" t="str">
        <f t="shared" ref="N128:N144" si="2">L147</f>
        <v>BLQ #</v>
      </c>
      <c r="O128" s="116" t="str">
        <f t="shared" ref="O128:O144" si="3">M147</f>
        <v>BLQ +</v>
      </c>
      <c r="P128" s="116" t="s">
        <v>185</v>
      </c>
      <c r="Q128" s="116" t="str">
        <f t="shared" ref="Q128:Q144" si="4">N147</f>
        <v>BLQ =</v>
      </c>
      <c r="R128" s="116" t="str">
        <f t="shared" ref="R128:R144" si="5">O147</f>
        <v>BLQ /</v>
      </c>
      <c r="S128" s="116" t="str">
        <f t="shared" ref="S128:S144" si="6">P147</f>
        <v>BLQ TOT</v>
      </c>
      <c r="T128" s="116" t="s">
        <v>186</v>
      </c>
      <c r="U128" s="116" t="str">
        <f t="shared" ref="U128:U144" si="7">Q147</f>
        <v>ATQ Q #</v>
      </c>
      <c r="V128" s="116" t="str">
        <f t="shared" ref="V128:V144" si="8">R147</f>
        <v>ATQ Q /</v>
      </c>
      <c r="W128" s="116" t="str">
        <f t="shared" ref="W128:W144" si="9">S147</f>
        <v>ATQ Q =</v>
      </c>
      <c r="X128" s="116" t="str">
        <f t="shared" ref="X128:X144" si="10">T147</f>
        <v>ATQ Q TOT</v>
      </c>
      <c r="Y128" s="116" t="s">
        <v>187</v>
      </c>
      <c r="Z128" s="116" t="str">
        <f t="shared" ref="Z128:Z144" si="11">U147</f>
        <v>ATQ V #</v>
      </c>
      <c r="AA128" s="116" t="str">
        <f t="shared" ref="AA128:AA144" si="12">V147</f>
        <v>ATQ V /</v>
      </c>
      <c r="AB128" s="116" t="str">
        <f t="shared" ref="AB128:AB144" si="13">W147</f>
        <v>ATQ V =</v>
      </c>
      <c r="AC128" s="116" t="str">
        <f t="shared" ref="AC128:AC144" si="14">X147</f>
        <v>ATQ V TOT</v>
      </c>
      <c r="AD128" s="116" t="s">
        <v>188</v>
      </c>
      <c r="AE128" s="116" t="str">
        <f t="shared" ref="AE128:AE144" si="15">Y147</f>
        <v>ATQ X #</v>
      </c>
      <c r="AF128" s="116" t="str">
        <f t="shared" ref="AF128:AF144" si="16">Z147</f>
        <v>ATQ X /</v>
      </c>
      <c r="AG128" s="116" t="str">
        <f t="shared" ref="AG128:AG144" si="17">AA147</f>
        <v>ATQ X =</v>
      </c>
      <c r="AH128" s="116" t="str">
        <f t="shared" ref="AH128:AH144" si="18">AB147</f>
        <v>ATQ X TOT</v>
      </c>
      <c r="AI128" s="116" t="s">
        <v>189</v>
      </c>
      <c r="AJ128" s="116" t="str">
        <f t="shared" ref="AJ128:AJ144" si="19">AC147</f>
        <v>ATQ R# #</v>
      </c>
      <c r="AK128" s="116" t="str">
        <f t="shared" ref="AK128:AK144" si="20">AD147</f>
        <v>ATQ R# /</v>
      </c>
      <c r="AL128" s="116" t="str">
        <f t="shared" ref="AL128:AL144" si="21">AE147</f>
        <v>ATQ R# =</v>
      </c>
      <c r="AM128" s="116" t="str">
        <f t="shared" ref="AM128:AM144" si="22">AF147</f>
        <v>ATQ R# TOT</v>
      </c>
      <c r="AN128" s="116" t="s">
        <v>190</v>
      </c>
      <c r="AO128" s="116" t="str">
        <f t="shared" ref="AO128:AO144" si="23">AG147</f>
        <v>ATQ R! #</v>
      </c>
      <c r="AP128" s="116" t="str">
        <f t="shared" ref="AP128:AP144" si="24">AH147</f>
        <v>ATQ R! /</v>
      </c>
      <c r="AQ128" s="116" t="str">
        <f t="shared" ref="AQ128:AQ144" si="25">AI147</f>
        <v>ATQ R! =</v>
      </c>
      <c r="AR128" s="116" t="str">
        <f t="shared" ref="AR128:AR144" si="26">AJ147</f>
        <v>ATQ R! TOT</v>
      </c>
      <c r="AS128" s="116" t="s">
        <v>191</v>
      </c>
      <c r="AT128" s="116" t="str">
        <f t="shared" ref="AT128:AT144" si="27">AK147</f>
        <v>ATQ R- #</v>
      </c>
      <c r="AU128" s="116" t="str">
        <f t="shared" ref="AU128:AU144" si="28">AL147</f>
        <v>ATQ R- /</v>
      </c>
      <c r="AV128" s="116" t="str">
        <f t="shared" ref="AV128:AV144" si="29">AM147</f>
        <v>ATQ R- =</v>
      </c>
      <c r="AW128" s="116" t="str">
        <f t="shared" ref="AW128:AW144" si="30">AN147</f>
        <v>ATQ R- TOT</v>
      </c>
      <c r="AX128" s="116" t="s">
        <v>192</v>
      </c>
      <c r="AY128" s="116" t="str">
        <f t="shared" ref="AY128:AY144" si="31">AO147</f>
        <v>ATQ TR #</v>
      </c>
      <c r="AZ128" s="116" t="str">
        <f t="shared" ref="AZ128:AZ144" si="32">AP147</f>
        <v>ATQ TR /</v>
      </c>
      <c r="BA128" s="116" t="str">
        <f t="shared" ref="BA128:BA144" si="33">AQ147</f>
        <v>ATQ TR =</v>
      </c>
      <c r="BB128" s="116" t="str">
        <f t="shared" ref="BB128:BB144" si="34">AR147</f>
        <v>ATQ TR TOT</v>
      </c>
      <c r="BC128" s="116" t="s">
        <v>193</v>
      </c>
    </row>
    <row r="129" spans="1:55" ht="14.25" customHeight="1" x14ac:dyDescent="0.3">
      <c r="A129" s="116" t="str">
        <f t="shared" si="0"/>
        <v>Club Atlético San L</v>
      </c>
      <c r="B129" s="117">
        <f t="shared" si="0"/>
        <v>1</v>
      </c>
      <c r="C129" s="117">
        <f t="shared" si="0"/>
        <v>8</v>
      </c>
      <c r="D129" s="117">
        <f t="shared" si="0"/>
        <v>0</v>
      </c>
      <c r="E129" s="117">
        <f t="shared" si="0"/>
        <v>15</v>
      </c>
      <c r="F129" s="117">
        <f t="shared" si="0"/>
        <v>65</v>
      </c>
      <c r="G129" s="118">
        <f t="shared" ref="G129:G144" si="35">IFERROR((1*B129+0.5*D129+0.25*C129-1*E129)/F129,"")</f>
        <v>-0.18461538461538463</v>
      </c>
      <c r="H129" s="117">
        <f t="shared" si="1"/>
        <v>7</v>
      </c>
      <c r="I129" s="117">
        <f t="shared" si="1"/>
        <v>23</v>
      </c>
      <c r="J129" s="117">
        <f t="shared" si="1"/>
        <v>3</v>
      </c>
      <c r="K129" s="117">
        <f t="shared" si="1"/>
        <v>4</v>
      </c>
      <c r="L129" s="117">
        <f t="shared" si="1"/>
        <v>65</v>
      </c>
      <c r="M129" s="118">
        <f t="shared" ref="M129:M144" si="36">IFERROR(((1*H129+0.5*I129-0.5*J129-1*K129)/L129),"")</f>
        <v>0.2</v>
      </c>
      <c r="N129" s="117">
        <f t="shared" si="2"/>
        <v>4</v>
      </c>
      <c r="O129" s="117">
        <f t="shared" si="3"/>
        <v>10</v>
      </c>
      <c r="P129" s="118">
        <f t="shared" ref="P129:P144" si="37">IFERROR((N129+O129)/S129,"")</f>
        <v>0.35897435897435898</v>
      </c>
      <c r="Q129" s="117">
        <f t="shared" si="4"/>
        <v>17</v>
      </c>
      <c r="R129" s="117">
        <f t="shared" si="5"/>
        <v>0</v>
      </c>
      <c r="S129" s="117">
        <f t="shared" si="6"/>
        <v>39</v>
      </c>
      <c r="T129" s="118">
        <f t="shared" ref="T129:T144" si="38">IFERROR((N129)/S129,"")</f>
        <v>0.10256410256410256</v>
      </c>
      <c r="U129" s="117">
        <f t="shared" si="7"/>
        <v>6</v>
      </c>
      <c r="V129" s="117">
        <f t="shared" si="8"/>
        <v>0</v>
      </c>
      <c r="W129" s="117">
        <f t="shared" si="9"/>
        <v>1</v>
      </c>
      <c r="X129" s="117">
        <f t="shared" si="10"/>
        <v>14</v>
      </c>
      <c r="Y129" s="118">
        <f t="shared" ref="Y129:Y144" si="39">IFERROR((U129-V129-W129)/X129,"")</f>
        <v>0.35714285714285715</v>
      </c>
      <c r="Z129" s="117">
        <f t="shared" si="11"/>
        <v>13</v>
      </c>
      <c r="AA129" s="117">
        <f t="shared" si="12"/>
        <v>2</v>
      </c>
      <c r="AB129" s="117">
        <f t="shared" si="13"/>
        <v>1</v>
      </c>
      <c r="AC129" s="117">
        <f t="shared" si="14"/>
        <v>28</v>
      </c>
      <c r="AD129" s="118">
        <f t="shared" ref="AD129:AD144" si="40">IFERROR(((Z129-AA129-AB129)/AC129),"")</f>
        <v>0.35714285714285715</v>
      </c>
      <c r="AE129" s="117">
        <f t="shared" si="15"/>
        <v>15</v>
      </c>
      <c r="AF129" s="117">
        <f t="shared" si="16"/>
        <v>4</v>
      </c>
      <c r="AG129" s="117">
        <f t="shared" si="17"/>
        <v>4</v>
      </c>
      <c r="AH129" s="117">
        <f t="shared" si="18"/>
        <v>39</v>
      </c>
      <c r="AI129" s="118">
        <f t="shared" ref="AI129:AI144" si="41">IFERROR(((AE129-AF129-AG129)/AH129),"")</f>
        <v>0.17948717948717949</v>
      </c>
      <c r="AJ129" s="117">
        <f t="shared" si="19"/>
        <v>15</v>
      </c>
      <c r="AK129" s="117">
        <f t="shared" si="20"/>
        <v>3</v>
      </c>
      <c r="AL129" s="117">
        <f t="shared" si="21"/>
        <v>2</v>
      </c>
      <c r="AM129" s="117">
        <f t="shared" si="22"/>
        <v>30</v>
      </c>
      <c r="AN129" s="118">
        <f t="shared" ref="AN129:AN144" si="42">IFERROR((AJ129-AK129-AL129)/AM129,"")</f>
        <v>0.33333333333333331</v>
      </c>
      <c r="AO129" s="117">
        <f t="shared" si="23"/>
        <v>3</v>
      </c>
      <c r="AP129" s="117">
        <f t="shared" si="24"/>
        <v>1</v>
      </c>
      <c r="AQ129" s="117">
        <f t="shared" si="25"/>
        <v>1</v>
      </c>
      <c r="AR129" s="117">
        <f t="shared" si="26"/>
        <v>14</v>
      </c>
      <c r="AS129" s="118">
        <f t="shared" ref="AS129:AS144" si="43">IFERROR((AO129-AP129-AQ129)/AR129,"")</f>
        <v>7.1428571428571425E-2</v>
      </c>
      <c r="AT129" s="117">
        <f t="shared" si="27"/>
        <v>6</v>
      </c>
      <c r="AU129" s="117">
        <f t="shared" si="28"/>
        <v>1</v>
      </c>
      <c r="AV129" s="117">
        <f t="shared" si="29"/>
        <v>0</v>
      </c>
      <c r="AW129" s="117">
        <f t="shared" si="30"/>
        <v>14</v>
      </c>
      <c r="AX129" s="118">
        <f t="shared" ref="AX129:AX144" si="44">IFERROR((AT129-AU129-AV129)/AW129,"")</f>
        <v>0.35714285714285715</v>
      </c>
      <c r="AY129" s="117">
        <f t="shared" si="31"/>
        <v>13</v>
      </c>
      <c r="AZ129" s="117">
        <f t="shared" si="32"/>
        <v>1</v>
      </c>
      <c r="BA129" s="117">
        <f t="shared" si="33"/>
        <v>3</v>
      </c>
      <c r="BB129" s="117">
        <f t="shared" si="34"/>
        <v>28</v>
      </c>
      <c r="BC129" s="118">
        <f t="shared" ref="BC129:BC144" si="45">IFERROR((AY129-AZ129-BA129)/BB129,"")</f>
        <v>0.32142857142857145</v>
      </c>
    </row>
    <row r="130" spans="1:55" ht="14.25" customHeight="1" x14ac:dyDescent="0.3">
      <c r="A130" s="116" t="str">
        <f t="shared" si="0"/>
        <v>2 Ojuez A.</v>
      </c>
      <c r="B130" s="119">
        <f t="shared" si="0"/>
        <v>0</v>
      </c>
      <c r="C130" s="119">
        <f t="shared" si="0"/>
        <v>0</v>
      </c>
      <c r="D130" s="119">
        <f t="shared" si="0"/>
        <v>0</v>
      </c>
      <c r="E130" s="119">
        <f t="shared" si="0"/>
        <v>0</v>
      </c>
      <c r="F130" s="119">
        <f t="shared" si="0"/>
        <v>2</v>
      </c>
      <c r="G130" s="120">
        <f t="shared" si="35"/>
        <v>0</v>
      </c>
      <c r="H130" s="121">
        <f t="shared" si="1"/>
        <v>0</v>
      </c>
      <c r="I130" s="121">
        <f t="shared" si="1"/>
        <v>0</v>
      </c>
      <c r="J130" s="121">
        <f t="shared" si="1"/>
        <v>0</v>
      </c>
      <c r="K130" s="121">
        <f t="shared" si="1"/>
        <v>0</v>
      </c>
      <c r="L130" s="121">
        <f t="shared" si="1"/>
        <v>0</v>
      </c>
      <c r="M130" s="120" t="str">
        <f t="shared" si="36"/>
        <v/>
      </c>
      <c r="N130" s="121">
        <f t="shared" si="2"/>
        <v>0</v>
      </c>
      <c r="O130" s="121">
        <f t="shared" si="3"/>
        <v>1</v>
      </c>
      <c r="P130" s="120">
        <f t="shared" si="37"/>
        <v>0.2</v>
      </c>
      <c r="Q130" s="121">
        <f t="shared" si="4"/>
        <v>3</v>
      </c>
      <c r="R130" s="121">
        <f t="shared" si="5"/>
        <v>0</v>
      </c>
      <c r="S130" s="121">
        <f t="shared" si="6"/>
        <v>5</v>
      </c>
      <c r="T130" s="120">
        <f t="shared" si="38"/>
        <v>0</v>
      </c>
      <c r="U130" s="121">
        <f t="shared" si="7"/>
        <v>2</v>
      </c>
      <c r="V130" s="121">
        <f t="shared" si="8"/>
        <v>0</v>
      </c>
      <c r="W130" s="121">
        <f t="shared" si="9"/>
        <v>0</v>
      </c>
      <c r="X130" s="121">
        <f t="shared" si="10"/>
        <v>3</v>
      </c>
      <c r="Y130" s="120">
        <f t="shared" si="39"/>
        <v>0.66666666666666663</v>
      </c>
      <c r="Z130" s="121">
        <f t="shared" si="11"/>
        <v>0</v>
      </c>
      <c r="AA130" s="121">
        <f t="shared" si="12"/>
        <v>0</v>
      </c>
      <c r="AB130" s="121">
        <f t="shared" si="13"/>
        <v>0</v>
      </c>
      <c r="AC130" s="121">
        <f t="shared" si="14"/>
        <v>0</v>
      </c>
      <c r="AD130" s="120" t="str">
        <f t="shared" si="40"/>
        <v/>
      </c>
      <c r="AE130" s="121">
        <f t="shared" si="15"/>
        <v>0</v>
      </c>
      <c r="AF130" s="121">
        <f t="shared" si="16"/>
        <v>0</v>
      </c>
      <c r="AG130" s="121">
        <f t="shared" si="17"/>
        <v>0</v>
      </c>
      <c r="AH130" s="121">
        <f t="shared" si="18"/>
        <v>0</v>
      </c>
      <c r="AI130" s="120" t="str">
        <f t="shared" si="41"/>
        <v/>
      </c>
      <c r="AJ130" s="121">
        <f t="shared" si="19"/>
        <v>2</v>
      </c>
      <c r="AK130" s="121">
        <f t="shared" si="20"/>
        <v>0</v>
      </c>
      <c r="AL130" s="121">
        <f t="shared" si="21"/>
        <v>0</v>
      </c>
      <c r="AM130" s="121">
        <f t="shared" si="22"/>
        <v>3</v>
      </c>
      <c r="AN130" s="120">
        <f t="shared" si="42"/>
        <v>0.66666666666666663</v>
      </c>
      <c r="AO130" s="121">
        <f t="shared" si="23"/>
        <v>0</v>
      </c>
      <c r="AP130" s="121">
        <f t="shared" si="24"/>
        <v>0</v>
      </c>
      <c r="AQ130" s="121">
        <f t="shared" si="25"/>
        <v>0</v>
      </c>
      <c r="AR130" s="121">
        <f t="shared" si="26"/>
        <v>0</v>
      </c>
      <c r="AS130" s="120" t="str">
        <f t="shared" si="43"/>
        <v/>
      </c>
      <c r="AT130" s="121">
        <f t="shared" si="27"/>
        <v>0</v>
      </c>
      <c r="AU130" s="121">
        <f t="shared" si="28"/>
        <v>0</v>
      </c>
      <c r="AV130" s="121">
        <f t="shared" si="29"/>
        <v>0</v>
      </c>
      <c r="AW130" s="121">
        <f t="shared" si="30"/>
        <v>0</v>
      </c>
      <c r="AX130" s="120" t="str">
        <f t="shared" si="44"/>
        <v/>
      </c>
      <c r="AY130" s="121">
        <f t="shared" si="31"/>
        <v>0</v>
      </c>
      <c r="AZ130" s="121">
        <f t="shared" si="32"/>
        <v>0</v>
      </c>
      <c r="BA130" s="121">
        <f t="shared" si="33"/>
        <v>0</v>
      </c>
      <c r="BB130" s="121">
        <f t="shared" si="34"/>
        <v>0</v>
      </c>
      <c r="BC130" s="120" t="str">
        <f t="shared" si="45"/>
        <v/>
      </c>
    </row>
    <row r="131" spans="1:55" ht="14.25" customHeight="1" x14ac:dyDescent="0.3">
      <c r="A131" s="116" t="str">
        <f t="shared" si="0"/>
        <v>3 Romeo Winer A.</v>
      </c>
      <c r="B131" s="119">
        <f t="shared" si="0"/>
        <v>0</v>
      </c>
      <c r="C131" s="119">
        <f t="shared" si="0"/>
        <v>0</v>
      </c>
      <c r="D131" s="119">
        <f t="shared" si="0"/>
        <v>0</v>
      </c>
      <c r="E131" s="119">
        <f t="shared" si="0"/>
        <v>0</v>
      </c>
      <c r="F131" s="119">
        <f t="shared" si="0"/>
        <v>0</v>
      </c>
      <c r="G131" s="120" t="str">
        <f t="shared" si="35"/>
        <v/>
      </c>
      <c r="H131" s="121">
        <f t="shared" si="1"/>
        <v>3</v>
      </c>
      <c r="I131" s="121">
        <f t="shared" si="1"/>
        <v>9</v>
      </c>
      <c r="J131" s="121">
        <f t="shared" si="1"/>
        <v>2</v>
      </c>
      <c r="K131" s="121">
        <f t="shared" si="1"/>
        <v>3</v>
      </c>
      <c r="L131" s="121">
        <f t="shared" si="1"/>
        <v>36</v>
      </c>
      <c r="M131" s="120">
        <f t="shared" si="36"/>
        <v>9.7222222222222224E-2</v>
      </c>
      <c r="N131" s="121">
        <f t="shared" si="2"/>
        <v>0</v>
      </c>
      <c r="O131" s="121">
        <f t="shared" si="3"/>
        <v>0</v>
      </c>
      <c r="P131" s="120" t="str">
        <f t="shared" si="37"/>
        <v/>
      </c>
      <c r="Q131" s="121">
        <f t="shared" si="4"/>
        <v>0</v>
      </c>
      <c r="R131" s="121">
        <f t="shared" si="5"/>
        <v>0</v>
      </c>
      <c r="S131" s="121">
        <f t="shared" si="6"/>
        <v>0</v>
      </c>
      <c r="T131" s="120" t="str">
        <f t="shared" si="38"/>
        <v/>
      </c>
      <c r="U131" s="121">
        <f t="shared" si="7"/>
        <v>0</v>
      </c>
      <c r="V131" s="121">
        <f t="shared" si="8"/>
        <v>0</v>
      </c>
      <c r="W131" s="121">
        <f t="shared" si="9"/>
        <v>0</v>
      </c>
      <c r="X131" s="121">
        <f t="shared" si="10"/>
        <v>0</v>
      </c>
      <c r="Y131" s="120" t="str">
        <f t="shared" si="39"/>
        <v/>
      </c>
      <c r="Z131" s="121">
        <f t="shared" si="11"/>
        <v>0</v>
      </c>
      <c r="AA131" s="121">
        <f t="shared" si="12"/>
        <v>0</v>
      </c>
      <c r="AB131" s="121">
        <f t="shared" si="13"/>
        <v>0</v>
      </c>
      <c r="AC131" s="121">
        <f t="shared" si="14"/>
        <v>0</v>
      </c>
      <c r="AD131" s="120" t="str">
        <f t="shared" si="40"/>
        <v/>
      </c>
      <c r="AE131" s="121">
        <f t="shared" si="15"/>
        <v>0</v>
      </c>
      <c r="AF131" s="121">
        <f t="shared" si="16"/>
        <v>0</v>
      </c>
      <c r="AG131" s="121">
        <f t="shared" si="17"/>
        <v>0</v>
      </c>
      <c r="AH131" s="121">
        <f t="shared" si="18"/>
        <v>0</v>
      </c>
      <c r="AI131" s="120" t="str">
        <f t="shared" si="41"/>
        <v/>
      </c>
      <c r="AJ131" s="121">
        <f t="shared" si="19"/>
        <v>0</v>
      </c>
      <c r="AK131" s="121">
        <f t="shared" si="20"/>
        <v>0</v>
      </c>
      <c r="AL131" s="121">
        <f t="shared" si="21"/>
        <v>0</v>
      </c>
      <c r="AM131" s="121">
        <f t="shared" si="22"/>
        <v>0</v>
      </c>
      <c r="AN131" s="120" t="str">
        <f t="shared" si="42"/>
        <v/>
      </c>
      <c r="AO131" s="121">
        <f t="shared" si="23"/>
        <v>0</v>
      </c>
      <c r="AP131" s="121">
        <f t="shared" si="24"/>
        <v>0</v>
      </c>
      <c r="AQ131" s="121">
        <f t="shared" si="25"/>
        <v>0</v>
      </c>
      <c r="AR131" s="121">
        <f t="shared" si="26"/>
        <v>0</v>
      </c>
      <c r="AS131" s="120" t="str">
        <f t="shared" si="43"/>
        <v/>
      </c>
      <c r="AT131" s="121">
        <f t="shared" si="27"/>
        <v>0</v>
      </c>
      <c r="AU131" s="121">
        <f t="shared" si="28"/>
        <v>0</v>
      </c>
      <c r="AV131" s="121">
        <f t="shared" si="29"/>
        <v>0</v>
      </c>
      <c r="AW131" s="121">
        <f t="shared" si="30"/>
        <v>0</v>
      </c>
      <c r="AX131" s="120" t="str">
        <f t="shared" si="44"/>
        <v/>
      </c>
      <c r="AY131" s="121">
        <f t="shared" si="31"/>
        <v>0</v>
      </c>
      <c r="AZ131" s="121">
        <f t="shared" si="32"/>
        <v>0</v>
      </c>
      <c r="BA131" s="121">
        <f t="shared" si="33"/>
        <v>0</v>
      </c>
      <c r="BB131" s="121">
        <f t="shared" si="34"/>
        <v>0</v>
      </c>
      <c r="BC131" s="120" t="str">
        <f t="shared" si="45"/>
        <v/>
      </c>
    </row>
    <row r="132" spans="1:55" ht="14.25" customHeight="1" x14ac:dyDescent="0.3">
      <c r="A132" s="116" t="str">
        <f t="shared" si="0"/>
        <v>4 Vazquez E.</v>
      </c>
      <c r="B132" s="119">
        <f t="shared" si="0"/>
        <v>0</v>
      </c>
      <c r="C132" s="119">
        <f t="shared" si="0"/>
        <v>0</v>
      </c>
      <c r="D132" s="119">
        <f t="shared" si="0"/>
        <v>0</v>
      </c>
      <c r="E132" s="119">
        <f t="shared" si="0"/>
        <v>0</v>
      </c>
      <c r="F132" s="119">
        <f t="shared" si="0"/>
        <v>0</v>
      </c>
      <c r="G132" s="120" t="str">
        <f t="shared" si="35"/>
        <v/>
      </c>
      <c r="H132" s="121">
        <f t="shared" si="1"/>
        <v>0</v>
      </c>
      <c r="I132" s="121">
        <f t="shared" si="1"/>
        <v>0</v>
      </c>
      <c r="J132" s="121">
        <f t="shared" si="1"/>
        <v>0</v>
      </c>
      <c r="K132" s="121">
        <f t="shared" si="1"/>
        <v>0</v>
      </c>
      <c r="L132" s="121">
        <f t="shared" si="1"/>
        <v>0</v>
      </c>
      <c r="M132" s="120" t="str">
        <f t="shared" si="36"/>
        <v/>
      </c>
      <c r="N132" s="121">
        <f t="shared" si="2"/>
        <v>0</v>
      </c>
      <c r="O132" s="121">
        <f t="shared" si="3"/>
        <v>0</v>
      </c>
      <c r="P132" s="120" t="str">
        <f t="shared" si="37"/>
        <v/>
      </c>
      <c r="Q132" s="121">
        <f t="shared" si="4"/>
        <v>0</v>
      </c>
      <c r="R132" s="121">
        <f t="shared" si="5"/>
        <v>0</v>
      </c>
      <c r="S132" s="121">
        <f t="shared" si="6"/>
        <v>0</v>
      </c>
      <c r="T132" s="120" t="str">
        <f t="shared" si="38"/>
        <v/>
      </c>
      <c r="U132" s="121">
        <f t="shared" si="7"/>
        <v>0</v>
      </c>
      <c r="V132" s="121">
        <f t="shared" si="8"/>
        <v>0</v>
      </c>
      <c r="W132" s="121">
        <f t="shared" si="9"/>
        <v>0</v>
      </c>
      <c r="X132" s="121">
        <f t="shared" si="10"/>
        <v>0</v>
      </c>
      <c r="Y132" s="120" t="str">
        <f t="shared" si="39"/>
        <v/>
      </c>
      <c r="Z132" s="121">
        <f t="shared" si="11"/>
        <v>0</v>
      </c>
      <c r="AA132" s="121">
        <f t="shared" si="12"/>
        <v>0</v>
      </c>
      <c r="AB132" s="121">
        <f t="shared" si="13"/>
        <v>0</v>
      </c>
      <c r="AC132" s="121">
        <f t="shared" si="14"/>
        <v>0</v>
      </c>
      <c r="AD132" s="120" t="str">
        <f t="shared" si="40"/>
        <v/>
      </c>
      <c r="AE132" s="121">
        <f t="shared" si="15"/>
        <v>0</v>
      </c>
      <c r="AF132" s="121">
        <f t="shared" si="16"/>
        <v>0</v>
      </c>
      <c r="AG132" s="121">
        <f t="shared" si="17"/>
        <v>0</v>
      </c>
      <c r="AH132" s="121">
        <f t="shared" si="18"/>
        <v>0</v>
      </c>
      <c r="AI132" s="120" t="str">
        <f t="shared" si="41"/>
        <v/>
      </c>
      <c r="AJ132" s="121">
        <f t="shared" si="19"/>
        <v>0</v>
      </c>
      <c r="AK132" s="121">
        <f t="shared" si="20"/>
        <v>0</v>
      </c>
      <c r="AL132" s="121">
        <f t="shared" si="21"/>
        <v>0</v>
      </c>
      <c r="AM132" s="121">
        <f t="shared" si="22"/>
        <v>0</v>
      </c>
      <c r="AN132" s="120" t="str">
        <f t="shared" si="42"/>
        <v/>
      </c>
      <c r="AO132" s="121">
        <f t="shared" si="23"/>
        <v>0</v>
      </c>
      <c r="AP132" s="121">
        <f t="shared" si="24"/>
        <v>0</v>
      </c>
      <c r="AQ132" s="121">
        <f t="shared" si="25"/>
        <v>0</v>
      </c>
      <c r="AR132" s="121">
        <f t="shared" si="26"/>
        <v>0</v>
      </c>
      <c r="AS132" s="120" t="str">
        <f t="shared" si="43"/>
        <v/>
      </c>
      <c r="AT132" s="121">
        <f t="shared" si="27"/>
        <v>0</v>
      </c>
      <c r="AU132" s="121">
        <f t="shared" si="28"/>
        <v>0</v>
      </c>
      <c r="AV132" s="121">
        <f t="shared" si="29"/>
        <v>0</v>
      </c>
      <c r="AW132" s="121">
        <f t="shared" si="30"/>
        <v>0</v>
      </c>
      <c r="AX132" s="120" t="str">
        <f t="shared" si="44"/>
        <v/>
      </c>
      <c r="AY132" s="121">
        <f t="shared" si="31"/>
        <v>0</v>
      </c>
      <c r="AZ132" s="121">
        <f t="shared" si="32"/>
        <v>0</v>
      </c>
      <c r="BA132" s="121">
        <f t="shared" si="33"/>
        <v>0</v>
      </c>
      <c r="BB132" s="121">
        <f t="shared" si="34"/>
        <v>0</v>
      </c>
      <c r="BC132" s="120" t="str">
        <f t="shared" si="45"/>
        <v/>
      </c>
    </row>
    <row r="133" spans="1:55" ht="14.25" customHeight="1" x14ac:dyDescent="0.3">
      <c r="A133" s="116" t="str">
        <f t="shared" si="0"/>
        <v>5 Ramos I.</v>
      </c>
      <c r="B133" s="119">
        <f t="shared" si="0"/>
        <v>0</v>
      </c>
      <c r="C133" s="119">
        <f t="shared" si="0"/>
        <v>3</v>
      </c>
      <c r="D133" s="119">
        <f t="shared" si="0"/>
        <v>0</v>
      </c>
      <c r="E133" s="119">
        <f t="shared" si="0"/>
        <v>3</v>
      </c>
      <c r="F133" s="119">
        <f t="shared" si="0"/>
        <v>11</v>
      </c>
      <c r="G133" s="120">
        <f t="shared" si="35"/>
        <v>-0.20454545454545456</v>
      </c>
      <c r="H133" s="121">
        <f t="shared" si="1"/>
        <v>0</v>
      </c>
      <c r="I133" s="121">
        <f t="shared" si="1"/>
        <v>0</v>
      </c>
      <c r="J133" s="121">
        <f t="shared" si="1"/>
        <v>0</v>
      </c>
      <c r="K133" s="121">
        <f t="shared" si="1"/>
        <v>0</v>
      </c>
      <c r="L133" s="121">
        <f t="shared" si="1"/>
        <v>0</v>
      </c>
      <c r="M133" s="120" t="str">
        <f t="shared" si="36"/>
        <v/>
      </c>
      <c r="N133" s="121">
        <f t="shared" si="2"/>
        <v>2</v>
      </c>
      <c r="O133" s="121">
        <f t="shared" si="3"/>
        <v>1</v>
      </c>
      <c r="P133" s="120">
        <f t="shared" si="37"/>
        <v>0.3</v>
      </c>
      <c r="Q133" s="121">
        <f t="shared" si="4"/>
        <v>6</v>
      </c>
      <c r="R133" s="121">
        <f t="shared" si="5"/>
        <v>0</v>
      </c>
      <c r="S133" s="121">
        <f t="shared" si="6"/>
        <v>10</v>
      </c>
      <c r="T133" s="120">
        <f t="shared" si="38"/>
        <v>0.2</v>
      </c>
      <c r="U133" s="121">
        <f t="shared" si="7"/>
        <v>0</v>
      </c>
      <c r="V133" s="121">
        <f t="shared" si="8"/>
        <v>0</v>
      </c>
      <c r="W133" s="121">
        <f t="shared" si="9"/>
        <v>0</v>
      </c>
      <c r="X133" s="121">
        <f t="shared" si="10"/>
        <v>0</v>
      </c>
      <c r="Y133" s="120" t="str">
        <f t="shared" si="39"/>
        <v/>
      </c>
      <c r="Z133" s="121">
        <f t="shared" si="11"/>
        <v>8</v>
      </c>
      <c r="AA133" s="121">
        <f t="shared" si="12"/>
        <v>2</v>
      </c>
      <c r="AB133" s="121">
        <f t="shared" si="13"/>
        <v>1</v>
      </c>
      <c r="AC133" s="121">
        <f t="shared" si="14"/>
        <v>14</v>
      </c>
      <c r="AD133" s="120">
        <f t="shared" si="40"/>
        <v>0.35714285714285715</v>
      </c>
      <c r="AE133" s="121">
        <f t="shared" si="15"/>
        <v>7</v>
      </c>
      <c r="AF133" s="121">
        <f t="shared" si="16"/>
        <v>0</v>
      </c>
      <c r="AG133" s="121">
        <f t="shared" si="17"/>
        <v>3</v>
      </c>
      <c r="AH133" s="121">
        <f t="shared" si="18"/>
        <v>18</v>
      </c>
      <c r="AI133" s="120">
        <f t="shared" si="41"/>
        <v>0.22222222222222221</v>
      </c>
      <c r="AJ133" s="121">
        <f t="shared" si="19"/>
        <v>3</v>
      </c>
      <c r="AK133" s="121">
        <f t="shared" si="20"/>
        <v>0</v>
      </c>
      <c r="AL133" s="121">
        <f t="shared" si="21"/>
        <v>1</v>
      </c>
      <c r="AM133" s="121">
        <f t="shared" si="22"/>
        <v>7</v>
      </c>
      <c r="AN133" s="120">
        <f t="shared" si="42"/>
        <v>0.2857142857142857</v>
      </c>
      <c r="AO133" s="121">
        <f t="shared" si="23"/>
        <v>2</v>
      </c>
      <c r="AP133" s="121">
        <f t="shared" si="24"/>
        <v>0</v>
      </c>
      <c r="AQ133" s="121">
        <f t="shared" si="25"/>
        <v>1</v>
      </c>
      <c r="AR133" s="121">
        <f t="shared" si="26"/>
        <v>6</v>
      </c>
      <c r="AS133" s="120">
        <f t="shared" si="43"/>
        <v>0.16666666666666666</v>
      </c>
      <c r="AT133" s="121">
        <f t="shared" si="27"/>
        <v>4</v>
      </c>
      <c r="AU133" s="121">
        <f t="shared" si="28"/>
        <v>1</v>
      </c>
      <c r="AV133" s="121">
        <f t="shared" si="29"/>
        <v>0</v>
      </c>
      <c r="AW133" s="121">
        <f t="shared" si="30"/>
        <v>9</v>
      </c>
      <c r="AX133" s="120">
        <f t="shared" si="44"/>
        <v>0.33333333333333331</v>
      </c>
      <c r="AY133" s="121">
        <f t="shared" si="31"/>
        <v>6</v>
      </c>
      <c r="AZ133" s="121">
        <f t="shared" si="32"/>
        <v>1</v>
      </c>
      <c r="BA133" s="121">
        <f t="shared" si="33"/>
        <v>2</v>
      </c>
      <c r="BB133" s="121">
        <f t="shared" si="34"/>
        <v>10</v>
      </c>
      <c r="BC133" s="120">
        <f t="shared" si="45"/>
        <v>0.3</v>
      </c>
    </row>
    <row r="134" spans="1:55" ht="14.25" customHeight="1" x14ac:dyDescent="0.3">
      <c r="A134" s="116" t="str">
        <f t="shared" si="0"/>
        <v>6 Villarruel J.</v>
      </c>
      <c r="B134" s="119">
        <f t="shared" si="0"/>
        <v>0</v>
      </c>
      <c r="C134" s="119">
        <f t="shared" si="0"/>
        <v>0</v>
      </c>
      <c r="D134" s="119">
        <f t="shared" si="0"/>
        <v>0</v>
      </c>
      <c r="E134" s="119">
        <f t="shared" si="0"/>
        <v>0</v>
      </c>
      <c r="F134" s="119">
        <f t="shared" si="0"/>
        <v>0</v>
      </c>
      <c r="G134" s="120" t="str">
        <f t="shared" si="35"/>
        <v/>
      </c>
      <c r="H134" s="121">
        <f t="shared" si="1"/>
        <v>0</v>
      </c>
      <c r="I134" s="121">
        <f t="shared" si="1"/>
        <v>0</v>
      </c>
      <c r="J134" s="121">
        <f t="shared" si="1"/>
        <v>0</v>
      </c>
      <c r="K134" s="121">
        <f t="shared" si="1"/>
        <v>0</v>
      </c>
      <c r="L134" s="121">
        <f t="shared" si="1"/>
        <v>0</v>
      </c>
      <c r="M134" s="120" t="str">
        <f t="shared" si="36"/>
        <v/>
      </c>
      <c r="N134" s="121">
        <f t="shared" si="2"/>
        <v>0</v>
      </c>
      <c r="O134" s="121">
        <f t="shared" si="3"/>
        <v>0</v>
      </c>
      <c r="P134" s="120" t="str">
        <f t="shared" si="37"/>
        <v/>
      </c>
      <c r="Q134" s="121">
        <f t="shared" si="4"/>
        <v>0</v>
      </c>
      <c r="R134" s="121">
        <f t="shared" si="5"/>
        <v>0</v>
      </c>
      <c r="S134" s="121">
        <f t="shared" si="6"/>
        <v>0</v>
      </c>
      <c r="T134" s="120" t="str">
        <f t="shared" si="38"/>
        <v/>
      </c>
      <c r="U134" s="121">
        <f t="shared" si="7"/>
        <v>0</v>
      </c>
      <c r="V134" s="121">
        <f t="shared" si="8"/>
        <v>0</v>
      </c>
      <c r="W134" s="121">
        <f t="shared" si="9"/>
        <v>0</v>
      </c>
      <c r="X134" s="121">
        <f t="shared" si="10"/>
        <v>0</v>
      </c>
      <c r="Y134" s="120" t="str">
        <f t="shared" si="39"/>
        <v/>
      </c>
      <c r="Z134" s="121">
        <f t="shared" si="11"/>
        <v>0</v>
      </c>
      <c r="AA134" s="121">
        <f t="shared" si="12"/>
        <v>0</v>
      </c>
      <c r="AB134" s="121">
        <f t="shared" si="13"/>
        <v>0</v>
      </c>
      <c r="AC134" s="121">
        <f t="shared" si="14"/>
        <v>0</v>
      </c>
      <c r="AD134" s="120" t="str">
        <f t="shared" si="40"/>
        <v/>
      </c>
      <c r="AE134" s="121">
        <f t="shared" si="15"/>
        <v>0</v>
      </c>
      <c r="AF134" s="121">
        <f t="shared" si="16"/>
        <v>0</v>
      </c>
      <c r="AG134" s="121">
        <f t="shared" si="17"/>
        <v>0</v>
      </c>
      <c r="AH134" s="121">
        <f t="shared" si="18"/>
        <v>0</v>
      </c>
      <c r="AI134" s="120" t="str">
        <f t="shared" si="41"/>
        <v/>
      </c>
      <c r="AJ134" s="121">
        <f t="shared" si="19"/>
        <v>0</v>
      </c>
      <c r="AK134" s="121">
        <f t="shared" si="20"/>
        <v>0</v>
      </c>
      <c r="AL134" s="121">
        <f t="shared" si="21"/>
        <v>0</v>
      </c>
      <c r="AM134" s="121">
        <f t="shared" si="22"/>
        <v>0</v>
      </c>
      <c r="AN134" s="120" t="str">
        <f t="shared" si="42"/>
        <v/>
      </c>
      <c r="AO134" s="121">
        <f t="shared" si="23"/>
        <v>0</v>
      </c>
      <c r="AP134" s="121">
        <f t="shared" si="24"/>
        <v>0</v>
      </c>
      <c r="AQ134" s="121">
        <f t="shared" si="25"/>
        <v>0</v>
      </c>
      <c r="AR134" s="121">
        <f t="shared" si="26"/>
        <v>0</v>
      </c>
      <c r="AS134" s="120" t="str">
        <f t="shared" si="43"/>
        <v/>
      </c>
      <c r="AT134" s="121">
        <f t="shared" si="27"/>
        <v>0</v>
      </c>
      <c r="AU134" s="121">
        <f t="shared" si="28"/>
        <v>0</v>
      </c>
      <c r="AV134" s="121">
        <f t="shared" si="29"/>
        <v>0</v>
      </c>
      <c r="AW134" s="121">
        <f t="shared" si="30"/>
        <v>0</v>
      </c>
      <c r="AX134" s="120" t="str">
        <f t="shared" si="44"/>
        <v/>
      </c>
      <c r="AY134" s="121">
        <f t="shared" si="31"/>
        <v>0</v>
      </c>
      <c r="AZ134" s="121">
        <f t="shared" si="32"/>
        <v>0</v>
      </c>
      <c r="BA134" s="121">
        <f t="shared" si="33"/>
        <v>0</v>
      </c>
      <c r="BB134" s="121">
        <f t="shared" si="34"/>
        <v>0</v>
      </c>
      <c r="BC134" s="120" t="str">
        <f t="shared" si="45"/>
        <v/>
      </c>
    </row>
    <row r="135" spans="1:55" ht="14.25" customHeight="1" x14ac:dyDescent="0.3">
      <c r="A135" s="116" t="str">
        <f t="shared" si="0"/>
        <v>9 Godoy M.</v>
      </c>
      <c r="B135" s="119">
        <f t="shared" si="0"/>
        <v>1</v>
      </c>
      <c r="C135" s="119">
        <f t="shared" si="0"/>
        <v>2</v>
      </c>
      <c r="D135" s="119">
        <f t="shared" si="0"/>
        <v>0</v>
      </c>
      <c r="E135" s="119">
        <f t="shared" si="0"/>
        <v>0</v>
      </c>
      <c r="F135" s="119">
        <f t="shared" si="0"/>
        <v>15</v>
      </c>
      <c r="G135" s="120">
        <f t="shared" si="35"/>
        <v>0.1</v>
      </c>
      <c r="H135" s="121">
        <f t="shared" si="1"/>
        <v>0</v>
      </c>
      <c r="I135" s="121">
        <f t="shared" si="1"/>
        <v>0</v>
      </c>
      <c r="J135" s="121">
        <f t="shared" si="1"/>
        <v>0</v>
      </c>
      <c r="K135" s="121">
        <f t="shared" si="1"/>
        <v>0</v>
      </c>
      <c r="L135" s="121">
        <f t="shared" si="1"/>
        <v>1</v>
      </c>
      <c r="M135" s="120">
        <f t="shared" si="36"/>
        <v>0</v>
      </c>
      <c r="N135" s="121">
        <f t="shared" si="2"/>
        <v>0</v>
      </c>
      <c r="O135" s="121">
        <f t="shared" si="3"/>
        <v>2</v>
      </c>
      <c r="P135" s="120">
        <f t="shared" si="37"/>
        <v>0.66666666666666663</v>
      </c>
      <c r="Q135" s="121">
        <f t="shared" si="4"/>
        <v>0</v>
      </c>
      <c r="R135" s="121">
        <f t="shared" si="5"/>
        <v>0</v>
      </c>
      <c r="S135" s="121">
        <f t="shared" si="6"/>
        <v>3</v>
      </c>
      <c r="T135" s="120">
        <f t="shared" si="38"/>
        <v>0</v>
      </c>
      <c r="U135" s="121">
        <f t="shared" si="7"/>
        <v>0</v>
      </c>
      <c r="V135" s="121">
        <f t="shared" si="8"/>
        <v>0</v>
      </c>
      <c r="W135" s="121">
        <f t="shared" si="9"/>
        <v>0</v>
      </c>
      <c r="X135" s="121">
        <f t="shared" si="10"/>
        <v>0</v>
      </c>
      <c r="Y135" s="120" t="str">
        <f t="shared" si="39"/>
        <v/>
      </c>
      <c r="Z135" s="121">
        <f t="shared" si="11"/>
        <v>0</v>
      </c>
      <c r="AA135" s="121">
        <f t="shared" si="12"/>
        <v>0</v>
      </c>
      <c r="AB135" s="121">
        <f t="shared" si="13"/>
        <v>0</v>
      </c>
      <c r="AC135" s="121">
        <f t="shared" si="14"/>
        <v>0</v>
      </c>
      <c r="AD135" s="120" t="str">
        <f t="shared" si="40"/>
        <v/>
      </c>
      <c r="AE135" s="121">
        <f t="shared" si="15"/>
        <v>0</v>
      </c>
      <c r="AF135" s="121">
        <f t="shared" si="16"/>
        <v>0</v>
      </c>
      <c r="AG135" s="121">
        <f t="shared" si="17"/>
        <v>0</v>
      </c>
      <c r="AH135" s="121">
        <f t="shared" si="18"/>
        <v>0</v>
      </c>
      <c r="AI135" s="120" t="str">
        <f t="shared" si="41"/>
        <v/>
      </c>
      <c r="AJ135" s="121">
        <f t="shared" si="19"/>
        <v>0</v>
      </c>
      <c r="AK135" s="121">
        <f t="shared" si="20"/>
        <v>0</v>
      </c>
      <c r="AL135" s="121">
        <f t="shared" si="21"/>
        <v>0</v>
      </c>
      <c r="AM135" s="121">
        <f t="shared" si="22"/>
        <v>0</v>
      </c>
      <c r="AN135" s="120" t="str">
        <f t="shared" si="42"/>
        <v/>
      </c>
      <c r="AO135" s="121">
        <f t="shared" si="23"/>
        <v>0</v>
      </c>
      <c r="AP135" s="121">
        <f t="shared" si="24"/>
        <v>0</v>
      </c>
      <c r="AQ135" s="121">
        <f t="shared" si="25"/>
        <v>0</v>
      </c>
      <c r="AR135" s="121">
        <f t="shared" si="26"/>
        <v>0</v>
      </c>
      <c r="AS135" s="120" t="str">
        <f t="shared" si="43"/>
        <v/>
      </c>
      <c r="AT135" s="121">
        <f t="shared" si="27"/>
        <v>0</v>
      </c>
      <c r="AU135" s="121">
        <f t="shared" si="28"/>
        <v>0</v>
      </c>
      <c r="AV135" s="121">
        <f t="shared" si="29"/>
        <v>0</v>
      </c>
      <c r="AW135" s="121">
        <f t="shared" si="30"/>
        <v>0</v>
      </c>
      <c r="AX135" s="120" t="str">
        <f t="shared" si="44"/>
        <v/>
      </c>
      <c r="AY135" s="121">
        <f t="shared" si="31"/>
        <v>0</v>
      </c>
      <c r="AZ135" s="121">
        <f t="shared" si="32"/>
        <v>0</v>
      </c>
      <c r="BA135" s="121">
        <f t="shared" si="33"/>
        <v>0</v>
      </c>
      <c r="BB135" s="121">
        <f t="shared" si="34"/>
        <v>0</v>
      </c>
      <c r="BC135" s="120" t="str">
        <f t="shared" si="45"/>
        <v/>
      </c>
    </row>
    <row r="136" spans="1:55" ht="14.25" customHeight="1" x14ac:dyDescent="0.3">
      <c r="A136" s="116" t="str">
        <f t="shared" si="0"/>
        <v>10 Viera M.</v>
      </c>
      <c r="B136" s="119">
        <f t="shared" si="0"/>
        <v>0</v>
      </c>
      <c r="C136" s="119">
        <f t="shared" si="0"/>
        <v>0</v>
      </c>
      <c r="D136" s="119">
        <f t="shared" si="0"/>
        <v>0</v>
      </c>
      <c r="E136" s="119">
        <f t="shared" si="0"/>
        <v>0</v>
      </c>
      <c r="F136" s="119">
        <f t="shared" si="0"/>
        <v>0</v>
      </c>
      <c r="G136" s="120" t="str">
        <f t="shared" si="35"/>
        <v/>
      </c>
      <c r="H136" s="121">
        <f t="shared" si="1"/>
        <v>0</v>
      </c>
      <c r="I136" s="121">
        <f t="shared" si="1"/>
        <v>0</v>
      </c>
      <c r="J136" s="121">
        <f t="shared" si="1"/>
        <v>0</v>
      </c>
      <c r="K136" s="121">
        <f t="shared" si="1"/>
        <v>0</v>
      </c>
      <c r="L136" s="121">
        <f t="shared" si="1"/>
        <v>0</v>
      </c>
      <c r="M136" s="120" t="str">
        <f t="shared" si="36"/>
        <v/>
      </c>
      <c r="N136" s="121">
        <f t="shared" si="2"/>
        <v>0</v>
      </c>
      <c r="O136" s="121">
        <f t="shared" si="3"/>
        <v>0</v>
      </c>
      <c r="P136" s="120" t="str">
        <f t="shared" si="37"/>
        <v/>
      </c>
      <c r="Q136" s="121">
        <f t="shared" si="4"/>
        <v>0</v>
      </c>
      <c r="R136" s="121">
        <f t="shared" si="5"/>
        <v>0</v>
      </c>
      <c r="S136" s="121">
        <f t="shared" si="6"/>
        <v>0</v>
      </c>
      <c r="T136" s="120" t="str">
        <f t="shared" si="38"/>
        <v/>
      </c>
      <c r="U136" s="121">
        <f t="shared" si="7"/>
        <v>0</v>
      </c>
      <c r="V136" s="121">
        <f t="shared" si="8"/>
        <v>0</v>
      </c>
      <c r="W136" s="121">
        <f t="shared" si="9"/>
        <v>0</v>
      </c>
      <c r="X136" s="121">
        <f t="shared" si="10"/>
        <v>0</v>
      </c>
      <c r="Y136" s="120" t="str">
        <f t="shared" si="39"/>
        <v/>
      </c>
      <c r="Z136" s="121">
        <f t="shared" si="11"/>
        <v>0</v>
      </c>
      <c r="AA136" s="121">
        <f t="shared" si="12"/>
        <v>0</v>
      </c>
      <c r="AB136" s="121">
        <f t="shared" si="13"/>
        <v>0</v>
      </c>
      <c r="AC136" s="121">
        <f t="shared" si="14"/>
        <v>0</v>
      </c>
      <c r="AD136" s="120" t="str">
        <f t="shared" si="40"/>
        <v/>
      </c>
      <c r="AE136" s="121">
        <f t="shared" si="15"/>
        <v>0</v>
      </c>
      <c r="AF136" s="121">
        <f t="shared" si="16"/>
        <v>0</v>
      </c>
      <c r="AG136" s="121">
        <f t="shared" si="17"/>
        <v>0</v>
      </c>
      <c r="AH136" s="121">
        <f t="shared" si="18"/>
        <v>0</v>
      </c>
      <c r="AI136" s="120" t="str">
        <f t="shared" si="41"/>
        <v/>
      </c>
      <c r="AJ136" s="121">
        <f t="shared" si="19"/>
        <v>0</v>
      </c>
      <c r="AK136" s="121">
        <f t="shared" si="20"/>
        <v>0</v>
      </c>
      <c r="AL136" s="121">
        <f t="shared" si="21"/>
        <v>0</v>
      </c>
      <c r="AM136" s="121">
        <f t="shared" si="22"/>
        <v>0</v>
      </c>
      <c r="AN136" s="120" t="str">
        <f t="shared" si="42"/>
        <v/>
      </c>
      <c r="AO136" s="121">
        <f t="shared" si="23"/>
        <v>0</v>
      </c>
      <c r="AP136" s="121">
        <f t="shared" si="24"/>
        <v>0</v>
      </c>
      <c r="AQ136" s="121">
        <f t="shared" si="25"/>
        <v>0</v>
      </c>
      <c r="AR136" s="121">
        <f t="shared" si="26"/>
        <v>0</v>
      </c>
      <c r="AS136" s="120" t="str">
        <f t="shared" si="43"/>
        <v/>
      </c>
      <c r="AT136" s="121">
        <f t="shared" si="27"/>
        <v>0</v>
      </c>
      <c r="AU136" s="121">
        <f t="shared" si="28"/>
        <v>0</v>
      </c>
      <c r="AV136" s="121">
        <f t="shared" si="29"/>
        <v>0</v>
      </c>
      <c r="AW136" s="121">
        <f t="shared" si="30"/>
        <v>0</v>
      </c>
      <c r="AX136" s="120" t="str">
        <f t="shared" si="44"/>
        <v/>
      </c>
      <c r="AY136" s="121">
        <f t="shared" si="31"/>
        <v>0</v>
      </c>
      <c r="AZ136" s="121">
        <f t="shared" si="32"/>
        <v>0</v>
      </c>
      <c r="BA136" s="121">
        <f t="shared" si="33"/>
        <v>0</v>
      </c>
      <c r="BB136" s="121">
        <f t="shared" si="34"/>
        <v>0</v>
      </c>
      <c r="BC136" s="120" t="str">
        <f t="shared" si="45"/>
        <v/>
      </c>
    </row>
    <row r="137" spans="1:55" ht="14.25" customHeight="1" x14ac:dyDescent="0.3">
      <c r="A137" s="116" t="str">
        <f t="shared" si="0"/>
        <v>11 Durdos V.</v>
      </c>
      <c r="B137" s="119">
        <f t="shared" si="0"/>
        <v>0</v>
      </c>
      <c r="C137" s="119">
        <f t="shared" si="0"/>
        <v>0</v>
      </c>
      <c r="D137" s="119">
        <f t="shared" si="0"/>
        <v>0</v>
      </c>
      <c r="E137" s="119">
        <f t="shared" si="0"/>
        <v>5</v>
      </c>
      <c r="F137" s="119">
        <f t="shared" si="0"/>
        <v>10</v>
      </c>
      <c r="G137" s="120">
        <f t="shared" si="35"/>
        <v>-0.5</v>
      </c>
      <c r="H137" s="121">
        <f t="shared" si="1"/>
        <v>2</v>
      </c>
      <c r="I137" s="121">
        <f t="shared" si="1"/>
        <v>7</v>
      </c>
      <c r="J137" s="121">
        <f t="shared" si="1"/>
        <v>1</v>
      </c>
      <c r="K137" s="121">
        <f t="shared" si="1"/>
        <v>1</v>
      </c>
      <c r="L137" s="121">
        <f t="shared" si="1"/>
        <v>15</v>
      </c>
      <c r="M137" s="120">
        <f t="shared" si="36"/>
        <v>0.26666666666666666</v>
      </c>
      <c r="N137" s="121">
        <f t="shared" si="2"/>
        <v>0</v>
      </c>
      <c r="O137" s="121">
        <f t="shared" si="3"/>
        <v>0</v>
      </c>
      <c r="P137" s="120">
        <f t="shared" si="37"/>
        <v>0</v>
      </c>
      <c r="Q137" s="121">
        <f t="shared" si="4"/>
        <v>2</v>
      </c>
      <c r="R137" s="121">
        <f t="shared" si="5"/>
        <v>0</v>
      </c>
      <c r="S137" s="121">
        <f t="shared" si="6"/>
        <v>2</v>
      </c>
      <c r="T137" s="120">
        <f t="shared" si="38"/>
        <v>0</v>
      </c>
      <c r="U137" s="121">
        <f t="shared" si="7"/>
        <v>0</v>
      </c>
      <c r="V137" s="121">
        <f t="shared" si="8"/>
        <v>0</v>
      </c>
      <c r="W137" s="121">
        <f t="shared" si="9"/>
        <v>0</v>
      </c>
      <c r="X137" s="121">
        <f t="shared" si="10"/>
        <v>0</v>
      </c>
      <c r="Y137" s="120" t="str">
        <f t="shared" si="39"/>
        <v/>
      </c>
      <c r="Z137" s="121">
        <f t="shared" si="11"/>
        <v>1</v>
      </c>
      <c r="AA137" s="121">
        <f t="shared" si="12"/>
        <v>0</v>
      </c>
      <c r="AB137" s="121">
        <f t="shared" si="13"/>
        <v>0</v>
      </c>
      <c r="AC137" s="121">
        <f t="shared" si="14"/>
        <v>1</v>
      </c>
      <c r="AD137" s="120">
        <f t="shared" si="40"/>
        <v>1</v>
      </c>
      <c r="AE137" s="121">
        <f t="shared" si="15"/>
        <v>5</v>
      </c>
      <c r="AF137" s="121">
        <f t="shared" si="16"/>
        <v>1</v>
      </c>
      <c r="AG137" s="121">
        <f t="shared" si="17"/>
        <v>1</v>
      </c>
      <c r="AH137" s="121">
        <f t="shared" si="18"/>
        <v>8</v>
      </c>
      <c r="AI137" s="120">
        <f t="shared" si="41"/>
        <v>0.375</v>
      </c>
      <c r="AJ137" s="121">
        <f t="shared" si="19"/>
        <v>5</v>
      </c>
      <c r="AK137" s="121">
        <f t="shared" si="20"/>
        <v>1</v>
      </c>
      <c r="AL137" s="121">
        <f t="shared" si="21"/>
        <v>1</v>
      </c>
      <c r="AM137" s="121">
        <f t="shared" si="22"/>
        <v>9</v>
      </c>
      <c r="AN137" s="120">
        <f t="shared" si="42"/>
        <v>0.33333333333333331</v>
      </c>
      <c r="AO137" s="121">
        <f t="shared" si="23"/>
        <v>1</v>
      </c>
      <c r="AP137" s="121">
        <f t="shared" si="24"/>
        <v>0</v>
      </c>
      <c r="AQ137" s="121">
        <f t="shared" si="25"/>
        <v>0</v>
      </c>
      <c r="AR137" s="121">
        <f t="shared" si="26"/>
        <v>2</v>
      </c>
      <c r="AS137" s="120">
        <f t="shared" si="43"/>
        <v>0.5</v>
      </c>
      <c r="AT137" s="121">
        <f t="shared" si="27"/>
        <v>0</v>
      </c>
      <c r="AU137" s="121">
        <f t="shared" si="28"/>
        <v>0</v>
      </c>
      <c r="AV137" s="121">
        <f t="shared" si="29"/>
        <v>0</v>
      </c>
      <c r="AW137" s="121">
        <f t="shared" si="30"/>
        <v>0</v>
      </c>
      <c r="AX137" s="120" t="str">
        <f t="shared" si="44"/>
        <v/>
      </c>
      <c r="AY137" s="121">
        <f t="shared" si="31"/>
        <v>3</v>
      </c>
      <c r="AZ137" s="121">
        <f t="shared" si="32"/>
        <v>0</v>
      </c>
      <c r="BA137" s="121">
        <f t="shared" si="33"/>
        <v>0</v>
      </c>
      <c r="BB137" s="121">
        <f t="shared" si="34"/>
        <v>3</v>
      </c>
      <c r="BC137" s="120">
        <f t="shared" si="45"/>
        <v>1</v>
      </c>
    </row>
    <row r="138" spans="1:55" ht="14.25" customHeight="1" x14ac:dyDescent="0.3">
      <c r="A138" s="116" t="str">
        <f t="shared" ref="A138:F144" si="46">A157</f>
        <v>12 Zanotti J.</v>
      </c>
      <c r="B138" s="119">
        <f t="shared" si="46"/>
        <v>0</v>
      </c>
      <c r="C138" s="119">
        <f t="shared" si="46"/>
        <v>0</v>
      </c>
      <c r="D138" s="119">
        <f t="shared" si="46"/>
        <v>0</v>
      </c>
      <c r="E138" s="119">
        <f t="shared" si="46"/>
        <v>0</v>
      </c>
      <c r="F138" s="119">
        <f t="shared" si="46"/>
        <v>0</v>
      </c>
      <c r="G138" s="120" t="str">
        <f t="shared" si="35"/>
        <v/>
      </c>
      <c r="H138" s="121">
        <f t="shared" ref="H138:L144" si="47">G157</f>
        <v>0</v>
      </c>
      <c r="I138" s="121">
        <f t="shared" si="47"/>
        <v>0</v>
      </c>
      <c r="J138" s="121">
        <f t="shared" si="47"/>
        <v>0</v>
      </c>
      <c r="K138" s="121">
        <f t="shared" si="47"/>
        <v>0</v>
      </c>
      <c r="L138" s="121">
        <f t="shared" si="47"/>
        <v>0</v>
      </c>
      <c r="M138" s="120" t="str">
        <f t="shared" si="36"/>
        <v/>
      </c>
      <c r="N138" s="121">
        <f t="shared" si="2"/>
        <v>0</v>
      </c>
      <c r="O138" s="121">
        <f t="shared" si="3"/>
        <v>0</v>
      </c>
      <c r="P138" s="120" t="str">
        <f t="shared" si="37"/>
        <v/>
      </c>
      <c r="Q138" s="121">
        <f t="shared" si="4"/>
        <v>0</v>
      </c>
      <c r="R138" s="121">
        <f t="shared" si="5"/>
        <v>0</v>
      </c>
      <c r="S138" s="121">
        <f t="shared" si="6"/>
        <v>0</v>
      </c>
      <c r="T138" s="120" t="str">
        <f t="shared" si="38"/>
        <v/>
      </c>
      <c r="U138" s="121">
        <f t="shared" si="7"/>
        <v>0</v>
      </c>
      <c r="V138" s="121">
        <f t="shared" si="8"/>
        <v>0</v>
      </c>
      <c r="W138" s="121">
        <f t="shared" si="9"/>
        <v>0</v>
      </c>
      <c r="X138" s="121">
        <f t="shared" si="10"/>
        <v>0</v>
      </c>
      <c r="Y138" s="120" t="str">
        <f t="shared" si="39"/>
        <v/>
      </c>
      <c r="Z138" s="121">
        <f t="shared" si="11"/>
        <v>0</v>
      </c>
      <c r="AA138" s="121">
        <f t="shared" si="12"/>
        <v>0</v>
      </c>
      <c r="AB138" s="121">
        <f t="shared" si="13"/>
        <v>0</v>
      </c>
      <c r="AC138" s="121">
        <f t="shared" si="14"/>
        <v>0</v>
      </c>
      <c r="AD138" s="120" t="str">
        <f t="shared" si="40"/>
        <v/>
      </c>
      <c r="AE138" s="121">
        <f t="shared" si="15"/>
        <v>0</v>
      </c>
      <c r="AF138" s="121">
        <f t="shared" si="16"/>
        <v>0</v>
      </c>
      <c r="AG138" s="121">
        <f t="shared" si="17"/>
        <v>0</v>
      </c>
      <c r="AH138" s="121">
        <f t="shared" si="18"/>
        <v>0</v>
      </c>
      <c r="AI138" s="120" t="str">
        <f t="shared" si="41"/>
        <v/>
      </c>
      <c r="AJ138" s="121">
        <f t="shared" si="19"/>
        <v>0</v>
      </c>
      <c r="AK138" s="121">
        <f t="shared" si="20"/>
        <v>0</v>
      </c>
      <c r="AL138" s="121">
        <f t="shared" si="21"/>
        <v>0</v>
      </c>
      <c r="AM138" s="121">
        <f t="shared" si="22"/>
        <v>0</v>
      </c>
      <c r="AN138" s="120" t="str">
        <f t="shared" si="42"/>
        <v/>
      </c>
      <c r="AO138" s="121">
        <f t="shared" si="23"/>
        <v>0</v>
      </c>
      <c r="AP138" s="121">
        <f t="shared" si="24"/>
        <v>0</v>
      </c>
      <c r="AQ138" s="121">
        <f t="shared" si="25"/>
        <v>0</v>
      </c>
      <c r="AR138" s="121">
        <f t="shared" si="26"/>
        <v>0</v>
      </c>
      <c r="AS138" s="120" t="str">
        <f t="shared" si="43"/>
        <v/>
      </c>
      <c r="AT138" s="121">
        <f t="shared" si="27"/>
        <v>0</v>
      </c>
      <c r="AU138" s="121">
        <f t="shared" si="28"/>
        <v>0</v>
      </c>
      <c r="AV138" s="121">
        <f t="shared" si="29"/>
        <v>0</v>
      </c>
      <c r="AW138" s="121">
        <f t="shared" si="30"/>
        <v>0</v>
      </c>
      <c r="AX138" s="120" t="str">
        <f t="shared" si="44"/>
        <v/>
      </c>
      <c r="AY138" s="121">
        <f t="shared" si="31"/>
        <v>0</v>
      </c>
      <c r="AZ138" s="121">
        <f t="shared" si="32"/>
        <v>0</v>
      </c>
      <c r="BA138" s="121">
        <f t="shared" si="33"/>
        <v>0</v>
      </c>
      <c r="BB138" s="121">
        <f t="shared" si="34"/>
        <v>0</v>
      </c>
      <c r="BC138" s="120" t="str">
        <f t="shared" si="45"/>
        <v/>
      </c>
    </row>
    <row r="139" spans="1:55" ht="14.25" customHeight="1" x14ac:dyDescent="0.3">
      <c r="A139" s="116" t="str">
        <f t="shared" si="46"/>
        <v>13 Rojas Caruso M.</v>
      </c>
      <c r="B139" s="119">
        <f t="shared" si="46"/>
        <v>0</v>
      </c>
      <c r="C139" s="119">
        <f t="shared" si="46"/>
        <v>0</v>
      </c>
      <c r="D139" s="119">
        <f t="shared" si="46"/>
        <v>0</v>
      </c>
      <c r="E139" s="119">
        <f t="shared" si="46"/>
        <v>0</v>
      </c>
      <c r="F139" s="119">
        <f t="shared" si="46"/>
        <v>1</v>
      </c>
      <c r="G139" s="120">
        <f t="shared" si="35"/>
        <v>0</v>
      </c>
      <c r="H139" s="121">
        <f t="shared" si="47"/>
        <v>0</v>
      </c>
      <c r="I139" s="121">
        <f t="shared" si="47"/>
        <v>1</v>
      </c>
      <c r="J139" s="121">
        <f t="shared" si="47"/>
        <v>0</v>
      </c>
      <c r="K139" s="121">
        <f t="shared" si="47"/>
        <v>0</v>
      </c>
      <c r="L139" s="121">
        <f t="shared" si="47"/>
        <v>2</v>
      </c>
      <c r="M139" s="120">
        <f t="shared" si="36"/>
        <v>0.25</v>
      </c>
      <c r="N139" s="121">
        <f t="shared" si="2"/>
        <v>0</v>
      </c>
      <c r="O139" s="121">
        <f t="shared" si="3"/>
        <v>0</v>
      </c>
      <c r="P139" s="120" t="str">
        <f t="shared" si="37"/>
        <v/>
      </c>
      <c r="Q139" s="121">
        <f t="shared" si="4"/>
        <v>0</v>
      </c>
      <c r="R139" s="121">
        <f t="shared" si="5"/>
        <v>0</v>
      </c>
      <c r="S139" s="121">
        <f t="shared" si="6"/>
        <v>0</v>
      </c>
      <c r="T139" s="120" t="str">
        <f t="shared" si="38"/>
        <v/>
      </c>
      <c r="U139" s="121">
        <f t="shared" si="7"/>
        <v>0</v>
      </c>
      <c r="V139" s="121">
        <f t="shared" si="8"/>
        <v>0</v>
      </c>
      <c r="W139" s="121">
        <f t="shared" si="9"/>
        <v>0</v>
      </c>
      <c r="X139" s="121">
        <f t="shared" si="10"/>
        <v>0</v>
      </c>
      <c r="Y139" s="120" t="str">
        <f t="shared" si="39"/>
        <v/>
      </c>
      <c r="Z139" s="121">
        <f t="shared" si="11"/>
        <v>0</v>
      </c>
      <c r="AA139" s="121">
        <f t="shared" si="12"/>
        <v>0</v>
      </c>
      <c r="AB139" s="121">
        <f t="shared" si="13"/>
        <v>0</v>
      </c>
      <c r="AC139" s="121">
        <f t="shared" si="14"/>
        <v>0</v>
      </c>
      <c r="AD139" s="120" t="str">
        <f t="shared" si="40"/>
        <v/>
      </c>
      <c r="AE139" s="121">
        <f t="shared" si="15"/>
        <v>0</v>
      </c>
      <c r="AF139" s="121">
        <f t="shared" si="16"/>
        <v>0</v>
      </c>
      <c r="AG139" s="121">
        <f t="shared" si="17"/>
        <v>0</v>
      </c>
      <c r="AH139" s="121">
        <f t="shared" si="18"/>
        <v>0</v>
      </c>
      <c r="AI139" s="120" t="str">
        <f t="shared" si="41"/>
        <v/>
      </c>
      <c r="AJ139" s="121">
        <f t="shared" si="19"/>
        <v>0</v>
      </c>
      <c r="AK139" s="121">
        <f t="shared" si="20"/>
        <v>0</v>
      </c>
      <c r="AL139" s="121">
        <f t="shared" si="21"/>
        <v>0</v>
      </c>
      <c r="AM139" s="121">
        <f t="shared" si="22"/>
        <v>0</v>
      </c>
      <c r="AN139" s="120" t="str">
        <f t="shared" si="42"/>
        <v/>
      </c>
      <c r="AO139" s="121">
        <f t="shared" si="23"/>
        <v>0</v>
      </c>
      <c r="AP139" s="121">
        <f t="shared" si="24"/>
        <v>0</v>
      </c>
      <c r="AQ139" s="121">
        <f t="shared" si="25"/>
        <v>0</v>
      </c>
      <c r="AR139" s="121">
        <f t="shared" si="26"/>
        <v>0</v>
      </c>
      <c r="AS139" s="120" t="str">
        <f t="shared" si="43"/>
        <v/>
      </c>
      <c r="AT139" s="121">
        <f t="shared" si="27"/>
        <v>0</v>
      </c>
      <c r="AU139" s="121">
        <f t="shared" si="28"/>
        <v>0</v>
      </c>
      <c r="AV139" s="121">
        <f t="shared" si="29"/>
        <v>0</v>
      </c>
      <c r="AW139" s="121">
        <f t="shared" si="30"/>
        <v>0</v>
      </c>
      <c r="AX139" s="120" t="str">
        <f t="shared" si="44"/>
        <v/>
      </c>
      <c r="AY139" s="121">
        <f t="shared" si="31"/>
        <v>0</v>
      </c>
      <c r="AZ139" s="121">
        <f t="shared" si="32"/>
        <v>0</v>
      </c>
      <c r="BA139" s="121">
        <f t="shared" si="33"/>
        <v>0</v>
      </c>
      <c r="BB139" s="121">
        <f t="shared" si="34"/>
        <v>0</v>
      </c>
      <c r="BC139" s="120" t="str">
        <f t="shared" si="45"/>
        <v/>
      </c>
    </row>
    <row r="140" spans="1:55" ht="14.25" customHeight="1" x14ac:dyDescent="0.3">
      <c r="A140" s="116" t="str">
        <f t="shared" si="46"/>
        <v>14 Nielson R.</v>
      </c>
      <c r="B140" s="119">
        <f t="shared" si="46"/>
        <v>0</v>
      </c>
      <c r="C140" s="119">
        <f t="shared" si="46"/>
        <v>0</v>
      </c>
      <c r="D140" s="119">
        <f t="shared" si="46"/>
        <v>0</v>
      </c>
      <c r="E140" s="119">
        <f t="shared" si="46"/>
        <v>4</v>
      </c>
      <c r="F140" s="119">
        <f t="shared" si="46"/>
        <v>10</v>
      </c>
      <c r="G140" s="120">
        <f t="shared" si="35"/>
        <v>-0.4</v>
      </c>
      <c r="H140" s="121">
        <f t="shared" si="47"/>
        <v>2</v>
      </c>
      <c r="I140" s="121">
        <f t="shared" si="47"/>
        <v>6</v>
      </c>
      <c r="J140" s="121">
        <f t="shared" si="47"/>
        <v>0</v>
      </c>
      <c r="K140" s="121">
        <f t="shared" si="47"/>
        <v>0</v>
      </c>
      <c r="L140" s="121">
        <f t="shared" si="47"/>
        <v>11</v>
      </c>
      <c r="M140" s="120">
        <f t="shared" si="36"/>
        <v>0.45454545454545453</v>
      </c>
      <c r="N140" s="121">
        <f t="shared" si="2"/>
        <v>0</v>
      </c>
      <c r="O140" s="121">
        <f t="shared" si="3"/>
        <v>2</v>
      </c>
      <c r="P140" s="120">
        <f t="shared" si="37"/>
        <v>0.33333333333333331</v>
      </c>
      <c r="Q140" s="121">
        <f t="shared" si="4"/>
        <v>2</v>
      </c>
      <c r="R140" s="121">
        <f t="shared" si="5"/>
        <v>0</v>
      </c>
      <c r="S140" s="121">
        <f t="shared" si="6"/>
        <v>6</v>
      </c>
      <c r="T140" s="120">
        <f t="shared" si="38"/>
        <v>0</v>
      </c>
      <c r="U140" s="121">
        <f t="shared" si="7"/>
        <v>0</v>
      </c>
      <c r="V140" s="121">
        <f t="shared" si="8"/>
        <v>0</v>
      </c>
      <c r="W140" s="121">
        <f t="shared" si="9"/>
        <v>0</v>
      </c>
      <c r="X140" s="121">
        <f t="shared" si="10"/>
        <v>0</v>
      </c>
      <c r="Y140" s="120" t="str">
        <f t="shared" si="39"/>
        <v/>
      </c>
      <c r="Z140" s="121">
        <f t="shared" si="11"/>
        <v>4</v>
      </c>
      <c r="AA140" s="121">
        <f t="shared" si="12"/>
        <v>0</v>
      </c>
      <c r="AB140" s="121">
        <f t="shared" si="13"/>
        <v>0</v>
      </c>
      <c r="AC140" s="121">
        <f t="shared" si="14"/>
        <v>13</v>
      </c>
      <c r="AD140" s="120">
        <f t="shared" si="40"/>
        <v>0.30769230769230771</v>
      </c>
      <c r="AE140" s="121">
        <f t="shared" si="15"/>
        <v>3</v>
      </c>
      <c r="AF140" s="121">
        <f t="shared" si="16"/>
        <v>3</v>
      </c>
      <c r="AG140" s="121">
        <f t="shared" si="17"/>
        <v>0</v>
      </c>
      <c r="AH140" s="121">
        <f t="shared" si="18"/>
        <v>13</v>
      </c>
      <c r="AI140" s="120">
        <f t="shared" si="41"/>
        <v>0</v>
      </c>
      <c r="AJ140" s="121">
        <f t="shared" si="19"/>
        <v>1</v>
      </c>
      <c r="AK140" s="121">
        <f t="shared" si="20"/>
        <v>2</v>
      </c>
      <c r="AL140" s="121">
        <f t="shared" si="21"/>
        <v>0</v>
      </c>
      <c r="AM140" s="121">
        <f t="shared" si="22"/>
        <v>3</v>
      </c>
      <c r="AN140" s="120">
        <f t="shared" si="42"/>
        <v>-0.33333333333333331</v>
      </c>
      <c r="AO140" s="121">
        <f t="shared" si="23"/>
        <v>0</v>
      </c>
      <c r="AP140" s="121">
        <f t="shared" si="24"/>
        <v>1</v>
      </c>
      <c r="AQ140" s="121">
        <f t="shared" si="25"/>
        <v>0</v>
      </c>
      <c r="AR140" s="121">
        <f t="shared" si="26"/>
        <v>5</v>
      </c>
      <c r="AS140" s="120">
        <f t="shared" si="43"/>
        <v>-0.2</v>
      </c>
      <c r="AT140" s="121">
        <f t="shared" si="27"/>
        <v>2</v>
      </c>
      <c r="AU140" s="121">
        <f t="shared" si="28"/>
        <v>0</v>
      </c>
      <c r="AV140" s="121">
        <f t="shared" si="29"/>
        <v>0</v>
      </c>
      <c r="AW140" s="121">
        <f t="shared" si="30"/>
        <v>5</v>
      </c>
      <c r="AX140" s="120">
        <f t="shared" si="44"/>
        <v>0.4</v>
      </c>
      <c r="AY140" s="121">
        <f t="shared" si="31"/>
        <v>4</v>
      </c>
      <c r="AZ140" s="121">
        <f t="shared" si="32"/>
        <v>0</v>
      </c>
      <c r="BA140" s="121">
        <f t="shared" si="33"/>
        <v>0</v>
      </c>
      <c r="BB140" s="121">
        <f t="shared" si="34"/>
        <v>13</v>
      </c>
      <c r="BC140" s="120">
        <f t="shared" si="45"/>
        <v>0.30769230769230771</v>
      </c>
    </row>
    <row r="141" spans="1:55" ht="14.25" customHeight="1" x14ac:dyDescent="0.3">
      <c r="A141" s="116" t="str">
        <f t="shared" si="46"/>
        <v>15 Rotezzi R.</v>
      </c>
      <c r="B141" s="119">
        <f t="shared" si="46"/>
        <v>0</v>
      </c>
      <c r="C141" s="119">
        <f t="shared" si="46"/>
        <v>0</v>
      </c>
      <c r="D141" s="119">
        <f t="shared" si="46"/>
        <v>0</v>
      </c>
      <c r="E141" s="119">
        <f t="shared" si="46"/>
        <v>0</v>
      </c>
      <c r="F141" s="119">
        <f t="shared" si="46"/>
        <v>0</v>
      </c>
      <c r="G141" s="120" t="str">
        <f t="shared" si="35"/>
        <v/>
      </c>
      <c r="H141" s="121">
        <f t="shared" si="47"/>
        <v>0</v>
      </c>
      <c r="I141" s="121">
        <f t="shared" si="47"/>
        <v>0</v>
      </c>
      <c r="J141" s="121">
        <f t="shared" si="47"/>
        <v>0</v>
      </c>
      <c r="K141" s="121">
        <f t="shared" si="47"/>
        <v>0</v>
      </c>
      <c r="L141" s="121">
        <f t="shared" si="47"/>
        <v>0</v>
      </c>
      <c r="M141" s="120" t="str">
        <f t="shared" si="36"/>
        <v/>
      </c>
      <c r="N141" s="121">
        <f t="shared" si="2"/>
        <v>0</v>
      </c>
      <c r="O141" s="121">
        <f t="shared" si="3"/>
        <v>0</v>
      </c>
      <c r="P141" s="120" t="str">
        <f t="shared" si="37"/>
        <v/>
      </c>
      <c r="Q141" s="121">
        <f t="shared" si="4"/>
        <v>0</v>
      </c>
      <c r="R141" s="121">
        <f t="shared" si="5"/>
        <v>0</v>
      </c>
      <c r="S141" s="121">
        <f t="shared" si="6"/>
        <v>0</v>
      </c>
      <c r="T141" s="120" t="str">
        <f t="shared" si="38"/>
        <v/>
      </c>
      <c r="U141" s="121">
        <f t="shared" si="7"/>
        <v>0</v>
      </c>
      <c r="V141" s="121">
        <f t="shared" si="8"/>
        <v>0</v>
      </c>
      <c r="W141" s="121">
        <f t="shared" si="9"/>
        <v>0</v>
      </c>
      <c r="X141" s="121">
        <f t="shared" si="10"/>
        <v>0</v>
      </c>
      <c r="Y141" s="120" t="str">
        <f t="shared" si="39"/>
        <v/>
      </c>
      <c r="Z141" s="121">
        <f t="shared" si="11"/>
        <v>0</v>
      </c>
      <c r="AA141" s="121">
        <f t="shared" si="12"/>
        <v>0</v>
      </c>
      <c r="AB141" s="121">
        <f t="shared" si="13"/>
        <v>0</v>
      </c>
      <c r="AC141" s="121">
        <f t="shared" si="14"/>
        <v>0</v>
      </c>
      <c r="AD141" s="120" t="str">
        <f t="shared" si="40"/>
        <v/>
      </c>
      <c r="AE141" s="121">
        <f t="shared" si="15"/>
        <v>0</v>
      </c>
      <c r="AF141" s="121">
        <f t="shared" si="16"/>
        <v>0</v>
      </c>
      <c r="AG141" s="121">
        <f t="shared" si="17"/>
        <v>0</v>
      </c>
      <c r="AH141" s="121">
        <f t="shared" si="18"/>
        <v>0</v>
      </c>
      <c r="AI141" s="120" t="str">
        <f t="shared" si="41"/>
        <v/>
      </c>
      <c r="AJ141" s="121">
        <f t="shared" si="19"/>
        <v>0</v>
      </c>
      <c r="AK141" s="121">
        <f t="shared" si="20"/>
        <v>0</v>
      </c>
      <c r="AL141" s="121">
        <f t="shared" si="21"/>
        <v>0</v>
      </c>
      <c r="AM141" s="121">
        <f t="shared" si="22"/>
        <v>0</v>
      </c>
      <c r="AN141" s="120" t="str">
        <f t="shared" si="42"/>
        <v/>
      </c>
      <c r="AO141" s="121">
        <f t="shared" si="23"/>
        <v>0</v>
      </c>
      <c r="AP141" s="121">
        <f t="shared" si="24"/>
        <v>0</v>
      </c>
      <c r="AQ141" s="121">
        <f t="shared" si="25"/>
        <v>0</v>
      </c>
      <c r="AR141" s="121">
        <f t="shared" si="26"/>
        <v>0</v>
      </c>
      <c r="AS141" s="120" t="str">
        <f t="shared" si="43"/>
        <v/>
      </c>
      <c r="AT141" s="121">
        <f t="shared" si="27"/>
        <v>0</v>
      </c>
      <c r="AU141" s="121">
        <f t="shared" si="28"/>
        <v>0</v>
      </c>
      <c r="AV141" s="121">
        <f t="shared" si="29"/>
        <v>0</v>
      </c>
      <c r="AW141" s="121">
        <f t="shared" si="30"/>
        <v>0</v>
      </c>
      <c r="AX141" s="120" t="str">
        <f t="shared" si="44"/>
        <v/>
      </c>
      <c r="AY141" s="121">
        <f t="shared" si="31"/>
        <v>0</v>
      </c>
      <c r="AZ141" s="121">
        <f t="shared" si="32"/>
        <v>0</v>
      </c>
      <c r="BA141" s="121">
        <f t="shared" si="33"/>
        <v>0</v>
      </c>
      <c r="BB141" s="121">
        <f t="shared" si="34"/>
        <v>0</v>
      </c>
      <c r="BC141" s="120" t="str">
        <f t="shared" si="45"/>
        <v/>
      </c>
    </row>
    <row r="142" spans="1:55" ht="14.25" customHeight="1" x14ac:dyDescent="0.3">
      <c r="A142" s="116" t="str">
        <f t="shared" si="46"/>
        <v>17 Herbsommer L.</v>
      </c>
      <c r="B142" s="119">
        <f t="shared" si="46"/>
        <v>0</v>
      </c>
      <c r="C142" s="119">
        <f t="shared" si="46"/>
        <v>1</v>
      </c>
      <c r="D142" s="119">
        <f t="shared" si="46"/>
        <v>0</v>
      </c>
      <c r="E142" s="119">
        <f t="shared" si="46"/>
        <v>1</v>
      </c>
      <c r="F142" s="119">
        <f t="shared" si="46"/>
        <v>7</v>
      </c>
      <c r="G142" s="120">
        <f t="shared" si="35"/>
        <v>-0.10714285714285714</v>
      </c>
      <c r="H142" s="121">
        <f t="shared" si="47"/>
        <v>0</v>
      </c>
      <c r="I142" s="121">
        <f t="shared" si="47"/>
        <v>0</v>
      </c>
      <c r="J142" s="121">
        <f t="shared" si="47"/>
        <v>0</v>
      </c>
      <c r="K142" s="121">
        <f t="shared" si="47"/>
        <v>0</v>
      </c>
      <c r="L142" s="121">
        <f t="shared" si="47"/>
        <v>0</v>
      </c>
      <c r="M142" s="120" t="str">
        <f t="shared" si="36"/>
        <v/>
      </c>
      <c r="N142" s="121">
        <f t="shared" si="2"/>
        <v>0</v>
      </c>
      <c r="O142" s="121">
        <f t="shared" si="3"/>
        <v>0</v>
      </c>
      <c r="P142" s="120">
        <f t="shared" si="37"/>
        <v>0</v>
      </c>
      <c r="Q142" s="121">
        <f t="shared" si="4"/>
        <v>3</v>
      </c>
      <c r="R142" s="121">
        <f t="shared" si="5"/>
        <v>0</v>
      </c>
      <c r="S142" s="121">
        <f t="shared" si="6"/>
        <v>4</v>
      </c>
      <c r="T142" s="120">
        <f t="shared" si="38"/>
        <v>0</v>
      </c>
      <c r="U142" s="121">
        <f t="shared" si="7"/>
        <v>1</v>
      </c>
      <c r="V142" s="121">
        <f t="shared" si="8"/>
        <v>0</v>
      </c>
      <c r="W142" s="121">
        <f t="shared" si="9"/>
        <v>0</v>
      </c>
      <c r="X142" s="121">
        <f t="shared" si="10"/>
        <v>2</v>
      </c>
      <c r="Y142" s="120">
        <f t="shared" si="39"/>
        <v>0.5</v>
      </c>
      <c r="Z142" s="121">
        <f t="shared" si="11"/>
        <v>0</v>
      </c>
      <c r="AA142" s="121">
        <f t="shared" si="12"/>
        <v>0</v>
      </c>
      <c r="AB142" s="121">
        <f t="shared" si="13"/>
        <v>0</v>
      </c>
      <c r="AC142" s="121">
        <f t="shared" si="14"/>
        <v>0</v>
      </c>
      <c r="AD142" s="120" t="str">
        <f t="shared" si="40"/>
        <v/>
      </c>
      <c r="AE142" s="121">
        <f t="shared" si="15"/>
        <v>0</v>
      </c>
      <c r="AF142" s="121">
        <f t="shared" si="16"/>
        <v>0</v>
      </c>
      <c r="AG142" s="121">
        <f t="shared" si="17"/>
        <v>0</v>
      </c>
      <c r="AH142" s="121">
        <f t="shared" si="18"/>
        <v>0</v>
      </c>
      <c r="AI142" s="120" t="str">
        <f t="shared" si="41"/>
        <v/>
      </c>
      <c r="AJ142" s="121">
        <f t="shared" si="19"/>
        <v>1</v>
      </c>
      <c r="AK142" s="121">
        <f t="shared" si="20"/>
        <v>0</v>
      </c>
      <c r="AL142" s="121">
        <f t="shared" si="21"/>
        <v>0</v>
      </c>
      <c r="AM142" s="121">
        <f t="shared" si="22"/>
        <v>2</v>
      </c>
      <c r="AN142" s="120">
        <f t="shared" si="42"/>
        <v>0.5</v>
      </c>
      <c r="AO142" s="121">
        <f t="shared" si="23"/>
        <v>0</v>
      </c>
      <c r="AP142" s="121">
        <f t="shared" si="24"/>
        <v>0</v>
      </c>
      <c r="AQ142" s="121">
        <f t="shared" si="25"/>
        <v>0</v>
      </c>
      <c r="AR142" s="121">
        <f t="shared" si="26"/>
        <v>0</v>
      </c>
      <c r="AS142" s="120" t="str">
        <f t="shared" si="43"/>
        <v/>
      </c>
      <c r="AT142" s="121">
        <f t="shared" si="27"/>
        <v>0</v>
      </c>
      <c r="AU142" s="121">
        <f t="shared" si="28"/>
        <v>0</v>
      </c>
      <c r="AV142" s="121">
        <f t="shared" si="29"/>
        <v>0</v>
      </c>
      <c r="AW142" s="121">
        <f t="shared" si="30"/>
        <v>0</v>
      </c>
      <c r="AX142" s="120" t="str">
        <f t="shared" si="44"/>
        <v/>
      </c>
      <c r="AY142" s="121">
        <f t="shared" si="31"/>
        <v>0</v>
      </c>
      <c r="AZ142" s="121">
        <f t="shared" si="32"/>
        <v>0</v>
      </c>
      <c r="BA142" s="121">
        <f t="shared" si="33"/>
        <v>0</v>
      </c>
      <c r="BB142" s="121">
        <f t="shared" si="34"/>
        <v>0</v>
      </c>
      <c r="BC142" s="120" t="str">
        <f t="shared" si="45"/>
        <v/>
      </c>
    </row>
    <row r="143" spans="1:55" ht="14.25" customHeight="1" x14ac:dyDescent="0.3">
      <c r="A143" s="116" t="str">
        <f t="shared" si="46"/>
        <v>18 Acosta W.</v>
      </c>
      <c r="B143" s="119">
        <f t="shared" si="46"/>
        <v>0</v>
      </c>
      <c r="C143" s="119">
        <f t="shared" si="46"/>
        <v>0</v>
      </c>
      <c r="D143" s="119">
        <f t="shared" si="46"/>
        <v>0</v>
      </c>
      <c r="E143" s="119">
        <f t="shared" si="46"/>
        <v>0</v>
      </c>
      <c r="F143" s="119">
        <f t="shared" si="46"/>
        <v>0</v>
      </c>
      <c r="G143" s="120" t="str">
        <f t="shared" si="35"/>
        <v/>
      </c>
      <c r="H143" s="121">
        <f t="shared" si="47"/>
        <v>0</v>
      </c>
      <c r="I143" s="121">
        <f t="shared" si="47"/>
        <v>0</v>
      </c>
      <c r="J143" s="121">
        <f t="shared" si="47"/>
        <v>0</v>
      </c>
      <c r="K143" s="121">
        <f t="shared" si="47"/>
        <v>0</v>
      </c>
      <c r="L143" s="121">
        <f t="shared" si="47"/>
        <v>0</v>
      </c>
      <c r="M143" s="120" t="str">
        <f t="shared" si="36"/>
        <v/>
      </c>
      <c r="N143" s="121">
        <f t="shared" si="2"/>
        <v>0</v>
      </c>
      <c r="O143" s="121">
        <f t="shared" si="3"/>
        <v>0</v>
      </c>
      <c r="P143" s="120" t="str">
        <f t="shared" si="37"/>
        <v/>
      </c>
      <c r="Q143" s="121">
        <f t="shared" si="4"/>
        <v>0</v>
      </c>
      <c r="R143" s="121">
        <f t="shared" si="5"/>
        <v>0</v>
      </c>
      <c r="S143" s="121">
        <f t="shared" si="6"/>
        <v>0</v>
      </c>
      <c r="T143" s="120" t="str">
        <f t="shared" si="38"/>
        <v/>
      </c>
      <c r="U143" s="121">
        <f t="shared" si="7"/>
        <v>0</v>
      </c>
      <c r="V143" s="121">
        <f t="shared" si="8"/>
        <v>0</v>
      </c>
      <c r="W143" s="121">
        <f t="shared" si="9"/>
        <v>0</v>
      </c>
      <c r="X143" s="121">
        <f t="shared" si="10"/>
        <v>0</v>
      </c>
      <c r="Y143" s="120" t="str">
        <f t="shared" si="39"/>
        <v/>
      </c>
      <c r="Z143" s="121">
        <f t="shared" si="11"/>
        <v>0</v>
      </c>
      <c r="AA143" s="121">
        <f t="shared" si="12"/>
        <v>0</v>
      </c>
      <c r="AB143" s="121">
        <f t="shared" si="13"/>
        <v>0</v>
      </c>
      <c r="AC143" s="121">
        <f t="shared" si="14"/>
        <v>0</v>
      </c>
      <c r="AD143" s="120" t="str">
        <f t="shared" si="40"/>
        <v/>
      </c>
      <c r="AE143" s="121">
        <f t="shared" si="15"/>
        <v>0</v>
      </c>
      <c r="AF143" s="121">
        <f t="shared" si="16"/>
        <v>0</v>
      </c>
      <c r="AG143" s="121">
        <f t="shared" si="17"/>
        <v>0</v>
      </c>
      <c r="AH143" s="121">
        <f t="shared" si="18"/>
        <v>0</v>
      </c>
      <c r="AI143" s="120" t="str">
        <f t="shared" si="41"/>
        <v/>
      </c>
      <c r="AJ143" s="121">
        <f t="shared" si="19"/>
        <v>0</v>
      </c>
      <c r="AK143" s="121">
        <f t="shared" si="20"/>
        <v>0</v>
      </c>
      <c r="AL143" s="121">
        <f t="shared" si="21"/>
        <v>0</v>
      </c>
      <c r="AM143" s="121">
        <f t="shared" si="22"/>
        <v>0</v>
      </c>
      <c r="AN143" s="120" t="str">
        <f t="shared" si="42"/>
        <v/>
      </c>
      <c r="AO143" s="121">
        <f t="shared" si="23"/>
        <v>0</v>
      </c>
      <c r="AP143" s="121">
        <f t="shared" si="24"/>
        <v>0</v>
      </c>
      <c r="AQ143" s="121">
        <f t="shared" si="25"/>
        <v>0</v>
      </c>
      <c r="AR143" s="121">
        <f t="shared" si="26"/>
        <v>0</v>
      </c>
      <c r="AS143" s="120" t="str">
        <f t="shared" si="43"/>
        <v/>
      </c>
      <c r="AT143" s="121">
        <f t="shared" si="27"/>
        <v>0</v>
      </c>
      <c r="AU143" s="121">
        <f t="shared" si="28"/>
        <v>0</v>
      </c>
      <c r="AV143" s="121">
        <f t="shared" si="29"/>
        <v>0</v>
      </c>
      <c r="AW143" s="121">
        <f t="shared" si="30"/>
        <v>0</v>
      </c>
      <c r="AX143" s="120" t="str">
        <f t="shared" si="44"/>
        <v/>
      </c>
      <c r="AY143" s="121">
        <f t="shared" si="31"/>
        <v>0</v>
      </c>
      <c r="AZ143" s="121">
        <f t="shared" si="32"/>
        <v>0</v>
      </c>
      <c r="BA143" s="121">
        <f t="shared" si="33"/>
        <v>0</v>
      </c>
      <c r="BB143" s="121">
        <f t="shared" si="34"/>
        <v>0</v>
      </c>
      <c r="BC143" s="120" t="str">
        <f t="shared" si="45"/>
        <v/>
      </c>
    </row>
    <row r="144" spans="1:55" ht="14.25" customHeight="1" x14ac:dyDescent="0.3">
      <c r="A144" s="116" t="str">
        <f t="shared" si="46"/>
        <v>19 Diaz Bolli S.</v>
      </c>
      <c r="B144" s="119">
        <f t="shared" si="46"/>
        <v>0</v>
      </c>
      <c r="C144" s="119">
        <f t="shared" si="46"/>
        <v>0</v>
      </c>
      <c r="D144" s="119">
        <f t="shared" si="46"/>
        <v>0</v>
      </c>
      <c r="E144" s="119">
        <f t="shared" si="46"/>
        <v>0</v>
      </c>
      <c r="F144" s="119">
        <f t="shared" si="46"/>
        <v>0</v>
      </c>
      <c r="G144" s="120" t="str">
        <f t="shared" si="35"/>
        <v/>
      </c>
      <c r="H144" s="121">
        <f t="shared" si="47"/>
        <v>0</v>
      </c>
      <c r="I144" s="121">
        <f t="shared" si="47"/>
        <v>0</v>
      </c>
      <c r="J144" s="121">
        <f t="shared" si="47"/>
        <v>0</v>
      </c>
      <c r="K144" s="121">
        <f t="shared" si="47"/>
        <v>0</v>
      </c>
      <c r="L144" s="121">
        <f t="shared" si="47"/>
        <v>0</v>
      </c>
      <c r="M144" s="120" t="str">
        <f t="shared" si="36"/>
        <v/>
      </c>
      <c r="N144" s="121">
        <f t="shared" si="2"/>
        <v>0</v>
      </c>
      <c r="O144" s="121">
        <f t="shared" si="3"/>
        <v>0</v>
      </c>
      <c r="P144" s="120" t="str">
        <f t="shared" si="37"/>
        <v/>
      </c>
      <c r="Q144" s="121">
        <f t="shared" si="4"/>
        <v>0</v>
      </c>
      <c r="R144" s="121">
        <f t="shared" si="5"/>
        <v>0</v>
      </c>
      <c r="S144" s="121">
        <f t="shared" si="6"/>
        <v>0</v>
      </c>
      <c r="T144" s="120" t="str">
        <f t="shared" si="38"/>
        <v/>
      </c>
      <c r="U144" s="121">
        <f t="shared" si="7"/>
        <v>0</v>
      </c>
      <c r="V144" s="121">
        <f t="shared" si="8"/>
        <v>0</v>
      </c>
      <c r="W144" s="121">
        <f t="shared" si="9"/>
        <v>0</v>
      </c>
      <c r="X144" s="121">
        <f t="shared" si="10"/>
        <v>0</v>
      </c>
      <c r="Y144" s="120" t="str">
        <f t="shared" si="39"/>
        <v/>
      </c>
      <c r="Z144" s="121">
        <f t="shared" si="11"/>
        <v>0</v>
      </c>
      <c r="AA144" s="121">
        <f t="shared" si="12"/>
        <v>0</v>
      </c>
      <c r="AB144" s="121">
        <f t="shared" si="13"/>
        <v>0</v>
      </c>
      <c r="AC144" s="121">
        <f t="shared" si="14"/>
        <v>0</v>
      </c>
      <c r="AD144" s="120" t="str">
        <f t="shared" si="40"/>
        <v/>
      </c>
      <c r="AE144" s="121">
        <f t="shared" si="15"/>
        <v>0</v>
      </c>
      <c r="AF144" s="121">
        <f t="shared" si="16"/>
        <v>0</v>
      </c>
      <c r="AG144" s="121">
        <f t="shared" si="17"/>
        <v>0</v>
      </c>
      <c r="AH144" s="121">
        <f t="shared" si="18"/>
        <v>0</v>
      </c>
      <c r="AI144" s="120" t="str">
        <f t="shared" si="41"/>
        <v/>
      </c>
      <c r="AJ144" s="121">
        <f t="shared" si="19"/>
        <v>0</v>
      </c>
      <c r="AK144" s="121">
        <f t="shared" si="20"/>
        <v>0</v>
      </c>
      <c r="AL144" s="121">
        <f t="shared" si="21"/>
        <v>0</v>
      </c>
      <c r="AM144" s="121">
        <f t="shared" si="22"/>
        <v>0</v>
      </c>
      <c r="AN144" s="120" t="str">
        <f t="shared" si="42"/>
        <v/>
      </c>
      <c r="AO144" s="121">
        <f t="shared" si="23"/>
        <v>0</v>
      </c>
      <c r="AP144" s="121">
        <f t="shared" si="24"/>
        <v>0</v>
      </c>
      <c r="AQ144" s="121">
        <f t="shared" si="25"/>
        <v>0</v>
      </c>
      <c r="AR144" s="121">
        <f t="shared" si="26"/>
        <v>0</v>
      </c>
      <c r="AS144" s="120" t="str">
        <f t="shared" si="43"/>
        <v/>
      </c>
      <c r="AT144" s="121">
        <f t="shared" si="27"/>
        <v>0</v>
      </c>
      <c r="AU144" s="121">
        <f t="shared" si="28"/>
        <v>0</v>
      </c>
      <c r="AV144" s="121">
        <f t="shared" si="29"/>
        <v>0</v>
      </c>
      <c r="AW144" s="121">
        <f t="shared" si="30"/>
        <v>0</v>
      </c>
      <c r="AX144" s="120" t="str">
        <f t="shared" si="44"/>
        <v/>
      </c>
      <c r="AY144" s="121">
        <f t="shared" si="31"/>
        <v>0</v>
      </c>
      <c r="AZ144" s="121">
        <f t="shared" si="32"/>
        <v>0</v>
      </c>
      <c r="BA144" s="121">
        <f t="shared" si="33"/>
        <v>0</v>
      </c>
      <c r="BB144" s="121">
        <f t="shared" si="34"/>
        <v>0</v>
      </c>
      <c r="BC144" s="120" t="str">
        <f t="shared" si="45"/>
        <v/>
      </c>
    </row>
    <row r="146" spans="1:44" ht="14.25" customHeight="1" x14ac:dyDescent="0.3">
      <c r="A146" s="155" t="s">
        <v>194</v>
      </c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</row>
    <row r="147" spans="1:44" ht="14.25" customHeight="1" x14ac:dyDescent="0.3">
      <c r="A147" s="122"/>
      <c r="B147" s="123" t="s">
        <v>195</v>
      </c>
      <c r="C147" s="123" t="s">
        <v>196</v>
      </c>
      <c r="D147" s="123" t="s">
        <v>197</v>
      </c>
      <c r="E147" s="123" t="s">
        <v>198</v>
      </c>
      <c r="F147" s="123" t="s">
        <v>199</v>
      </c>
      <c r="G147" s="124" t="s">
        <v>128</v>
      </c>
      <c r="H147" s="124" t="s">
        <v>129</v>
      </c>
      <c r="I147" s="124" t="s">
        <v>200</v>
      </c>
      <c r="J147" s="124" t="s">
        <v>201</v>
      </c>
      <c r="K147" s="124" t="s">
        <v>202</v>
      </c>
      <c r="L147" s="123" t="s">
        <v>203</v>
      </c>
      <c r="M147" s="123" t="s">
        <v>204</v>
      </c>
      <c r="N147" s="123" t="s">
        <v>205</v>
      </c>
      <c r="O147" s="123" t="s">
        <v>206</v>
      </c>
      <c r="P147" s="123" t="s">
        <v>207</v>
      </c>
      <c r="Q147" s="125" t="s">
        <v>208</v>
      </c>
      <c r="R147" s="124" t="s">
        <v>209</v>
      </c>
      <c r="S147" s="124" t="s">
        <v>210</v>
      </c>
      <c r="T147" s="124" t="s">
        <v>211</v>
      </c>
      <c r="U147" s="126" t="s">
        <v>212</v>
      </c>
      <c r="V147" s="123" t="s">
        <v>213</v>
      </c>
      <c r="W147" s="123" t="s">
        <v>214</v>
      </c>
      <c r="X147" s="123" t="s">
        <v>215</v>
      </c>
      <c r="Y147" s="125" t="s">
        <v>216</v>
      </c>
      <c r="Z147" s="124" t="s">
        <v>217</v>
      </c>
      <c r="AA147" s="124" t="s">
        <v>218</v>
      </c>
      <c r="AB147" s="124" t="s">
        <v>219</v>
      </c>
      <c r="AC147" s="123" t="s">
        <v>220</v>
      </c>
      <c r="AD147" s="123" t="s">
        <v>221</v>
      </c>
      <c r="AE147" s="123" t="s">
        <v>222</v>
      </c>
      <c r="AF147" s="123" t="s">
        <v>223</v>
      </c>
      <c r="AG147" s="124" t="s">
        <v>224</v>
      </c>
      <c r="AH147" s="124" t="s">
        <v>225</v>
      </c>
      <c r="AI147" s="124" t="s">
        <v>226</v>
      </c>
      <c r="AJ147" s="124" t="s">
        <v>227</v>
      </c>
      <c r="AK147" s="123" t="s">
        <v>228</v>
      </c>
      <c r="AL147" s="123" t="s">
        <v>229</v>
      </c>
      <c r="AM147" s="123" t="s">
        <v>230</v>
      </c>
      <c r="AN147" s="123" t="s">
        <v>231</v>
      </c>
      <c r="AO147" s="124" t="s">
        <v>232</v>
      </c>
      <c r="AP147" s="124" t="s">
        <v>233</v>
      </c>
      <c r="AQ147" s="124" t="s">
        <v>234</v>
      </c>
      <c r="AR147" s="124" t="s">
        <v>235</v>
      </c>
    </row>
    <row r="148" spans="1:44" ht="14.25" customHeight="1" x14ac:dyDescent="0.3">
      <c r="A148" s="127" t="s">
        <v>109</v>
      </c>
      <c r="B148" s="128">
        <v>1</v>
      </c>
      <c r="C148" s="128">
        <v>8</v>
      </c>
      <c r="D148" s="128">
        <v>0</v>
      </c>
      <c r="E148" s="128">
        <v>15</v>
      </c>
      <c r="F148" s="129">
        <v>65</v>
      </c>
      <c r="G148" s="128">
        <v>7</v>
      </c>
      <c r="H148" s="128">
        <v>23</v>
      </c>
      <c r="I148" s="128">
        <v>3</v>
      </c>
      <c r="J148" s="128">
        <v>4</v>
      </c>
      <c r="K148" s="130">
        <v>65</v>
      </c>
      <c r="L148" s="128">
        <v>4</v>
      </c>
      <c r="M148" s="128">
        <v>10</v>
      </c>
      <c r="N148" s="128">
        <v>17</v>
      </c>
      <c r="O148" s="128">
        <v>0</v>
      </c>
      <c r="P148" s="129">
        <v>39</v>
      </c>
      <c r="Q148" s="128">
        <v>6</v>
      </c>
      <c r="R148" s="128">
        <v>0</v>
      </c>
      <c r="S148" s="128">
        <v>1</v>
      </c>
      <c r="T148" s="130">
        <v>14</v>
      </c>
      <c r="U148" s="128">
        <v>13</v>
      </c>
      <c r="V148" s="128">
        <v>2</v>
      </c>
      <c r="W148" s="128">
        <v>1</v>
      </c>
      <c r="X148" s="129">
        <v>28</v>
      </c>
      <c r="Y148" s="128">
        <v>15</v>
      </c>
      <c r="Z148" s="128">
        <v>4</v>
      </c>
      <c r="AA148" s="128">
        <v>4</v>
      </c>
      <c r="AB148" s="130">
        <v>39</v>
      </c>
      <c r="AC148" s="128">
        <v>15</v>
      </c>
      <c r="AD148" s="128">
        <v>3</v>
      </c>
      <c r="AE148" s="128">
        <v>2</v>
      </c>
      <c r="AF148" s="129">
        <v>30</v>
      </c>
      <c r="AG148" s="128">
        <v>3</v>
      </c>
      <c r="AH148" s="128">
        <v>1</v>
      </c>
      <c r="AI148" s="128">
        <v>1</v>
      </c>
      <c r="AJ148" s="130">
        <v>14</v>
      </c>
      <c r="AK148" s="128">
        <v>6</v>
      </c>
      <c r="AL148" s="128">
        <v>1</v>
      </c>
      <c r="AM148" s="128">
        <v>0</v>
      </c>
      <c r="AN148" s="129">
        <v>14</v>
      </c>
      <c r="AO148" s="128">
        <v>13</v>
      </c>
      <c r="AP148" s="128">
        <v>1</v>
      </c>
      <c r="AQ148" s="128">
        <v>3</v>
      </c>
      <c r="AR148" s="130">
        <v>28</v>
      </c>
    </row>
    <row r="149" spans="1:44" ht="14.25" customHeight="1" x14ac:dyDescent="0.3">
      <c r="A149" s="131" t="s">
        <v>68</v>
      </c>
      <c r="B149" s="128">
        <v>0</v>
      </c>
      <c r="C149" s="128">
        <v>0</v>
      </c>
      <c r="D149" s="128">
        <v>0</v>
      </c>
      <c r="E149" s="128">
        <v>0</v>
      </c>
      <c r="F149" s="129">
        <v>2</v>
      </c>
      <c r="G149" s="128">
        <v>0</v>
      </c>
      <c r="H149" s="128">
        <v>0</v>
      </c>
      <c r="I149" s="128">
        <v>0</v>
      </c>
      <c r="J149" s="128">
        <v>0</v>
      </c>
      <c r="K149" s="130">
        <v>0</v>
      </c>
      <c r="L149" s="128">
        <v>0</v>
      </c>
      <c r="M149" s="128">
        <v>1</v>
      </c>
      <c r="N149" s="128">
        <v>3</v>
      </c>
      <c r="O149" s="128">
        <v>0</v>
      </c>
      <c r="P149" s="129">
        <v>5</v>
      </c>
      <c r="Q149" s="128">
        <v>2</v>
      </c>
      <c r="R149" s="128">
        <v>0</v>
      </c>
      <c r="S149" s="128">
        <v>0</v>
      </c>
      <c r="T149" s="130">
        <v>3</v>
      </c>
      <c r="U149" s="128">
        <v>0</v>
      </c>
      <c r="V149" s="128">
        <v>0</v>
      </c>
      <c r="W149" s="128">
        <v>0</v>
      </c>
      <c r="X149" s="129">
        <v>0</v>
      </c>
      <c r="Y149" s="128">
        <v>0</v>
      </c>
      <c r="Z149" s="128">
        <v>0</v>
      </c>
      <c r="AA149" s="128">
        <v>0</v>
      </c>
      <c r="AB149" s="130">
        <v>0</v>
      </c>
      <c r="AC149" s="128">
        <v>2</v>
      </c>
      <c r="AD149" s="128">
        <v>0</v>
      </c>
      <c r="AE149" s="128">
        <v>0</v>
      </c>
      <c r="AF149" s="129">
        <v>3</v>
      </c>
      <c r="AG149" s="128">
        <v>0</v>
      </c>
      <c r="AH149" s="128">
        <v>0</v>
      </c>
      <c r="AI149" s="128">
        <v>0</v>
      </c>
      <c r="AJ149" s="130">
        <v>0</v>
      </c>
      <c r="AK149" s="128">
        <v>0</v>
      </c>
      <c r="AL149" s="128">
        <v>0</v>
      </c>
      <c r="AM149" s="128">
        <v>0</v>
      </c>
      <c r="AN149" s="129">
        <v>0</v>
      </c>
      <c r="AO149" s="128">
        <v>0</v>
      </c>
      <c r="AP149" s="128">
        <v>0</v>
      </c>
      <c r="AQ149" s="128">
        <v>0</v>
      </c>
      <c r="AR149" s="130">
        <v>0</v>
      </c>
    </row>
    <row r="150" spans="1:44" ht="14.25" customHeight="1" x14ac:dyDescent="0.3">
      <c r="A150" s="131" t="s">
        <v>146</v>
      </c>
      <c r="B150" s="128">
        <v>0</v>
      </c>
      <c r="C150" s="128">
        <v>0</v>
      </c>
      <c r="D150" s="128">
        <v>0</v>
      </c>
      <c r="E150" s="128">
        <v>0</v>
      </c>
      <c r="F150" s="129">
        <v>0</v>
      </c>
      <c r="G150" s="128">
        <v>3</v>
      </c>
      <c r="H150" s="128">
        <v>9</v>
      </c>
      <c r="I150" s="128">
        <v>2</v>
      </c>
      <c r="J150" s="128">
        <v>3</v>
      </c>
      <c r="K150" s="130">
        <v>36</v>
      </c>
      <c r="L150" s="128">
        <v>0</v>
      </c>
      <c r="M150" s="128">
        <v>0</v>
      </c>
      <c r="N150" s="128">
        <v>0</v>
      </c>
      <c r="O150" s="128">
        <v>0</v>
      </c>
      <c r="P150" s="129">
        <v>0</v>
      </c>
      <c r="Q150" s="128">
        <v>0</v>
      </c>
      <c r="R150" s="128">
        <v>0</v>
      </c>
      <c r="S150" s="128">
        <v>0</v>
      </c>
      <c r="T150" s="130">
        <v>0</v>
      </c>
      <c r="U150" s="128">
        <v>0</v>
      </c>
      <c r="V150" s="128">
        <v>0</v>
      </c>
      <c r="W150" s="128">
        <v>0</v>
      </c>
      <c r="X150" s="129">
        <v>0</v>
      </c>
      <c r="Y150" s="128">
        <v>0</v>
      </c>
      <c r="Z150" s="128">
        <v>0</v>
      </c>
      <c r="AA150" s="128">
        <v>0</v>
      </c>
      <c r="AB150" s="130">
        <v>0</v>
      </c>
      <c r="AC150" s="128">
        <v>0</v>
      </c>
      <c r="AD150" s="128">
        <v>0</v>
      </c>
      <c r="AE150" s="128">
        <v>0</v>
      </c>
      <c r="AF150" s="129">
        <v>0</v>
      </c>
      <c r="AG150" s="128">
        <v>0</v>
      </c>
      <c r="AH150" s="128">
        <v>0</v>
      </c>
      <c r="AI150" s="128">
        <v>0</v>
      </c>
      <c r="AJ150" s="130">
        <v>0</v>
      </c>
      <c r="AK150" s="128">
        <v>0</v>
      </c>
      <c r="AL150" s="128">
        <v>0</v>
      </c>
      <c r="AM150" s="128">
        <v>0</v>
      </c>
      <c r="AN150" s="129">
        <v>0</v>
      </c>
      <c r="AO150" s="128">
        <v>0</v>
      </c>
      <c r="AP150" s="128">
        <v>0</v>
      </c>
      <c r="AQ150" s="128">
        <v>0</v>
      </c>
      <c r="AR150" s="130">
        <v>0</v>
      </c>
    </row>
    <row r="151" spans="1:44" ht="14.25" customHeight="1" x14ac:dyDescent="0.3">
      <c r="A151" s="131" t="s">
        <v>97</v>
      </c>
      <c r="B151" s="128">
        <v>0</v>
      </c>
      <c r="C151" s="128">
        <v>0</v>
      </c>
      <c r="D151" s="128">
        <v>0</v>
      </c>
      <c r="E151" s="128">
        <v>0</v>
      </c>
      <c r="F151" s="129">
        <v>0</v>
      </c>
      <c r="G151" s="128">
        <v>0</v>
      </c>
      <c r="H151" s="128">
        <v>0</v>
      </c>
      <c r="I151" s="128">
        <v>0</v>
      </c>
      <c r="J151" s="128">
        <v>0</v>
      </c>
      <c r="K151" s="130">
        <v>0</v>
      </c>
      <c r="L151" s="128">
        <v>0</v>
      </c>
      <c r="M151" s="128">
        <v>0</v>
      </c>
      <c r="N151" s="128">
        <v>0</v>
      </c>
      <c r="O151" s="128">
        <v>0</v>
      </c>
      <c r="P151" s="129">
        <v>0</v>
      </c>
      <c r="Q151" s="128">
        <v>0</v>
      </c>
      <c r="R151" s="128">
        <v>0</v>
      </c>
      <c r="S151" s="128">
        <v>0</v>
      </c>
      <c r="T151" s="130">
        <v>0</v>
      </c>
      <c r="U151" s="128">
        <v>0</v>
      </c>
      <c r="V151" s="128">
        <v>0</v>
      </c>
      <c r="W151" s="128">
        <v>0</v>
      </c>
      <c r="X151" s="129">
        <v>0</v>
      </c>
      <c r="Y151" s="128">
        <v>0</v>
      </c>
      <c r="Z151" s="128">
        <v>0</v>
      </c>
      <c r="AA151" s="128">
        <v>0</v>
      </c>
      <c r="AB151" s="130">
        <v>0</v>
      </c>
      <c r="AC151" s="128">
        <v>0</v>
      </c>
      <c r="AD151" s="128">
        <v>0</v>
      </c>
      <c r="AE151" s="128">
        <v>0</v>
      </c>
      <c r="AF151" s="129">
        <v>0</v>
      </c>
      <c r="AG151" s="128">
        <v>0</v>
      </c>
      <c r="AH151" s="128">
        <v>0</v>
      </c>
      <c r="AI151" s="128">
        <v>0</v>
      </c>
      <c r="AJ151" s="130">
        <v>0</v>
      </c>
      <c r="AK151" s="128">
        <v>0</v>
      </c>
      <c r="AL151" s="128">
        <v>0</v>
      </c>
      <c r="AM151" s="128">
        <v>0</v>
      </c>
      <c r="AN151" s="129">
        <v>0</v>
      </c>
      <c r="AO151" s="128">
        <v>0</v>
      </c>
      <c r="AP151" s="128">
        <v>0</v>
      </c>
      <c r="AQ151" s="128">
        <v>0</v>
      </c>
      <c r="AR151" s="130">
        <v>0</v>
      </c>
    </row>
    <row r="152" spans="1:44" ht="14.25" customHeight="1" x14ac:dyDescent="0.3">
      <c r="A152" s="131" t="s">
        <v>54</v>
      </c>
      <c r="B152" s="128">
        <v>0</v>
      </c>
      <c r="C152" s="128">
        <v>3</v>
      </c>
      <c r="D152" s="128">
        <v>0</v>
      </c>
      <c r="E152" s="128">
        <v>3</v>
      </c>
      <c r="F152" s="129">
        <v>11</v>
      </c>
      <c r="G152" s="128">
        <v>0</v>
      </c>
      <c r="H152" s="128">
        <v>0</v>
      </c>
      <c r="I152" s="128">
        <v>0</v>
      </c>
      <c r="J152" s="128">
        <v>0</v>
      </c>
      <c r="K152" s="130">
        <v>0</v>
      </c>
      <c r="L152" s="128">
        <v>2</v>
      </c>
      <c r="M152" s="128">
        <v>1</v>
      </c>
      <c r="N152" s="128">
        <v>6</v>
      </c>
      <c r="O152" s="128">
        <v>0</v>
      </c>
      <c r="P152" s="129">
        <v>10</v>
      </c>
      <c r="Q152" s="128">
        <v>0</v>
      </c>
      <c r="R152" s="128">
        <v>0</v>
      </c>
      <c r="S152" s="128">
        <v>0</v>
      </c>
      <c r="T152" s="130">
        <v>0</v>
      </c>
      <c r="U152" s="128">
        <v>8</v>
      </c>
      <c r="V152" s="128">
        <v>2</v>
      </c>
      <c r="W152" s="128">
        <v>1</v>
      </c>
      <c r="X152" s="129">
        <v>14</v>
      </c>
      <c r="Y152" s="128">
        <v>7</v>
      </c>
      <c r="Z152" s="128">
        <v>0</v>
      </c>
      <c r="AA152" s="128">
        <v>3</v>
      </c>
      <c r="AB152" s="130">
        <v>18</v>
      </c>
      <c r="AC152" s="128">
        <v>3</v>
      </c>
      <c r="AD152" s="128">
        <v>0</v>
      </c>
      <c r="AE152" s="128">
        <v>1</v>
      </c>
      <c r="AF152" s="129">
        <v>7</v>
      </c>
      <c r="AG152" s="128">
        <v>2</v>
      </c>
      <c r="AH152" s="128">
        <v>0</v>
      </c>
      <c r="AI152" s="128">
        <v>1</v>
      </c>
      <c r="AJ152" s="130">
        <v>6</v>
      </c>
      <c r="AK152" s="128">
        <v>4</v>
      </c>
      <c r="AL152" s="128">
        <v>1</v>
      </c>
      <c r="AM152" s="128">
        <v>0</v>
      </c>
      <c r="AN152" s="129">
        <v>9</v>
      </c>
      <c r="AO152" s="128">
        <v>6</v>
      </c>
      <c r="AP152" s="128">
        <v>1</v>
      </c>
      <c r="AQ152" s="128">
        <v>2</v>
      </c>
      <c r="AR152" s="130">
        <v>10</v>
      </c>
    </row>
    <row r="153" spans="1:44" ht="14.25" customHeight="1" x14ac:dyDescent="0.3">
      <c r="A153" s="131" t="s">
        <v>87</v>
      </c>
      <c r="B153" s="128">
        <v>0</v>
      </c>
      <c r="C153" s="128">
        <v>0</v>
      </c>
      <c r="D153" s="128">
        <v>0</v>
      </c>
      <c r="E153" s="128">
        <v>0</v>
      </c>
      <c r="F153" s="129">
        <v>0</v>
      </c>
      <c r="G153" s="128">
        <v>0</v>
      </c>
      <c r="H153" s="128">
        <v>0</v>
      </c>
      <c r="I153" s="128">
        <v>0</v>
      </c>
      <c r="J153" s="128">
        <v>0</v>
      </c>
      <c r="K153" s="130">
        <v>0</v>
      </c>
      <c r="L153" s="128">
        <v>0</v>
      </c>
      <c r="M153" s="128">
        <v>0</v>
      </c>
      <c r="N153" s="128">
        <v>0</v>
      </c>
      <c r="O153" s="128">
        <v>0</v>
      </c>
      <c r="P153" s="129">
        <v>0</v>
      </c>
      <c r="Q153" s="128">
        <v>0</v>
      </c>
      <c r="R153" s="128">
        <v>0</v>
      </c>
      <c r="S153" s="128">
        <v>0</v>
      </c>
      <c r="T153" s="130">
        <v>0</v>
      </c>
      <c r="U153" s="128">
        <v>0</v>
      </c>
      <c r="V153" s="128">
        <v>0</v>
      </c>
      <c r="W153" s="128">
        <v>0</v>
      </c>
      <c r="X153" s="129">
        <v>0</v>
      </c>
      <c r="Y153" s="128">
        <v>0</v>
      </c>
      <c r="Z153" s="128">
        <v>0</v>
      </c>
      <c r="AA153" s="128">
        <v>0</v>
      </c>
      <c r="AB153" s="130">
        <v>0</v>
      </c>
      <c r="AC153" s="128">
        <v>0</v>
      </c>
      <c r="AD153" s="128">
        <v>0</v>
      </c>
      <c r="AE153" s="128">
        <v>0</v>
      </c>
      <c r="AF153" s="129">
        <v>0</v>
      </c>
      <c r="AG153" s="128">
        <v>0</v>
      </c>
      <c r="AH153" s="128">
        <v>0</v>
      </c>
      <c r="AI153" s="128">
        <v>0</v>
      </c>
      <c r="AJ153" s="130">
        <v>0</v>
      </c>
      <c r="AK153" s="128">
        <v>0</v>
      </c>
      <c r="AL153" s="128">
        <v>0</v>
      </c>
      <c r="AM153" s="128">
        <v>0</v>
      </c>
      <c r="AN153" s="129">
        <v>0</v>
      </c>
      <c r="AO153" s="128">
        <v>0</v>
      </c>
      <c r="AP153" s="128">
        <v>0</v>
      </c>
      <c r="AQ153" s="128">
        <v>0</v>
      </c>
      <c r="AR153" s="130">
        <v>0</v>
      </c>
    </row>
    <row r="154" spans="1:44" ht="14.25" customHeight="1" x14ac:dyDescent="0.3">
      <c r="A154" s="131" t="s">
        <v>94</v>
      </c>
      <c r="B154" s="128">
        <v>1</v>
      </c>
      <c r="C154" s="128">
        <v>2</v>
      </c>
      <c r="D154" s="128">
        <v>0</v>
      </c>
      <c r="E154" s="128">
        <v>0</v>
      </c>
      <c r="F154" s="129">
        <v>15</v>
      </c>
      <c r="G154" s="128">
        <v>0</v>
      </c>
      <c r="H154" s="128">
        <v>0</v>
      </c>
      <c r="I154" s="128">
        <v>0</v>
      </c>
      <c r="J154" s="128">
        <v>0</v>
      </c>
      <c r="K154" s="130">
        <v>1</v>
      </c>
      <c r="L154" s="128">
        <v>0</v>
      </c>
      <c r="M154" s="128">
        <v>2</v>
      </c>
      <c r="N154" s="128">
        <v>0</v>
      </c>
      <c r="O154" s="128">
        <v>0</v>
      </c>
      <c r="P154" s="129">
        <v>3</v>
      </c>
      <c r="Q154" s="128">
        <v>0</v>
      </c>
      <c r="R154" s="128">
        <v>0</v>
      </c>
      <c r="S154" s="128">
        <v>0</v>
      </c>
      <c r="T154" s="130">
        <v>0</v>
      </c>
      <c r="U154" s="128">
        <v>0</v>
      </c>
      <c r="V154" s="128">
        <v>0</v>
      </c>
      <c r="W154" s="128">
        <v>0</v>
      </c>
      <c r="X154" s="129">
        <v>0</v>
      </c>
      <c r="Y154" s="128">
        <v>0</v>
      </c>
      <c r="Z154" s="128">
        <v>0</v>
      </c>
      <c r="AA154" s="128">
        <v>0</v>
      </c>
      <c r="AB154" s="130">
        <v>0</v>
      </c>
      <c r="AC154" s="128">
        <v>0</v>
      </c>
      <c r="AD154" s="128">
        <v>0</v>
      </c>
      <c r="AE154" s="128">
        <v>0</v>
      </c>
      <c r="AF154" s="129">
        <v>0</v>
      </c>
      <c r="AG154" s="128">
        <v>0</v>
      </c>
      <c r="AH154" s="128">
        <v>0</v>
      </c>
      <c r="AI154" s="128">
        <v>0</v>
      </c>
      <c r="AJ154" s="130">
        <v>0</v>
      </c>
      <c r="AK154" s="128">
        <v>0</v>
      </c>
      <c r="AL154" s="128">
        <v>0</v>
      </c>
      <c r="AM154" s="128">
        <v>0</v>
      </c>
      <c r="AN154" s="129">
        <v>0</v>
      </c>
      <c r="AO154" s="128">
        <v>0</v>
      </c>
      <c r="AP154" s="128">
        <v>0</v>
      </c>
      <c r="AQ154" s="128">
        <v>0</v>
      </c>
      <c r="AR154" s="130">
        <v>0</v>
      </c>
    </row>
    <row r="155" spans="1:44" ht="14.25" customHeight="1" x14ac:dyDescent="0.3">
      <c r="A155" s="131" t="s">
        <v>98</v>
      </c>
      <c r="B155" s="128">
        <v>0</v>
      </c>
      <c r="C155" s="128">
        <v>0</v>
      </c>
      <c r="D155" s="128">
        <v>0</v>
      </c>
      <c r="E155" s="128">
        <v>0</v>
      </c>
      <c r="F155" s="129">
        <v>0</v>
      </c>
      <c r="G155" s="128">
        <v>0</v>
      </c>
      <c r="H155" s="128">
        <v>0</v>
      </c>
      <c r="I155" s="128">
        <v>0</v>
      </c>
      <c r="J155" s="128">
        <v>0</v>
      </c>
      <c r="K155" s="130">
        <v>0</v>
      </c>
      <c r="L155" s="128">
        <v>0</v>
      </c>
      <c r="M155" s="128">
        <v>0</v>
      </c>
      <c r="N155" s="128">
        <v>0</v>
      </c>
      <c r="O155" s="128">
        <v>0</v>
      </c>
      <c r="P155" s="129">
        <v>0</v>
      </c>
      <c r="Q155" s="128">
        <v>0</v>
      </c>
      <c r="R155" s="128">
        <v>0</v>
      </c>
      <c r="S155" s="128">
        <v>0</v>
      </c>
      <c r="T155" s="130">
        <v>0</v>
      </c>
      <c r="U155" s="128">
        <v>0</v>
      </c>
      <c r="V155" s="128">
        <v>0</v>
      </c>
      <c r="W155" s="128">
        <v>0</v>
      </c>
      <c r="X155" s="129">
        <v>0</v>
      </c>
      <c r="Y155" s="128">
        <v>0</v>
      </c>
      <c r="Z155" s="128">
        <v>0</v>
      </c>
      <c r="AA155" s="128">
        <v>0</v>
      </c>
      <c r="AB155" s="130">
        <v>0</v>
      </c>
      <c r="AC155" s="128">
        <v>0</v>
      </c>
      <c r="AD155" s="128">
        <v>0</v>
      </c>
      <c r="AE155" s="128">
        <v>0</v>
      </c>
      <c r="AF155" s="129">
        <v>0</v>
      </c>
      <c r="AG155" s="128">
        <v>0</v>
      </c>
      <c r="AH155" s="128">
        <v>0</v>
      </c>
      <c r="AI155" s="128">
        <v>0</v>
      </c>
      <c r="AJ155" s="130">
        <v>0</v>
      </c>
      <c r="AK155" s="128">
        <v>0</v>
      </c>
      <c r="AL155" s="128">
        <v>0</v>
      </c>
      <c r="AM155" s="128">
        <v>0</v>
      </c>
      <c r="AN155" s="129">
        <v>0</v>
      </c>
      <c r="AO155" s="128">
        <v>0</v>
      </c>
      <c r="AP155" s="128">
        <v>0</v>
      </c>
      <c r="AQ155" s="128">
        <v>0</v>
      </c>
      <c r="AR155" s="130">
        <v>0</v>
      </c>
    </row>
    <row r="156" spans="1:44" ht="14.25" customHeight="1" x14ac:dyDescent="0.3">
      <c r="A156" s="131" t="s">
        <v>86</v>
      </c>
      <c r="B156" s="128">
        <v>0</v>
      </c>
      <c r="C156" s="128">
        <v>0</v>
      </c>
      <c r="D156" s="128">
        <v>0</v>
      </c>
      <c r="E156" s="128">
        <v>5</v>
      </c>
      <c r="F156" s="129">
        <v>10</v>
      </c>
      <c r="G156" s="128">
        <v>2</v>
      </c>
      <c r="H156" s="128">
        <v>7</v>
      </c>
      <c r="I156" s="128">
        <v>1</v>
      </c>
      <c r="J156" s="128">
        <v>1</v>
      </c>
      <c r="K156" s="130">
        <v>15</v>
      </c>
      <c r="L156" s="128">
        <v>0</v>
      </c>
      <c r="M156" s="128">
        <v>0</v>
      </c>
      <c r="N156" s="128">
        <v>2</v>
      </c>
      <c r="O156" s="128">
        <v>0</v>
      </c>
      <c r="P156" s="129">
        <v>2</v>
      </c>
      <c r="Q156" s="128">
        <v>0</v>
      </c>
      <c r="R156" s="128">
        <v>0</v>
      </c>
      <c r="S156" s="128">
        <v>0</v>
      </c>
      <c r="T156" s="130">
        <v>0</v>
      </c>
      <c r="U156" s="128">
        <v>1</v>
      </c>
      <c r="V156" s="128">
        <v>0</v>
      </c>
      <c r="W156" s="128">
        <v>0</v>
      </c>
      <c r="X156" s="129">
        <v>1</v>
      </c>
      <c r="Y156" s="128">
        <v>5</v>
      </c>
      <c r="Z156" s="128">
        <v>1</v>
      </c>
      <c r="AA156" s="128">
        <v>1</v>
      </c>
      <c r="AB156" s="130">
        <v>8</v>
      </c>
      <c r="AC156" s="128">
        <v>5</v>
      </c>
      <c r="AD156" s="128">
        <v>1</v>
      </c>
      <c r="AE156" s="128">
        <v>1</v>
      </c>
      <c r="AF156" s="129">
        <v>9</v>
      </c>
      <c r="AG156" s="128">
        <v>1</v>
      </c>
      <c r="AH156" s="128">
        <v>0</v>
      </c>
      <c r="AI156" s="128">
        <v>0</v>
      </c>
      <c r="AJ156" s="130">
        <v>2</v>
      </c>
      <c r="AK156" s="128">
        <v>0</v>
      </c>
      <c r="AL156" s="128">
        <v>0</v>
      </c>
      <c r="AM156" s="128">
        <v>0</v>
      </c>
      <c r="AN156" s="129">
        <v>0</v>
      </c>
      <c r="AO156" s="128">
        <v>3</v>
      </c>
      <c r="AP156" s="128">
        <v>0</v>
      </c>
      <c r="AQ156" s="128">
        <v>0</v>
      </c>
      <c r="AR156" s="130">
        <v>3</v>
      </c>
    </row>
    <row r="157" spans="1:44" ht="14.25" customHeight="1" x14ac:dyDescent="0.3">
      <c r="A157" s="131" t="s">
        <v>144</v>
      </c>
      <c r="B157" s="128">
        <v>0</v>
      </c>
      <c r="C157" s="128">
        <v>0</v>
      </c>
      <c r="D157" s="128">
        <v>0</v>
      </c>
      <c r="E157" s="128">
        <v>0</v>
      </c>
      <c r="F157" s="129">
        <v>0</v>
      </c>
      <c r="G157" s="128">
        <v>0</v>
      </c>
      <c r="H157" s="128">
        <v>0</v>
      </c>
      <c r="I157" s="128">
        <v>0</v>
      </c>
      <c r="J157" s="128">
        <v>0</v>
      </c>
      <c r="K157" s="130">
        <v>0</v>
      </c>
      <c r="L157" s="128">
        <v>0</v>
      </c>
      <c r="M157" s="128">
        <v>0</v>
      </c>
      <c r="N157" s="128">
        <v>0</v>
      </c>
      <c r="O157" s="128">
        <v>0</v>
      </c>
      <c r="P157" s="129">
        <v>0</v>
      </c>
      <c r="Q157" s="128">
        <v>0</v>
      </c>
      <c r="R157" s="128">
        <v>0</v>
      </c>
      <c r="S157" s="128">
        <v>0</v>
      </c>
      <c r="T157" s="130">
        <v>0</v>
      </c>
      <c r="U157" s="128">
        <v>0</v>
      </c>
      <c r="V157" s="128">
        <v>0</v>
      </c>
      <c r="W157" s="128">
        <v>0</v>
      </c>
      <c r="X157" s="129">
        <v>0</v>
      </c>
      <c r="Y157" s="128">
        <v>0</v>
      </c>
      <c r="Z157" s="128">
        <v>0</v>
      </c>
      <c r="AA157" s="128">
        <v>0</v>
      </c>
      <c r="AB157" s="130">
        <v>0</v>
      </c>
      <c r="AC157" s="128">
        <v>0</v>
      </c>
      <c r="AD157" s="128">
        <v>0</v>
      </c>
      <c r="AE157" s="128">
        <v>0</v>
      </c>
      <c r="AF157" s="129">
        <v>0</v>
      </c>
      <c r="AG157" s="128">
        <v>0</v>
      </c>
      <c r="AH157" s="128">
        <v>0</v>
      </c>
      <c r="AI157" s="128">
        <v>0</v>
      </c>
      <c r="AJ157" s="130">
        <v>0</v>
      </c>
      <c r="AK157" s="128">
        <v>0</v>
      </c>
      <c r="AL157" s="128">
        <v>0</v>
      </c>
      <c r="AM157" s="128">
        <v>0</v>
      </c>
      <c r="AN157" s="129">
        <v>0</v>
      </c>
      <c r="AO157" s="128">
        <v>0</v>
      </c>
      <c r="AP157" s="128">
        <v>0</v>
      </c>
      <c r="AQ157" s="128">
        <v>0</v>
      </c>
      <c r="AR157" s="130">
        <v>0</v>
      </c>
    </row>
    <row r="158" spans="1:44" ht="14.25" customHeight="1" x14ac:dyDescent="0.3">
      <c r="A158" s="131" t="s">
        <v>88</v>
      </c>
      <c r="B158" s="128">
        <v>0</v>
      </c>
      <c r="C158" s="128">
        <v>0</v>
      </c>
      <c r="D158" s="128">
        <v>0</v>
      </c>
      <c r="E158" s="128">
        <v>0</v>
      </c>
      <c r="F158" s="129">
        <v>1</v>
      </c>
      <c r="G158" s="128">
        <v>0</v>
      </c>
      <c r="H158" s="128">
        <v>1</v>
      </c>
      <c r="I158" s="128">
        <v>0</v>
      </c>
      <c r="J158" s="128">
        <v>0</v>
      </c>
      <c r="K158" s="130">
        <v>2</v>
      </c>
      <c r="L158" s="128">
        <v>0</v>
      </c>
      <c r="M158" s="128">
        <v>0</v>
      </c>
      <c r="N158" s="128">
        <v>0</v>
      </c>
      <c r="O158" s="128">
        <v>0</v>
      </c>
      <c r="P158" s="129">
        <v>0</v>
      </c>
      <c r="Q158" s="128">
        <v>0</v>
      </c>
      <c r="R158" s="128">
        <v>0</v>
      </c>
      <c r="S158" s="128">
        <v>0</v>
      </c>
      <c r="T158" s="130">
        <v>0</v>
      </c>
      <c r="U158" s="128">
        <v>0</v>
      </c>
      <c r="V158" s="128">
        <v>0</v>
      </c>
      <c r="W158" s="128">
        <v>0</v>
      </c>
      <c r="X158" s="129">
        <v>0</v>
      </c>
      <c r="Y158" s="128">
        <v>0</v>
      </c>
      <c r="Z158" s="128">
        <v>0</v>
      </c>
      <c r="AA158" s="128">
        <v>0</v>
      </c>
      <c r="AB158" s="130">
        <v>0</v>
      </c>
      <c r="AC158" s="128">
        <v>0</v>
      </c>
      <c r="AD158" s="128">
        <v>0</v>
      </c>
      <c r="AE158" s="128">
        <v>0</v>
      </c>
      <c r="AF158" s="129">
        <v>0</v>
      </c>
      <c r="AG158" s="128">
        <v>0</v>
      </c>
      <c r="AH158" s="128">
        <v>0</v>
      </c>
      <c r="AI158" s="128">
        <v>0</v>
      </c>
      <c r="AJ158" s="130">
        <v>0</v>
      </c>
      <c r="AK158" s="128">
        <v>0</v>
      </c>
      <c r="AL158" s="128">
        <v>0</v>
      </c>
      <c r="AM158" s="128">
        <v>0</v>
      </c>
      <c r="AN158" s="129">
        <v>0</v>
      </c>
      <c r="AO158" s="128">
        <v>0</v>
      </c>
      <c r="AP158" s="128">
        <v>0</v>
      </c>
      <c r="AQ158" s="128">
        <v>0</v>
      </c>
      <c r="AR158" s="130">
        <v>0</v>
      </c>
    </row>
    <row r="159" spans="1:44" ht="14.25" customHeight="1" x14ac:dyDescent="0.3">
      <c r="A159" s="131" t="s">
        <v>85</v>
      </c>
      <c r="B159" s="128">
        <v>0</v>
      </c>
      <c r="C159" s="128">
        <v>0</v>
      </c>
      <c r="D159" s="128">
        <v>0</v>
      </c>
      <c r="E159" s="128">
        <v>4</v>
      </c>
      <c r="F159" s="129">
        <v>10</v>
      </c>
      <c r="G159" s="128">
        <v>2</v>
      </c>
      <c r="H159" s="128">
        <v>6</v>
      </c>
      <c r="I159" s="128">
        <v>0</v>
      </c>
      <c r="J159" s="128">
        <v>0</v>
      </c>
      <c r="K159" s="130">
        <v>11</v>
      </c>
      <c r="L159" s="128">
        <v>0</v>
      </c>
      <c r="M159" s="128">
        <v>2</v>
      </c>
      <c r="N159" s="128">
        <v>2</v>
      </c>
      <c r="O159" s="128">
        <v>0</v>
      </c>
      <c r="P159" s="129">
        <v>6</v>
      </c>
      <c r="Q159" s="128">
        <v>0</v>
      </c>
      <c r="R159" s="128">
        <v>0</v>
      </c>
      <c r="S159" s="128">
        <v>0</v>
      </c>
      <c r="T159" s="130">
        <v>0</v>
      </c>
      <c r="U159" s="128">
        <v>4</v>
      </c>
      <c r="V159" s="128">
        <v>0</v>
      </c>
      <c r="W159" s="128">
        <v>0</v>
      </c>
      <c r="X159" s="129">
        <v>13</v>
      </c>
      <c r="Y159" s="128">
        <v>3</v>
      </c>
      <c r="Z159" s="128">
        <v>3</v>
      </c>
      <c r="AA159" s="128">
        <v>0</v>
      </c>
      <c r="AB159" s="130">
        <v>13</v>
      </c>
      <c r="AC159" s="128">
        <v>1</v>
      </c>
      <c r="AD159" s="128">
        <v>2</v>
      </c>
      <c r="AE159" s="128">
        <v>0</v>
      </c>
      <c r="AF159" s="129">
        <v>3</v>
      </c>
      <c r="AG159" s="128">
        <v>0</v>
      </c>
      <c r="AH159" s="128">
        <v>1</v>
      </c>
      <c r="AI159" s="128">
        <v>0</v>
      </c>
      <c r="AJ159" s="130">
        <v>5</v>
      </c>
      <c r="AK159" s="128">
        <v>2</v>
      </c>
      <c r="AL159" s="128">
        <v>0</v>
      </c>
      <c r="AM159" s="128">
        <v>0</v>
      </c>
      <c r="AN159" s="129">
        <v>5</v>
      </c>
      <c r="AO159" s="128">
        <v>4</v>
      </c>
      <c r="AP159" s="128">
        <v>0</v>
      </c>
      <c r="AQ159" s="128">
        <v>0</v>
      </c>
      <c r="AR159" s="130">
        <v>13</v>
      </c>
    </row>
    <row r="160" spans="1:44" ht="14.25" customHeight="1" x14ac:dyDescent="0.3">
      <c r="A160" s="132" t="s">
        <v>67</v>
      </c>
      <c r="B160" s="133">
        <v>0</v>
      </c>
      <c r="C160" s="133">
        <v>0</v>
      </c>
      <c r="D160" s="133">
        <v>0</v>
      </c>
      <c r="E160" s="133">
        <v>0</v>
      </c>
      <c r="F160" s="134">
        <v>0</v>
      </c>
      <c r="G160" s="133">
        <v>0</v>
      </c>
      <c r="H160" s="133">
        <v>0</v>
      </c>
      <c r="I160" s="133">
        <v>0</v>
      </c>
      <c r="J160" s="133">
        <v>0</v>
      </c>
      <c r="K160" s="135">
        <v>0</v>
      </c>
      <c r="L160" s="133">
        <v>0</v>
      </c>
      <c r="M160" s="133">
        <v>0</v>
      </c>
      <c r="N160" s="133">
        <v>0</v>
      </c>
      <c r="O160" s="133">
        <v>0</v>
      </c>
      <c r="P160" s="134">
        <v>0</v>
      </c>
      <c r="Q160" s="133">
        <v>0</v>
      </c>
      <c r="R160" s="133">
        <v>0</v>
      </c>
      <c r="S160" s="133">
        <v>0</v>
      </c>
      <c r="T160" s="135">
        <v>0</v>
      </c>
      <c r="U160" s="133">
        <v>0</v>
      </c>
      <c r="V160" s="133">
        <v>0</v>
      </c>
      <c r="W160" s="133">
        <v>0</v>
      </c>
      <c r="X160" s="134">
        <v>0</v>
      </c>
      <c r="Y160" s="133">
        <v>0</v>
      </c>
      <c r="Z160" s="133">
        <v>0</v>
      </c>
      <c r="AA160" s="133">
        <v>0</v>
      </c>
      <c r="AB160" s="135">
        <v>0</v>
      </c>
      <c r="AC160" s="133">
        <v>0</v>
      </c>
      <c r="AD160" s="133">
        <v>0</v>
      </c>
      <c r="AE160" s="133">
        <v>0</v>
      </c>
      <c r="AF160" s="134">
        <v>0</v>
      </c>
      <c r="AG160" s="133">
        <v>0</v>
      </c>
      <c r="AH160" s="133">
        <v>0</v>
      </c>
      <c r="AI160" s="133">
        <v>0</v>
      </c>
      <c r="AJ160" s="135">
        <v>0</v>
      </c>
      <c r="AK160" s="133">
        <v>0</v>
      </c>
      <c r="AL160" s="133">
        <v>0</v>
      </c>
      <c r="AM160" s="133">
        <v>0</v>
      </c>
      <c r="AN160" s="134">
        <v>0</v>
      </c>
      <c r="AO160" s="133">
        <v>0</v>
      </c>
      <c r="AP160" s="133">
        <v>0</v>
      </c>
      <c r="AQ160" s="133">
        <v>0</v>
      </c>
      <c r="AR160" s="135">
        <v>0</v>
      </c>
    </row>
    <row r="161" spans="1:44" ht="14.25" customHeight="1" x14ac:dyDescent="0.3">
      <c r="A161" s="131" t="s">
        <v>69</v>
      </c>
      <c r="B161" s="128">
        <v>0</v>
      </c>
      <c r="C161" s="128">
        <v>1</v>
      </c>
      <c r="D161" s="128">
        <v>0</v>
      </c>
      <c r="E161" s="128">
        <v>1</v>
      </c>
      <c r="F161" s="129">
        <v>7</v>
      </c>
      <c r="G161" s="128">
        <v>0</v>
      </c>
      <c r="H161" s="128">
        <v>0</v>
      </c>
      <c r="I161" s="128">
        <v>0</v>
      </c>
      <c r="J161" s="128">
        <v>0</v>
      </c>
      <c r="K161" s="130">
        <v>0</v>
      </c>
      <c r="L161" s="128">
        <v>0</v>
      </c>
      <c r="M161" s="128">
        <v>0</v>
      </c>
      <c r="N161" s="128">
        <v>3</v>
      </c>
      <c r="O161" s="128">
        <v>0</v>
      </c>
      <c r="P161" s="129">
        <v>4</v>
      </c>
      <c r="Q161" s="128">
        <v>1</v>
      </c>
      <c r="R161" s="128">
        <v>0</v>
      </c>
      <c r="S161" s="128">
        <v>0</v>
      </c>
      <c r="T161" s="130">
        <v>2</v>
      </c>
      <c r="U161" s="128">
        <v>0</v>
      </c>
      <c r="V161" s="128">
        <v>0</v>
      </c>
      <c r="W161" s="128">
        <v>0</v>
      </c>
      <c r="X161" s="129">
        <v>0</v>
      </c>
      <c r="Y161" s="128">
        <v>0</v>
      </c>
      <c r="Z161" s="128">
        <v>0</v>
      </c>
      <c r="AA161" s="128">
        <v>0</v>
      </c>
      <c r="AB161" s="130">
        <v>0</v>
      </c>
      <c r="AC161" s="128">
        <v>1</v>
      </c>
      <c r="AD161" s="128">
        <v>0</v>
      </c>
      <c r="AE161" s="128">
        <v>0</v>
      </c>
      <c r="AF161" s="129">
        <v>2</v>
      </c>
      <c r="AG161" s="128">
        <v>0</v>
      </c>
      <c r="AH161" s="128">
        <v>0</v>
      </c>
      <c r="AI161" s="128">
        <v>0</v>
      </c>
      <c r="AJ161" s="130">
        <v>0</v>
      </c>
      <c r="AK161" s="128">
        <v>0</v>
      </c>
      <c r="AL161" s="128">
        <v>0</v>
      </c>
      <c r="AM161" s="128">
        <v>0</v>
      </c>
      <c r="AN161" s="129">
        <v>0</v>
      </c>
      <c r="AO161" s="128">
        <v>0</v>
      </c>
      <c r="AP161" s="128">
        <v>0</v>
      </c>
      <c r="AQ161" s="128">
        <v>0</v>
      </c>
      <c r="AR161" s="130">
        <v>0</v>
      </c>
    </row>
    <row r="162" spans="1:44" ht="14.25" customHeight="1" x14ac:dyDescent="0.3">
      <c r="A162" s="131" t="s">
        <v>66</v>
      </c>
      <c r="B162" s="128">
        <v>0</v>
      </c>
      <c r="C162" s="128">
        <v>0</v>
      </c>
      <c r="D162" s="128">
        <v>0</v>
      </c>
      <c r="E162" s="128">
        <v>0</v>
      </c>
      <c r="F162" s="129">
        <v>0</v>
      </c>
      <c r="G162" s="128">
        <v>0</v>
      </c>
      <c r="H162" s="128">
        <v>0</v>
      </c>
      <c r="I162" s="128">
        <v>0</v>
      </c>
      <c r="J162" s="128">
        <v>0</v>
      </c>
      <c r="K162" s="130">
        <v>0</v>
      </c>
      <c r="L162" s="128">
        <v>0</v>
      </c>
      <c r="M162" s="128">
        <v>0</v>
      </c>
      <c r="N162" s="128">
        <v>0</v>
      </c>
      <c r="O162" s="128">
        <v>0</v>
      </c>
      <c r="P162" s="129">
        <v>0</v>
      </c>
      <c r="Q162" s="128">
        <v>0</v>
      </c>
      <c r="R162" s="128">
        <v>0</v>
      </c>
      <c r="S162" s="128">
        <v>0</v>
      </c>
      <c r="T162" s="130">
        <v>0</v>
      </c>
      <c r="U162" s="128">
        <v>0</v>
      </c>
      <c r="V162" s="128">
        <v>0</v>
      </c>
      <c r="W162" s="128">
        <v>0</v>
      </c>
      <c r="X162" s="129">
        <v>0</v>
      </c>
      <c r="Y162" s="128">
        <v>0</v>
      </c>
      <c r="Z162" s="128">
        <v>0</v>
      </c>
      <c r="AA162" s="128">
        <v>0</v>
      </c>
      <c r="AB162" s="130">
        <v>0</v>
      </c>
      <c r="AC162" s="128">
        <v>0</v>
      </c>
      <c r="AD162" s="128">
        <v>0</v>
      </c>
      <c r="AE162" s="128">
        <v>0</v>
      </c>
      <c r="AF162" s="129">
        <v>0</v>
      </c>
      <c r="AG162" s="128">
        <v>0</v>
      </c>
      <c r="AH162" s="128">
        <v>0</v>
      </c>
      <c r="AI162" s="128">
        <v>0</v>
      </c>
      <c r="AJ162" s="130">
        <v>0</v>
      </c>
      <c r="AK162" s="128">
        <v>0</v>
      </c>
      <c r="AL162" s="128">
        <v>0</v>
      </c>
      <c r="AM162" s="128">
        <v>0</v>
      </c>
      <c r="AN162" s="129">
        <v>0</v>
      </c>
      <c r="AO162" s="128">
        <v>0</v>
      </c>
      <c r="AP162" s="128">
        <v>0</v>
      </c>
      <c r="AQ162" s="128">
        <v>0</v>
      </c>
      <c r="AR162" s="130">
        <v>0</v>
      </c>
    </row>
    <row r="163" spans="1:44" ht="14.25" customHeight="1" x14ac:dyDescent="0.3">
      <c r="A163" s="131" t="s">
        <v>110</v>
      </c>
      <c r="B163" s="128">
        <v>0</v>
      </c>
      <c r="C163" s="128">
        <v>0</v>
      </c>
      <c r="D163" s="128">
        <v>0</v>
      </c>
      <c r="E163" s="128">
        <v>0</v>
      </c>
      <c r="F163" s="129">
        <v>0</v>
      </c>
      <c r="G163" s="128">
        <v>0</v>
      </c>
      <c r="H163" s="128">
        <v>0</v>
      </c>
      <c r="I163" s="128">
        <v>0</v>
      </c>
      <c r="J163" s="128">
        <v>0</v>
      </c>
      <c r="K163" s="130">
        <v>0</v>
      </c>
      <c r="L163" s="128">
        <v>0</v>
      </c>
      <c r="M163" s="128">
        <v>0</v>
      </c>
      <c r="N163" s="128">
        <v>0</v>
      </c>
      <c r="O163" s="128">
        <v>0</v>
      </c>
      <c r="P163" s="129">
        <v>0</v>
      </c>
      <c r="Q163" s="128">
        <v>0</v>
      </c>
      <c r="R163" s="128">
        <v>0</v>
      </c>
      <c r="S163" s="128">
        <v>0</v>
      </c>
      <c r="T163" s="130">
        <v>0</v>
      </c>
      <c r="U163" s="128">
        <v>0</v>
      </c>
      <c r="V163" s="128">
        <v>0</v>
      </c>
      <c r="W163" s="128">
        <v>0</v>
      </c>
      <c r="X163" s="129">
        <v>0</v>
      </c>
      <c r="Y163" s="128">
        <v>0</v>
      </c>
      <c r="Z163" s="128">
        <v>0</v>
      </c>
      <c r="AA163" s="128">
        <v>0</v>
      </c>
      <c r="AB163" s="130">
        <v>0</v>
      </c>
      <c r="AC163" s="128">
        <v>0</v>
      </c>
      <c r="AD163" s="128">
        <v>0</v>
      </c>
      <c r="AE163" s="128">
        <v>0</v>
      </c>
      <c r="AF163" s="129">
        <v>0</v>
      </c>
      <c r="AG163" s="128">
        <v>0</v>
      </c>
      <c r="AH163" s="128">
        <v>0</v>
      </c>
      <c r="AI163" s="128">
        <v>0</v>
      </c>
      <c r="AJ163" s="130">
        <v>0</v>
      </c>
      <c r="AK163" s="128">
        <v>0</v>
      </c>
      <c r="AL163" s="128">
        <v>0</v>
      </c>
      <c r="AM163" s="128">
        <v>0</v>
      </c>
      <c r="AN163" s="129">
        <v>0</v>
      </c>
      <c r="AO163" s="128">
        <v>0</v>
      </c>
      <c r="AP163" s="128">
        <v>0</v>
      </c>
      <c r="AQ163" s="128">
        <v>0</v>
      </c>
      <c r="AR163" s="130">
        <v>0</v>
      </c>
    </row>
  </sheetData>
  <mergeCells count="24">
    <mergeCell ref="T80:Y80"/>
    <mergeCell ref="A1:BH1"/>
    <mergeCell ref="AW4:AW5"/>
    <mergeCell ref="A66:L66"/>
    <mergeCell ref="N80:S80"/>
    <mergeCell ref="Y12:Y13"/>
    <mergeCell ref="AW12:AW13"/>
    <mergeCell ref="A146:K146"/>
    <mergeCell ref="A2:L2"/>
    <mergeCell ref="G80:L80"/>
    <mergeCell ref="A12:A13"/>
    <mergeCell ref="M12:M13"/>
    <mergeCell ref="A35:L35"/>
    <mergeCell ref="A20:L20"/>
    <mergeCell ref="A4:A5"/>
    <mergeCell ref="A127:L127"/>
    <mergeCell ref="M4:M5"/>
    <mergeCell ref="A80:F80"/>
    <mergeCell ref="BJ2:BS2"/>
    <mergeCell ref="Y4:Y5"/>
    <mergeCell ref="N66:Y66"/>
    <mergeCell ref="AK4:AK5"/>
    <mergeCell ref="BJ17:BS17"/>
    <mergeCell ref="AK12:AK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163"/>
  <sheetViews>
    <sheetView tabSelected="1" zoomScaleNormal="100" workbookViewId="0">
      <selection activeCell="A147" sqref="A147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customWidth="1"/>
    <col min="69" max="69" width="17.6640625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65" t="s">
        <v>238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1:71" ht="27.75" customHeight="1" x14ac:dyDescent="0.3">
      <c r="A2" s="156" t="s">
        <v>239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BJ2" s="150" t="s">
        <v>44</v>
      </c>
      <c r="BK2" s="151"/>
      <c r="BL2" s="151"/>
      <c r="BM2" s="151"/>
      <c r="BN2" s="151"/>
      <c r="BO2" s="151"/>
      <c r="BP2" s="151"/>
      <c r="BQ2" s="151"/>
      <c r="BR2" s="151"/>
      <c r="BS2" s="151"/>
    </row>
    <row r="3" spans="1:71" ht="24" customHeight="1" x14ac:dyDescent="0.3">
      <c r="BJ3" s="9" t="s">
        <v>26</v>
      </c>
      <c r="BK3" s="9" t="s">
        <v>45</v>
      </c>
      <c r="BL3" s="9" t="s">
        <v>46</v>
      </c>
      <c r="BM3" s="9" t="s">
        <v>47</v>
      </c>
      <c r="BN3" s="9" t="s">
        <v>48</v>
      </c>
      <c r="BO3" s="9" t="s">
        <v>49</v>
      </c>
      <c r="BP3" s="9" t="s">
        <v>50</v>
      </c>
      <c r="BQ3" s="9" t="s">
        <v>51</v>
      </c>
      <c r="BR3" s="9" t="s">
        <v>52</v>
      </c>
      <c r="BS3" s="9" t="s">
        <v>53</v>
      </c>
    </row>
    <row r="4" spans="1:71" ht="25.5" customHeight="1" x14ac:dyDescent="0.3">
      <c r="A4" s="152" t="s">
        <v>54</v>
      </c>
      <c r="B4" s="11" t="s">
        <v>55</v>
      </c>
      <c r="C4" s="12" t="s">
        <v>56</v>
      </c>
      <c r="D4" s="12" t="s">
        <v>57</v>
      </c>
      <c r="E4" s="12" t="s">
        <v>58</v>
      </c>
      <c r="F4" s="12" t="s">
        <v>59</v>
      </c>
      <c r="G4" s="12" t="s">
        <v>60</v>
      </c>
      <c r="H4" s="12" t="s">
        <v>61</v>
      </c>
      <c r="I4" s="12" t="s">
        <v>62</v>
      </c>
      <c r="J4" s="12" t="s">
        <v>63</v>
      </c>
      <c r="K4" s="12" t="s">
        <v>64</v>
      </c>
      <c r="L4" s="12" t="s">
        <v>65</v>
      </c>
      <c r="M4" s="161" t="s">
        <v>66</v>
      </c>
      <c r="N4" s="11" t="s">
        <v>55</v>
      </c>
      <c r="O4" s="12" t="s">
        <v>56</v>
      </c>
      <c r="P4" s="12" t="s">
        <v>57</v>
      </c>
      <c r="Q4" s="12" t="s">
        <v>58</v>
      </c>
      <c r="R4" s="12" t="s">
        <v>59</v>
      </c>
      <c r="S4" s="12" t="s">
        <v>60</v>
      </c>
      <c r="T4" s="12" t="s">
        <v>61</v>
      </c>
      <c r="U4" s="12" t="s">
        <v>62</v>
      </c>
      <c r="V4" s="12" t="s">
        <v>63</v>
      </c>
      <c r="W4" s="12" t="s">
        <v>64</v>
      </c>
      <c r="X4" s="12" t="s">
        <v>65</v>
      </c>
      <c r="Y4" s="152" t="s">
        <v>67</v>
      </c>
      <c r="Z4" s="11" t="s">
        <v>55</v>
      </c>
      <c r="AA4" s="12" t="s">
        <v>56</v>
      </c>
      <c r="AB4" s="12" t="s">
        <v>57</v>
      </c>
      <c r="AC4" s="12" t="s">
        <v>58</v>
      </c>
      <c r="AD4" s="12" t="s">
        <v>59</v>
      </c>
      <c r="AE4" s="12" t="s">
        <v>60</v>
      </c>
      <c r="AF4" s="12" t="s">
        <v>61</v>
      </c>
      <c r="AG4" s="12" t="s">
        <v>62</v>
      </c>
      <c r="AH4" s="12" t="s">
        <v>63</v>
      </c>
      <c r="AI4" s="12" t="s">
        <v>64</v>
      </c>
      <c r="AJ4" s="12" t="s">
        <v>65</v>
      </c>
      <c r="AK4" s="152" t="s">
        <v>68</v>
      </c>
      <c r="AL4" s="11" t="s">
        <v>55</v>
      </c>
      <c r="AM4" s="12" t="s">
        <v>56</v>
      </c>
      <c r="AN4" s="12" t="s">
        <v>57</v>
      </c>
      <c r="AO4" s="12" t="s">
        <v>58</v>
      </c>
      <c r="AP4" s="12" t="s">
        <v>59</v>
      </c>
      <c r="AQ4" s="12" t="s">
        <v>60</v>
      </c>
      <c r="AR4" s="12" t="s">
        <v>61</v>
      </c>
      <c r="AS4" s="12" t="s">
        <v>62</v>
      </c>
      <c r="AT4" s="12" t="s">
        <v>63</v>
      </c>
      <c r="AU4" s="12" t="s">
        <v>64</v>
      </c>
      <c r="AV4" s="12" t="s">
        <v>65</v>
      </c>
      <c r="AW4" s="161" t="s">
        <v>69</v>
      </c>
      <c r="AX4" s="11" t="s">
        <v>55</v>
      </c>
      <c r="AY4" s="12" t="s">
        <v>56</v>
      </c>
      <c r="AZ4" s="12" t="s">
        <v>57</v>
      </c>
      <c r="BA4" s="12" t="s">
        <v>58</v>
      </c>
      <c r="BB4" s="12" t="s">
        <v>59</v>
      </c>
      <c r="BC4" s="12" t="s">
        <v>60</v>
      </c>
      <c r="BD4" s="12" t="s">
        <v>61</v>
      </c>
      <c r="BE4" s="12" t="s">
        <v>62</v>
      </c>
      <c r="BF4" s="12" t="s">
        <v>63</v>
      </c>
      <c r="BG4" s="12" t="s">
        <v>64</v>
      </c>
      <c r="BH4" s="12" t="s">
        <v>65</v>
      </c>
      <c r="BJ4" s="13"/>
      <c r="BK4" s="14"/>
      <c r="BL4" s="15" t="s">
        <v>70</v>
      </c>
      <c r="BM4" s="16"/>
      <c r="BN4" s="16"/>
      <c r="BO4" s="16"/>
      <c r="BP4" s="16"/>
      <c r="BQ4" s="16"/>
      <c r="BR4" s="16"/>
      <c r="BS4" s="17"/>
    </row>
    <row r="5" spans="1:71" ht="25.5" customHeight="1" x14ac:dyDescent="0.3">
      <c r="A5" s="151"/>
      <c r="B5" s="18" t="s">
        <v>71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51"/>
      <c r="N5" s="18" t="s">
        <v>71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51"/>
      <c r="Z5" s="18" t="s">
        <v>72</v>
      </c>
      <c r="AA5" s="19">
        <v>0</v>
      </c>
      <c r="AB5" s="19">
        <v>0</v>
      </c>
      <c r="AC5" s="19">
        <v>0</v>
      </c>
      <c r="AD5" s="20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51"/>
      <c r="AL5" s="18" t="s">
        <v>72</v>
      </c>
      <c r="AM5" s="19">
        <v>0</v>
      </c>
      <c r="AN5" s="19">
        <v>0</v>
      </c>
      <c r="AO5" s="19">
        <v>0</v>
      </c>
      <c r="AP5" s="20">
        <v>1</v>
      </c>
      <c r="AQ5" s="19">
        <v>1</v>
      </c>
      <c r="AR5" s="19">
        <v>0</v>
      </c>
      <c r="AS5" s="19">
        <v>0</v>
      </c>
      <c r="AT5" s="19">
        <v>1</v>
      </c>
      <c r="AU5" s="19">
        <v>0</v>
      </c>
      <c r="AV5" s="19">
        <v>3</v>
      </c>
      <c r="AW5" s="151"/>
      <c r="AX5" s="18" t="s">
        <v>72</v>
      </c>
      <c r="AY5" s="19">
        <v>0</v>
      </c>
      <c r="AZ5" s="19">
        <v>0</v>
      </c>
      <c r="BA5" s="19">
        <v>0</v>
      </c>
      <c r="BB5" s="20">
        <v>0</v>
      </c>
      <c r="BC5" s="19">
        <v>0</v>
      </c>
      <c r="BD5" s="19">
        <v>1</v>
      </c>
      <c r="BE5" s="19">
        <v>1</v>
      </c>
      <c r="BF5" s="19">
        <v>0</v>
      </c>
      <c r="BG5" s="19">
        <v>0</v>
      </c>
      <c r="BH5" s="19">
        <v>2</v>
      </c>
      <c r="BJ5" s="21"/>
      <c r="BK5" s="14"/>
      <c r="BL5" s="22" t="s">
        <v>70</v>
      </c>
      <c r="BM5" s="16"/>
      <c r="BN5" s="16"/>
      <c r="BO5" s="16"/>
      <c r="BP5" s="16"/>
      <c r="BQ5" s="16"/>
      <c r="BR5" s="16"/>
      <c r="BS5" s="17"/>
    </row>
    <row r="6" spans="1:71" ht="25.5" customHeight="1" x14ac:dyDescent="0.3">
      <c r="A6" s="10"/>
      <c r="B6" s="18" t="s">
        <v>73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0"/>
      <c r="N6" s="18" t="s">
        <v>73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0"/>
      <c r="Z6" s="18" t="s">
        <v>74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20">
        <v>0</v>
      </c>
      <c r="AG6" s="19">
        <v>0</v>
      </c>
      <c r="AH6" s="19">
        <v>0</v>
      </c>
      <c r="AI6" s="19">
        <v>0</v>
      </c>
      <c r="AJ6" s="19">
        <v>0</v>
      </c>
      <c r="AK6" s="10"/>
      <c r="AL6" s="18" t="s">
        <v>74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20">
        <v>0</v>
      </c>
      <c r="AS6" s="19">
        <v>0</v>
      </c>
      <c r="AT6" s="19">
        <v>0</v>
      </c>
      <c r="AU6" s="19">
        <v>0</v>
      </c>
      <c r="AV6" s="19">
        <v>0</v>
      </c>
      <c r="AW6" s="10"/>
      <c r="AX6" s="18" t="s">
        <v>74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20">
        <v>0</v>
      </c>
      <c r="BE6" s="19">
        <v>0</v>
      </c>
      <c r="BF6" s="19">
        <v>0</v>
      </c>
      <c r="BG6" s="19">
        <v>0</v>
      </c>
      <c r="BH6" s="19">
        <v>0</v>
      </c>
      <c r="BJ6" s="21"/>
      <c r="BK6" s="14"/>
      <c r="BL6" s="22" t="s">
        <v>75</v>
      </c>
      <c r="BM6" s="16"/>
      <c r="BN6" s="16"/>
      <c r="BO6" s="16"/>
      <c r="BP6" s="16"/>
      <c r="BQ6" s="16"/>
      <c r="BR6" s="16"/>
      <c r="BS6" s="17"/>
    </row>
    <row r="7" spans="1:71" ht="25.5" customHeight="1" x14ac:dyDescent="0.3">
      <c r="A7" s="10"/>
      <c r="B7" s="18" t="s">
        <v>76</v>
      </c>
      <c r="C7" s="19">
        <v>0</v>
      </c>
      <c r="D7" s="19">
        <v>0</v>
      </c>
      <c r="E7" s="19">
        <v>0</v>
      </c>
      <c r="F7" s="19">
        <v>1</v>
      </c>
      <c r="G7" s="19">
        <v>0</v>
      </c>
      <c r="H7" s="19">
        <v>0</v>
      </c>
      <c r="I7" s="19">
        <v>1</v>
      </c>
      <c r="J7" s="19">
        <v>0</v>
      </c>
      <c r="K7" s="19">
        <v>0</v>
      </c>
      <c r="L7" s="19">
        <v>2</v>
      </c>
      <c r="M7" s="10"/>
      <c r="N7" s="18" t="s">
        <v>76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0"/>
      <c r="Z7" s="18" t="s">
        <v>77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0"/>
      <c r="AL7" s="18" t="s">
        <v>77</v>
      </c>
      <c r="AM7" s="19">
        <v>0</v>
      </c>
      <c r="AN7" s="19">
        <v>0</v>
      </c>
      <c r="AO7" s="19">
        <v>0</v>
      </c>
      <c r="AP7" s="19">
        <v>0</v>
      </c>
      <c r="AQ7" s="19">
        <v>1</v>
      </c>
      <c r="AR7" s="19">
        <v>0</v>
      </c>
      <c r="AS7" s="19">
        <v>0</v>
      </c>
      <c r="AT7" s="19">
        <v>0</v>
      </c>
      <c r="AU7" s="19">
        <v>0</v>
      </c>
      <c r="AV7" s="19">
        <v>1</v>
      </c>
      <c r="AW7" s="10"/>
      <c r="AX7" s="18" t="s">
        <v>77</v>
      </c>
      <c r="AY7" s="19">
        <v>0</v>
      </c>
      <c r="AZ7" s="19">
        <v>0</v>
      </c>
      <c r="BA7" s="19">
        <v>0</v>
      </c>
      <c r="BB7" s="19">
        <v>1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1</v>
      </c>
      <c r="BJ7" s="23"/>
      <c r="BK7" s="14"/>
      <c r="BL7" s="24" t="s">
        <v>78</v>
      </c>
      <c r="BM7" s="16"/>
      <c r="BN7" s="16"/>
      <c r="BO7" s="16"/>
      <c r="BP7" s="16"/>
      <c r="BQ7" s="16"/>
      <c r="BR7" s="16"/>
      <c r="BS7" s="17"/>
    </row>
    <row r="8" spans="1:71" ht="25.5" customHeight="1" x14ac:dyDescent="0.3">
      <c r="A8" s="10"/>
      <c r="B8" s="18" t="s">
        <v>79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25" t="s">
        <v>80</v>
      </c>
      <c r="K8" s="19">
        <v>0</v>
      </c>
      <c r="L8" s="19">
        <v>0</v>
      </c>
      <c r="M8" s="10"/>
      <c r="N8" s="18" t="s">
        <v>79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25" t="s">
        <v>80</v>
      </c>
      <c r="W8" s="19">
        <v>0</v>
      </c>
      <c r="X8" s="19">
        <v>0</v>
      </c>
      <c r="Y8" s="10"/>
      <c r="Z8" s="18" t="s">
        <v>81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0"/>
      <c r="AL8" s="18" t="s">
        <v>81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26"/>
      <c r="AX8" s="27" t="s">
        <v>81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J8" s="23"/>
      <c r="BK8" s="14"/>
      <c r="BL8" s="24" t="s">
        <v>78</v>
      </c>
      <c r="BM8" s="16"/>
      <c r="BN8" s="16"/>
      <c r="BO8" s="16"/>
      <c r="BP8" s="16"/>
      <c r="BQ8" s="16"/>
      <c r="BR8" s="16"/>
      <c r="BS8" s="17"/>
    </row>
    <row r="9" spans="1:71" ht="25.5" customHeight="1" x14ac:dyDescent="0.3">
      <c r="A9" s="10"/>
      <c r="B9" s="18" t="s">
        <v>82</v>
      </c>
      <c r="C9" s="19">
        <v>0</v>
      </c>
      <c r="D9" s="19">
        <v>1</v>
      </c>
      <c r="E9" s="19">
        <v>0</v>
      </c>
      <c r="F9" s="19">
        <v>0</v>
      </c>
      <c r="G9" s="19">
        <v>0</v>
      </c>
      <c r="H9" s="19">
        <v>1</v>
      </c>
      <c r="I9" s="19">
        <v>0</v>
      </c>
      <c r="J9" s="19">
        <v>0</v>
      </c>
      <c r="K9" s="19">
        <v>0</v>
      </c>
      <c r="L9" s="19">
        <v>3</v>
      </c>
      <c r="M9" s="10"/>
      <c r="N9" s="18" t="s">
        <v>82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J9" s="21"/>
      <c r="BK9" s="14"/>
      <c r="BL9" s="22" t="s">
        <v>75</v>
      </c>
      <c r="BM9" s="16"/>
      <c r="BN9" s="16"/>
      <c r="BO9" s="16"/>
      <c r="BP9" s="16"/>
      <c r="BQ9" s="16"/>
      <c r="BR9" s="16"/>
      <c r="BS9" s="17"/>
    </row>
    <row r="10" spans="1:71" ht="25.5" customHeight="1" x14ac:dyDescent="0.3">
      <c r="A10" s="10"/>
      <c r="B10" s="27" t="s">
        <v>83</v>
      </c>
      <c r="C10" s="29">
        <v>1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19">
        <v>0</v>
      </c>
      <c r="K10" s="29">
        <v>0</v>
      </c>
      <c r="L10" s="29">
        <v>2</v>
      </c>
      <c r="M10" s="10"/>
      <c r="N10" s="27" t="s">
        <v>83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19">
        <v>0</v>
      </c>
      <c r="W10" s="29">
        <v>0</v>
      </c>
      <c r="X10" s="29">
        <v>0</v>
      </c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J10" s="30"/>
      <c r="BK10" s="14"/>
      <c r="BL10" s="31" t="s">
        <v>11</v>
      </c>
      <c r="BM10" s="16"/>
      <c r="BN10" s="16"/>
      <c r="BO10" s="16"/>
      <c r="BP10" s="16"/>
      <c r="BQ10" s="16"/>
      <c r="BR10" s="16"/>
      <c r="BS10" s="17"/>
    </row>
    <row r="11" spans="1:71" ht="25.5" customHeight="1" x14ac:dyDescent="0.3">
      <c r="A11" s="10" t="s">
        <v>84</v>
      </c>
      <c r="B11" s="3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J11" s="30"/>
      <c r="BK11" s="14"/>
      <c r="BL11" s="31" t="s">
        <v>11</v>
      </c>
      <c r="BM11" s="16"/>
      <c r="BN11" s="16"/>
      <c r="BO11" s="16"/>
      <c r="BP11" s="16"/>
      <c r="BQ11" s="16"/>
      <c r="BR11" s="16"/>
      <c r="BS11" s="17"/>
    </row>
    <row r="12" spans="1:71" ht="25.5" customHeight="1" x14ac:dyDescent="0.3">
      <c r="A12" s="152" t="s">
        <v>85</v>
      </c>
      <c r="B12" s="11" t="s">
        <v>55</v>
      </c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65</v>
      </c>
      <c r="M12" s="152" t="s">
        <v>86</v>
      </c>
      <c r="N12" s="11" t="s">
        <v>55</v>
      </c>
      <c r="O12" s="12" t="s">
        <v>56</v>
      </c>
      <c r="P12" s="12" t="s">
        <v>57</v>
      </c>
      <c r="Q12" s="12" t="s">
        <v>58</v>
      </c>
      <c r="R12" s="12" t="s">
        <v>59</v>
      </c>
      <c r="S12" s="12" t="s">
        <v>60</v>
      </c>
      <c r="T12" s="12" t="s">
        <v>61</v>
      </c>
      <c r="U12" s="12" t="s">
        <v>62</v>
      </c>
      <c r="V12" s="12" t="s">
        <v>63</v>
      </c>
      <c r="W12" s="12" t="s">
        <v>64</v>
      </c>
      <c r="X12" s="12" t="s">
        <v>65</v>
      </c>
      <c r="Y12" s="152" t="s">
        <v>87</v>
      </c>
      <c r="Z12" s="11" t="s">
        <v>55</v>
      </c>
      <c r="AA12" s="12" t="s">
        <v>56</v>
      </c>
      <c r="AB12" s="12" t="s">
        <v>57</v>
      </c>
      <c r="AC12" s="12" t="s">
        <v>58</v>
      </c>
      <c r="AD12" s="12" t="s">
        <v>59</v>
      </c>
      <c r="AE12" s="12" t="s">
        <v>60</v>
      </c>
      <c r="AF12" s="12" t="s">
        <v>61</v>
      </c>
      <c r="AG12" s="12" t="s">
        <v>62</v>
      </c>
      <c r="AH12" s="12" t="s">
        <v>63</v>
      </c>
      <c r="AI12" s="12" t="s">
        <v>64</v>
      </c>
      <c r="AJ12" s="12" t="s">
        <v>65</v>
      </c>
      <c r="AK12" s="152" t="s">
        <v>88</v>
      </c>
      <c r="AL12" s="11" t="s">
        <v>55</v>
      </c>
      <c r="AM12" s="12" t="s">
        <v>56</v>
      </c>
      <c r="AN12" s="12" t="s">
        <v>57</v>
      </c>
      <c r="AO12" s="12" t="s">
        <v>58</v>
      </c>
      <c r="AP12" s="12" t="s">
        <v>59</v>
      </c>
      <c r="AQ12" s="12" t="s">
        <v>60</v>
      </c>
      <c r="AR12" s="12" t="s">
        <v>61</v>
      </c>
      <c r="AS12" s="12" t="s">
        <v>62</v>
      </c>
      <c r="AT12" s="12" t="s">
        <v>63</v>
      </c>
      <c r="AU12" s="12" t="s">
        <v>64</v>
      </c>
      <c r="AV12" s="12" t="s">
        <v>65</v>
      </c>
      <c r="AW12" s="152" t="s">
        <v>89</v>
      </c>
      <c r="AX12" s="11" t="s">
        <v>55</v>
      </c>
      <c r="AY12" s="12" t="s">
        <v>56</v>
      </c>
      <c r="AZ12" s="12" t="s">
        <v>57</v>
      </c>
      <c r="BA12" s="12" t="s">
        <v>58</v>
      </c>
      <c r="BB12" s="12" t="s">
        <v>59</v>
      </c>
      <c r="BC12" s="12" t="s">
        <v>60</v>
      </c>
      <c r="BD12" s="12" t="s">
        <v>61</v>
      </c>
      <c r="BE12" s="12" t="s">
        <v>62</v>
      </c>
      <c r="BF12" s="12" t="s">
        <v>63</v>
      </c>
      <c r="BG12" s="12" t="s">
        <v>64</v>
      </c>
      <c r="BH12" s="12" t="s">
        <v>65</v>
      </c>
      <c r="BJ12" s="13"/>
      <c r="BK12" s="14"/>
      <c r="BL12" s="15" t="s">
        <v>70</v>
      </c>
      <c r="BM12" s="16"/>
      <c r="BN12" s="16"/>
      <c r="BO12" s="16"/>
      <c r="BP12" s="16"/>
      <c r="BQ12" s="16"/>
      <c r="BR12" s="16"/>
      <c r="BS12" s="17"/>
    </row>
    <row r="13" spans="1:71" ht="25.5" customHeight="1" x14ac:dyDescent="0.3">
      <c r="A13" s="151"/>
      <c r="B13" s="18" t="s">
        <v>71</v>
      </c>
      <c r="C13" s="19">
        <v>0</v>
      </c>
      <c r="D13" s="19">
        <v>0</v>
      </c>
      <c r="E13" s="19">
        <v>2</v>
      </c>
      <c r="F13" s="19">
        <v>0</v>
      </c>
      <c r="G13" s="19">
        <v>0</v>
      </c>
      <c r="H13" s="19">
        <v>0</v>
      </c>
      <c r="I13" s="19">
        <v>1</v>
      </c>
      <c r="J13" s="19">
        <v>0</v>
      </c>
      <c r="K13" s="19">
        <v>0</v>
      </c>
      <c r="L13" s="19">
        <v>4</v>
      </c>
      <c r="M13" s="151"/>
      <c r="N13" s="18" t="s">
        <v>71</v>
      </c>
      <c r="O13" s="19">
        <v>1</v>
      </c>
      <c r="P13" s="19">
        <v>0</v>
      </c>
      <c r="Q13" s="19">
        <v>0</v>
      </c>
      <c r="R13" s="19">
        <v>0</v>
      </c>
      <c r="S13" s="19">
        <v>0</v>
      </c>
      <c r="T13" s="19">
        <v>1</v>
      </c>
      <c r="U13" s="19">
        <v>0</v>
      </c>
      <c r="V13" s="19">
        <v>0</v>
      </c>
      <c r="W13" s="19">
        <v>0</v>
      </c>
      <c r="X13" s="19">
        <v>7</v>
      </c>
      <c r="Y13" s="151"/>
      <c r="Z13" s="18" t="s">
        <v>71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51"/>
      <c r="AL13" s="18" t="s">
        <v>71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51"/>
      <c r="AX13" s="18" t="s">
        <v>71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J13" s="23"/>
      <c r="BK13" s="14"/>
      <c r="BL13" s="24" t="s">
        <v>78</v>
      </c>
      <c r="BM13" s="16"/>
      <c r="BN13" s="16"/>
      <c r="BO13" s="16"/>
      <c r="BP13" s="16"/>
      <c r="BQ13" s="16"/>
      <c r="BR13" s="16"/>
      <c r="BS13" s="17"/>
    </row>
    <row r="14" spans="1:71" ht="25.5" customHeight="1" x14ac:dyDescent="0.3">
      <c r="A14" s="10"/>
      <c r="B14" s="18" t="s">
        <v>73</v>
      </c>
      <c r="C14" s="19">
        <v>1</v>
      </c>
      <c r="D14" s="19">
        <v>0</v>
      </c>
      <c r="E14" s="19">
        <v>0</v>
      </c>
      <c r="F14" s="19">
        <v>1</v>
      </c>
      <c r="G14" s="19">
        <v>0</v>
      </c>
      <c r="H14" s="19">
        <v>0</v>
      </c>
      <c r="I14" s="19">
        <v>1</v>
      </c>
      <c r="J14" s="19">
        <v>0</v>
      </c>
      <c r="K14" s="19">
        <v>0</v>
      </c>
      <c r="L14" s="19">
        <v>3</v>
      </c>
      <c r="M14" s="10"/>
      <c r="N14" s="18" t="s">
        <v>73</v>
      </c>
      <c r="O14" s="19">
        <v>1</v>
      </c>
      <c r="P14" s="19">
        <v>1</v>
      </c>
      <c r="Q14" s="19">
        <v>1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3</v>
      </c>
      <c r="Y14" s="10"/>
      <c r="Z14" s="18" t="s">
        <v>73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0"/>
      <c r="AL14" s="18" t="s">
        <v>73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0"/>
      <c r="AX14" s="18" t="s">
        <v>73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J14" s="23"/>
      <c r="BK14" s="14"/>
      <c r="BL14" s="24" t="s">
        <v>78</v>
      </c>
      <c r="BM14" s="16"/>
      <c r="BN14" s="16"/>
      <c r="BO14" s="16"/>
      <c r="BP14" s="16"/>
      <c r="BQ14" s="16"/>
      <c r="BR14" s="16"/>
      <c r="BS14" s="17"/>
    </row>
    <row r="15" spans="1:71" ht="25.5" customHeight="1" x14ac:dyDescent="0.3">
      <c r="A15" s="10"/>
      <c r="B15" s="18" t="s">
        <v>76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0"/>
      <c r="N15" s="18" t="s">
        <v>76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0"/>
      <c r="Z15" s="18" t="s">
        <v>76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0"/>
      <c r="AL15" s="18" t="s">
        <v>76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0"/>
      <c r="AX15" s="18" t="s">
        <v>76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J15" s="21"/>
      <c r="BK15" s="14"/>
      <c r="BL15" s="22" t="s">
        <v>75</v>
      </c>
      <c r="BM15" s="16"/>
      <c r="BN15" s="16"/>
      <c r="BO15" s="16"/>
      <c r="BP15" s="16"/>
      <c r="BQ15" s="16"/>
      <c r="BR15" s="16"/>
      <c r="BS15" s="17"/>
    </row>
    <row r="16" spans="1:71" ht="14.25" customHeight="1" x14ac:dyDescent="0.3">
      <c r="A16" s="10"/>
      <c r="B16" s="18" t="s">
        <v>79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25" t="s">
        <v>80</v>
      </c>
      <c r="K16" s="19">
        <v>0</v>
      </c>
      <c r="L16" s="19">
        <v>0</v>
      </c>
      <c r="M16" s="10"/>
      <c r="N16" s="18" t="s">
        <v>79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25" t="s">
        <v>80</v>
      </c>
      <c r="W16" s="19">
        <v>0</v>
      </c>
      <c r="X16" s="19">
        <v>0</v>
      </c>
      <c r="Y16" s="10"/>
      <c r="Z16" s="18" t="s">
        <v>79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25" t="s">
        <v>80</v>
      </c>
      <c r="AI16" s="19">
        <v>0</v>
      </c>
      <c r="AJ16" s="19">
        <v>0</v>
      </c>
      <c r="AK16" s="10"/>
      <c r="AL16" s="18" t="s">
        <v>79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25" t="s">
        <v>80</v>
      </c>
      <c r="AU16" s="19">
        <v>0</v>
      </c>
      <c r="AV16" s="19">
        <v>0</v>
      </c>
      <c r="AW16" s="10"/>
      <c r="AX16" s="18" t="s">
        <v>79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25" t="s">
        <v>80</v>
      </c>
      <c r="BG16" s="19">
        <v>0</v>
      </c>
      <c r="BH16" s="19">
        <v>0</v>
      </c>
    </row>
    <row r="17" spans="1:71" ht="36" customHeight="1" x14ac:dyDescent="0.3">
      <c r="A17" s="10"/>
      <c r="B17" s="27" t="s">
        <v>90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10"/>
      <c r="N17" s="27" t="s">
        <v>90</v>
      </c>
      <c r="O17" s="29">
        <v>0</v>
      </c>
      <c r="P17" s="29">
        <v>0</v>
      </c>
      <c r="Q17" s="29">
        <v>0</v>
      </c>
      <c r="R17" s="29">
        <v>1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1</v>
      </c>
      <c r="Y17" s="10"/>
      <c r="Z17" s="27" t="s">
        <v>90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10"/>
      <c r="AL17" s="27" t="s">
        <v>90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10"/>
      <c r="AX17" s="27" t="s">
        <v>90</v>
      </c>
      <c r="AY17" s="29">
        <v>0</v>
      </c>
      <c r="AZ17" s="29">
        <v>0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0</v>
      </c>
      <c r="BJ17" s="154" t="s">
        <v>91</v>
      </c>
      <c r="BK17" s="151"/>
      <c r="BL17" s="151"/>
      <c r="BM17" s="151"/>
      <c r="BN17" s="151"/>
      <c r="BO17" s="151"/>
      <c r="BP17" s="151"/>
      <c r="BQ17" s="151"/>
      <c r="BR17" s="151"/>
      <c r="BS17" s="151"/>
    </row>
    <row r="20" spans="1:71" ht="25.5" customHeight="1" x14ac:dyDescent="0.3">
      <c r="A20" s="160" t="s">
        <v>92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</row>
    <row r="21" spans="1:71" ht="14.25" customHeight="1" x14ac:dyDescent="0.3">
      <c r="A21" s="33"/>
      <c r="B21" s="34"/>
      <c r="C21" s="12" t="s">
        <v>56</v>
      </c>
      <c r="D21" s="12" t="s">
        <v>57</v>
      </c>
      <c r="E21" s="12" t="s">
        <v>59</v>
      </c>
      <c r="F21" s="12" t="s">
        <v>60</v>
      </c>
      <c r="G21" s="12" t="s">
        <v>61</v>
      </c>
      <c r="H21" s="12" t="s">
        <v>62</v>
      </c>
      <c r="I21" s="12" t="s">
        <v>65</v>
      </c>
      <c r="J21" s="33"/>
      <c r="K21" s="34"/>
      <c r="L21" s="12" t="s">
        <v>56</v>
      </c>
      <c r="M21" s="12" t="s">
        <v>57</v>
      </c>
      <c r="N21" s="12" t="s">
        <v>59</v>
      </c>
      <c r="O21" s="12" t="s">
        <v>60</v>
      </c>
      <c r="P21" s="12" t="s">
        <v>61</v>
      </c>
      <c r="Q21" s="12" t="s">
        <v>62</v>
      </c>
      <c r="R21" s="12" t="s">
        <v>65</v>
      </c>
      <c r="S21" s="33"/>
      <c r="T21" s="34"/>
      <c r="U21" s="12" t="s">
        <v>56</v>
      </c>
      <c r="V21" s="12" t="s">
        <v>57</v>
      </c>
      <c r="W21" s="12" t="s">
        <v>59</v>
      </c>
      <c r="X21" s="12" t="s">
        <v>60</v>
      </c>
      <c r="Y21" s="12" t="s">
        <v>61</v>
      </c>
      <c r="Z21" s="12" t="s">
        <v>62</v>
      </c>
      <c r="AA21" s="12" t="s">
        <v>65</v>
      </c>
      <c r="AB21" s="33"/>
      <c r="AC21" s="34"/>
      <c r="AD21" s="12" t="s">
        <v>56</v>
      </c>
      <c r="AE21" s="12" t="s">
        <v>57</v>
      </c>
      <c r="AF21" s="12" t="s">
        <v>59</v>
      </c>
      <c r="AG21" s="12" t="s">
        <v>60</v>
      </c>
      <c r="AH21" s="12" t="s">
        <v>61</v>
      </c>
      <c r="AI21" s="12" t="s">
        <v>62</v>
      </c>
      <c r="AJ21" s="12" t="s">
        <v>65</v>
      </c>
      <c r="AK21" s="33"/>
      <c r="AL21" s="34"/>
      <c r="AM21" s="12" t="s">
        <v>56</v>
      </c>
      <c r="AN21" s="12" t="s">
        <v>57</v>
      </c>
      <c r="AO21" s="12" t="s">
        <v>59</v>
      </c>
      <c r="AP21" s="12" t="s">
        <v>60</v>
      </c>
      <c r="AQ21" s="12" t="s">
        <v>61</v>
      </c>
      <c r="AR21" s="12" t="s">
        <v>62</v>
      </c>
      <c r="AS21" s="12" t="s">
        <v>65</v>
      </c>
      <c r="AT21" s="33"/>
      <c r="AU21" s="34"/>
      <c r="AV21" s="12" t="s">
        <v>56</v>
      </c>
      <c r="AW21" s="12" t="s">
        <v>57</v>
      </c>
      <c r="AX21" s="12" t="s">
        <v>59</v>
      </c>
      <c r="AY21" s="12" t="s">
        <v>60</v>
      </c>
      <c r="AZ21" s="12" t="s">
        <v>61</v>
      </c>
      <c r="BA21" s="12" t="s">
        <v>62</v>
      </c>
      <c r="BB21" s="12" t="s">
        <v>65</v>
      </c>
    </row>
    <row r="22" spans="1:71" ht="14.25" customHeight="1" x14ac:dyDescent="0.3">
      <c r="A22" s="33" t="s">
        <v>68</v>
      </c>
      <c r="B22" s="34" t="s">
        <v>93</v>
      </c>
      <c r="C22" s="35">
        <v>1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1</v>
      </c>
      <c r="J22" s="33" t="s">
        <v>54</v>
      </c>
      <c r="K22" s="34" t="s">
        <v>93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3" t="s">
        <v>94</v>
      </c>
      <c r="T22" s="34" t="s">
        <v>93</v>
      </c>
      <c r="U22" s="35">
        <v>4</v>
      </c>
      <c r="V22" s="35">
        <v>0</v>
      </c>
      <c r="W22" s="35">
        <v>8</v>
      </c>
      <c r="X22" s="35">
        <v>1</v>
      </c>
      <c r="Y22" s="35">
        <v>0</v>
      </c>
      <c r="Z22" s="35">
        <v>0</v>
      </c>
      <c r="AA22" s="35">
        <v>13</v>
      </c>
      <c r="AB22" s="33" t="s">
        <v>86</v>
      </c>
      <c r="AC22" s="34" t="s">
        <v>93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5">
        <v>1</v>
      </c>
      <c r="AK22" s="33" t="s">
        <v>85</v>
      </c>
      <c r="AL22" s="34" t="s">
        <v>93</v>
      </c>
      <c r="AM22" s="35">
        <v>0</v>
      </c>
      <c r="AN22" s="35">
        <v>0</v>
      </c>
      <c r="AO22" s="35">
        <v>5</v>
      </c>
      <c r="AP22" s="35">
        <v>0</v>
      </c>
      <c r="AQ22" s="35">
        <v>0</v>
      </c>
      <c r="AR22" s="35">
        <v>0</v>
      </c>
      <c r="AS22" s="35">
        <v>5</v>
      </c>
      <c r="AT22" s="33" t="s">
        <v>88</v>
      </c>
      <c r="AU22" s="34" t="s">
        <v>93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</row>
    <row r="23" spans="1:71" ht="14.25" customHeight="1" x14ac:dyDescent="0.3">
      <c r="A23" s="33" t="s">
        <v>68</v>
      </c>
      <c r="B23" s="34" t="s">
        <v>95</v>
      </c>
      <c r="C23" s="35">
        <v>1</v>
      </c>
      <c r="D23" s="35">
        <v>0</v>
      </c>
      <c r="E23" s="35">
        <v>1</v>
      </c>
      <c r="F23" s="35">
        <v>0</v>
      </c>
      <c r="G23" s="35">
        <v>0</v>
      </c>
      <c r="H23" s="35">
        <v>0</v>
      </c>
      <c r="I23" s="35">
        <v>2</v>
      </c>
      <c r="J23" s="33" t="s">
        <v>54</v>
      </c>
      <c r="K23" s="34" t="s">
        <v>95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3" t="s">
        <v>94</v>
      </c>
      <c r="T23" s="34" t="s">
        <v>95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3" t="s">
        <v>86</v>
      </c>
      <c r="AC23" s="34" t="s">
        <v>95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v>0</v>
      </c>
      <c r="AK23" s="33" t="s">
        <v>85</v>
      </c>
      <c r="AL23" s="34" t="s">
        <v>95</v>
      </c>
      <c r="AM23" s="35">
        <v>0</v>
      </c>
      <c r="AN23" s="35">
        <v>0</v>
      </c>
      <c r="AO23" s="35">
        <v>0</v>
      </c>
      <c r="AP23" s="35">
        <v>0</v>
      </c>
      <c r="AQ23" s="35">
        <v>1</v>
      </c>
      <c r="AR23" s="35">
        <v>0</v>
      </c>
      <c r="AS23" s="35">
        <v>1</v>
      </c>
      <c r="AT23" s="33" t="s">
        <v>88</v>
      </c>
      <c r="AU23" s="34" t="s">
        <v>95</v>
      </c>
      <c r="AV23" s="35">
        <v>0</v>
      </c>
      <c r="AW23" s="35">
        <v>1</v>
      </c>
      <c r="AX23" s="35">
        <v>0</v>
      </c>
      <c r="AY23" s="35">
        <v>0</v>
      </c>
      <c r="AZ23" s="35">
        <v>0</v>
      </c>
      <c r="BA23" s="35">
        <v>0</v>
      </c>
      <c r="BB23" s="35">
        <v>2</v>
      </c>
    </row>
    <row r="24" spans="1:71" ht="14.25" customHeight="1" x14ac:dyDescent="0.3">
      <c r="A24" s="33" t="s">
        <v>68</v>
      </c>
      <c r="B24" s="34" t="s">
        <v>96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3" t="s">
        <v>54</v>
      </c>
      <c r="K24" s="34" t="s">
        <v>96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3" t="s">
        <v>94</v>
      </c>
      <c r="T24" s="34" t="s">
        <v>96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3" t="s">
        <v>86</v>
      </c>
      <c r="AC24" s="34" t="s">
        <v>96</v>
      </c>
      <c r="AD24" s="35">
        <v>0</v>
      </c>
      <c r="AE24" s="35">
        <v>0</v>
      </c>
      <c r="AF24" s="35">
        <v>0</v>
      </c>
      <c r="AG24" s="35">
        <v>0</v>
      </c>
      <c r="AH24" s="35">
        <v>1</v>
      </c>
      <c r="AI24" s="35">
        <v>1</v>
      </c>
      <c r="AJ24" s="35">
        <v>2</v>
      </c>
      <c r="AK24" s="33" t="s">
        <v>85</v>
      </c>
      <c r="AL24" s="34" t="s">
        <v>96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3" t="s">
        <v>88</v>
      </c>
      <c r="AU24" s="34" t="s">
        <v>96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</row>
    <row r="25" spans="1:71" ht="14.25" customHeight="1" x14ac:dyDescent="0.3">
      <c r="A25" s="33" t="s">
        <v>68</v>
      </c>
      <c r="B25" s="34" t="s">
        <v>93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3" t="s">
        <v>54</v>
      </c>
      <c r="K25" s="34" t="s">
        <v>93</v>
      </c>
      <c r="L25" s="35">
        <v>3</v>
      </c>
      <c r="M25" s="35">
        <v>0</v>
      </c>
      <c r="N25" s="35">
        <v>0</v>
      </c>
      <c r="O25" s="35">
        <v>0</v>
      </c>
      <c r="P25" s="35">
        <v>6</v>
      </c>
      <c r="Q25" s="35">
        <v>0</v>
      </c>
      <c r="R25" s="35">
        <v>10</v>
      </c>
      <c r="S25" s="33" t="s">
        <v>94</v>
      </c>
      <c r="T25" s="34" t="s">
        <v>93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3" t="s">
        <v>86</v>
      </c>
      <c r="AC25" s="34" t="s">
        <v>93</v>
      </c>
      <c r="AD25" s="35">
        <v>0</v>
      </c>
      <c r="AE25" s="35">
        <v>0</v>
      </c>
      <c r="AF25" s="35">
        <v>1</v>
      </c>
      <c r="AG25" s="35">
        <v>0</v>
      </c>
      <c r="AH25" s="35">
        <v>1</v>
      </c>
      <c r="AI25" s="35">
        <v>0</v>
      </c>
      <c r="AJ25" s="35">
        <v>2</v>
      </c>
      <c r="AK25" s="33" t="s">
        <v>85</v>
      </c>
      <c r="AL25" s="34" t="s">
        <v>93</v>
      </c>
      <c r="AM25" s="35">
        <v>7</v>
      </c>
      <c r="AN25" s="35">
        <v>0</v>
      </c>
      <c r="AO25" s="35">
        <v>8</v>
      </c>
      <c r="AP25" s="35">
        <v>0</v>
      </c>
      <c r="AQ25" s="35">
        <v>1</v>
      </c>
      <c r="AR25" s="35">
        <v>0</v>
      </c>
      <c r="AS25" s="35">
        <v>16</v>
      </c>
      <c r="AT25" s="33" t="s">
        <v>88</v>
      </c>
      <c r="AU25" s="34" t="s">
        <v>93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</row>
    <row r="26" spans="1:71" ht="14.25" customHeight="1" x14ac:dyDescent="0.3">
      <c r="A26" s="33" t="s">
        <v>68</v>
      </c>
      <c r="B26" s="34" t="s">
        <v>95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3" t="s">
        <v>54</v>
      </c>
      <c r="K26" s="34" t="s">
        <v>95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3" t="s">
        <v>94</v>
      </c>
      <c r="T26" s="34" t="s">
        <v>95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3" t="s">
        <v>86</v>
      </c>
      <c r="AC26" s="34" t="s">
        <v>95</v>
      </c>
      <c r="AD26" s="35">
        <v>0</v>
      </c>
      <c r="AE26" s="35">
        <v>0</v>
      </c>
      <c r="AF26" s="35">
        <v>2</v>
      </c>
      <c r="AG26" s="35">
        <v>0</v>
      </c>
      <c r="AH26" s="35">
        <v>2</v>
      </c>
      <c r="AI26" s="35">
        <v>0</v>
      </c>
      <c r="AJ26" s="35">
        <v>5</v>
      </c>
      <c r="AK26" s="33" t="s">
        <v>85</v>
      </c>
      <c r="AL26" s="34" t="s">
        <v>95</v>
      </c>
      <c r="AM26" s="35">
        <v>1</v>
      </c>
      <c r="AN26" s="35">
        <v>0</v>
      </c>
      <c r="AO26" s="35">
        <v>2</v>
      </c>
      <c r="AP26" s="35">
        <v>0</v>
      </c>
      <c r="AQ26" s="35">
        <v>0</v>
      </c>
      <c r="AR26" s="35">
        <v>0</v>
      </c>
      <c r="AS26" s="35">
        <v>3</v>
      </c>
      <c r="AT26" s="33" t="s">
        <v>88</v>
      </c>
      <c r="AU26" s="34" t="s">
        <v>95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</row>
    <row r="27" spans="1:71" ht="14.25" customHeight="1" x14ac:dyDescent="0.3">
      <c r="A27" s="33" t="s">
        <v>68</v>
      </c>
      <c r="B27" s="36" t="s">
        <v>96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3" t="s">
        <v>54</v>
      </c>
      <c r="K27" s="36" t="s">
        <v>96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3" t="s">
        <v>94</v>
      </c>
      <c r="T27" s="36" t="s">
        <v>96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3" t="s">
        <v>86</v>
      </c>
      <c r="AC27" s="36" t="s">
        <v>96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3" t="s">
        <v>85</v>
      </c>
      <c r="AL27" s="36" t="s">
        <v>96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3" t="s">
        <v>88</v>
      </c>
      <c r="AU27" s="36" t="s">
        <v>96</v>
      </c>
      <c r="AV27" s="37">
        <v>0</v>
      </c>
      <c r="AW27" s="37">
        <v>0</v>
      </c>
      <c r="AX27" s="37">
        <v>0</v>
      </c>
      <c r="AY27" s="37">
        <v>0</v>
      </c>
      <c r="AZ27" s="37">
        <v>0</v>
      </c>
      <c r="BA27" s="37">
        <v>0</v>
      </c>
      <c r="BB27" s="37">
        <v>0</v>
      </c>
    </row>
    <row r="28" spans="1:71" ht="14.25" customHeight="1" x14ac:dyDescent="0.3">
      <c r="A28" s="33"/>
      <c r="B28" s="34"/>
      <c r="C28" s="38" t="s">
        <v>56</v>
      </c>
      <c r="D28" s="38" t="s">
        <v>57</v>
      </c>
      <c r="E28" s="38" t="s">
        <v>59</v>
      </c>
      <c r="F28" s="38" t="s">
        <v>60</v>
      </c>
      <c r="G28" s="38" t="s">
        <v>61</v>
      </c>
      <c r="H28" s="38" t="s">
        <v>62</v>
      </c>
      <c r="I28" s="38" t="s">
        <v>65</v>
      </c>
      <c r="J28" s="33"/>
      <c r="K28" s="34"/>
      <c r="L28" s="38" t="s">
        <v>56</v>
      </c>
      <c r="M28" s="38" t="s">
        <v>57</v>
      </c>
      <c r="N28" s="38" t="s">
        <v>59</v>
      </c>
      <c r="O28" s="38" t="s">
        <v>60</v>
      </c>
      <c r="P28" s="38" t="s">
        <v>61</v>
      </c>
      <c r="Q28" s="38" t="s">
        <v>62</v>
      </c>
      <c r="R28" s="38" t="s">
        <v>65</v>
      </c>
      <c r="S28" s="33"/>
      <c r="T28" s="34"/>
      <c r="U28" s="38" t="s">
        <v>56</v>
      </c>
      <c r="V28" s="38" t="s">
        <v>57</v>
      </c>
      <c r="W28" s="38" t="s">
        <v>59</v>
      </c>
      <c r="X28" s="38" t="s">
        <v>60</v>
      </c>
      <c r="Y28" s="38" t="s">
        <v>61</v>
      </c>
      <c r="Z28" s="38" t="s">
        <v>62</v>
      </c>
      <c r="AA28" s="38" t="s">
        <v>65</v>
      </c>
      <c r="AB28" s="33"/>
      <c r="AC28" s="34"/>
      <c r="AD28" s="38" t="s">
        <v>56</v>
      </c>
      <c r="AE28" s="38" t="s">
        <v>57</v>
      </c>
      <c r="AF28" s="38" t="s">
        <v>59</v>
      </c>
      <c r="AG28" s="38" t="s">
        <v>60</v>
      </c>
      <c r="AH28" s="38" t="s">
        <v>61</v>
      </c>
      <c r="AI28" s="38" t="s">
        <v>62</v>
      </c>
      <c r="AJ28" s="38" t="s">
        <v>65</v>
      </c>
      <c r="AK28" s="33"/>
      <c r="AL28" s="34"/>
      <c r="AM28" s="38" t="s">
        <v>56</v>
      </c>
      <c r="AN28" s="38" t="s">
        <v>57</v>
      </c>
      <c r="AO28" s="38" t="s">
        <v>59</v>
      </c>
      <c r="AP28" s="38" t="s">
        <v>60</v>
      </c>
      <c r="AQ28" s="38" t="s">
        <v>61</v>
      </c>
      <c r="AR28" s="38" t="s">
        <v>62</v>
      </c>
      <c r="AS28" s="38" t="s">
        <v>65</v>
      </c>
      <c r="AT28" s="33"/>
      <c r="AU28" s="34"/>
      <c r="AV28" s="38" t="s">
        <v>56</v>
      </c>
      <c r="AW28" s="38" t="s">
        <v>57</v>
      </c>
      <c r="AX28" s="38" t="s">
        <v>59</v>
      </c>
      <c r="AY28" s="38" t="s">
        <v>60</v>
      </c>
      <c r="AZ28" s="38" t="s">
        <v>61</v>
      </c>
      <c r="BA28" s="38" t="s">
        <v>62</v>
      </c>
      <c r="BB28" s="38" t="s">
        <v>65</v>
      </c>
    </row>
    <row r="29" spans="1:71" ht="14.25" customHeight="1" x14ac:dyDescent="0.3">
      <c r="A29" s="33" t="s">
        <v>97</v>
      </c>
      <c r="B29" s="34" t="s">
        <v>93</v>
      </c>
      <c r="C29" s="35">
        <v>2</v>
      </c>
      <c r="D29" s="35">
        <v>0</v>
      </c>
      <c r="E29" s="35">
        <v>1</v>
      </c>
      <c r="F29" s="35">
        <v>0</v>
      </c>
      <c r="G29" s="35">
        <v>1</v>
      </c>
      <c r="H29" s="35">
        <v>1</v>
      </c>
      <c r="I29" s="35">
        <v>5</v>
      </c>
      <c r="J29" s="33" t="s">
        <v>87</v>
      </c>
      <c r="K29" s="34" t="s">
        <v>93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3" t="s">
        <v>98</v>
      </c>
      <c r="T29" s="34" t="s">
        <v>93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3" t="s">
        <v>67</v>
      </c>
      <c r="AC29" s="34" t="s">
        <v>93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0</v>
      </c>
      <c r="AK29" s="33" t="s">
        <v>69</v>
      </c>
      <c r="AL29" s="34" t="s">
        <v>93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3" t="s">
        <v>66</v>
      </c>
      <c r="AU29" s="34" t="s">
        <v>93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</row>
    <row r="30" spans="1:71" ht="14.25" customHeight="1" x14ac:dyDescent="0.3">
      <c r="A30" s="33" t="s">
        <v>97</v>
      </c>
      <c r="B30" s="34" t="s">
        <v>95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3" t="s">
        <v>87</v>
      </c>
      <c r="K30" s="34" t="s">
        <v>95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3" t="s">
        <v>98</v>
      </c>
      <c r="T30" s="34" t="s">
        <v>95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3" t="s">
        <v>67</v>
      </c>
      <c r="AC30" s="34" t="s">
        <v>95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3" t="s">
        <v>69</v>
      </c>
      <c r="AL30" s="34" t="s">
        <v>95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35">
        <v>1</v>
      </c>
      <c r="AS30" s="35">
        <v>1</v>
      </c>
      <c r="AT30" s="33" t="s">
        <v>66</v>
      </c>
      <c r="AU30" s="34" t="s">
        <v>95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</row>
    <row r="31" spans="1:71" ht="14.25" customHeight="1" x14ac:dyDescent="0.3">
      <c r="A31" s="33" t="s">
        <v>97</v>
      </c>
      <c r="B31" s="34" t="s">
        <v>96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1</v>
      </c>
      <c r="I31" s="35">
        <v>1</v>
      </c>
      <c r="J31" s="33" t="s">
        <v>87</v>
      </c>
      <c r="K31" s="34" t="s">
        <v>96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3" t="s">
        <v>98</v>
      </c>
      <c r="T31" s="34" t="s">
        <v>96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3" t="s">
        <v>67</v>
      </c>
      <c r="AC31" s="34" t="s">
        <v>96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3" t="s">
        <v>69</v>
      </c>
      <c r="AL31" s="34" t="s">
        <v>96</v>
      </c>
      <c r="AM31" s="35">
        <v>2</v>
      </c>
      <c r="AN31" s="35">
        <v>1</v>
      </c>
      <c r="AO31" s="35">
        <v>3</v>
      </c>
      <c r="AP31" s="35">
        <v>0</v>
      </c>
      <c r="AQ31" s="35">
        <v>2</v>
      </c>
      <c r="AR31" s="35">
        <v>0</v>
      </c>
      <c r="AS31" s="35">
        <v>8</v>
      </c>
      <c r="AT31" s="33" t="s">
        <v>66</v>
      </c>
      <c r="AU31" s="34" t="s">
        <v>96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</row>
    <row r="32" spans="1:71" ht="14.25" customHeight="1" x14ac:dyDescent="0.3">
      <c r="A32" s="33" t="s">
        <v>97</v>
      </c>
      <c r="B32" s="34" t="s">
        <v>93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3" t="s">
        <v>87</v>
      </c>
      <c r="K32" s="34" t="s">
        <v>93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3" t="s">
        <v>98</v>
      </c>
      <c r="T32" s="34" t="s">
        <v>93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3" t="s">
        <v>67</v>
      </c>
      <c r="AC32" s="34" t="s">
        <v>93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3" t="s">
        <v>69</v>
      </c>
      <c r="AL32" s="34" t="s">
        <v>93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3" t="s">
        <v>66</v>
      </c>
      <c r="AU32" s="34" t="s">
        <v>93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</row>
    <row r="33" spans="1:56" ht="14.25" customHeight="1" x14ac:dyDescent="0.3">
      <c r="A33" s="33" t="s">
        <v>97</v>
      </c>
      <c r="B33" s="34" t="s">
        <v>95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3" t="s">
        <v>87</v>
      </c>
      <c r="K33" s="34" t="s">
        <v>95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3" t="s">
        <v>98</v>
      </c>
      <c r="T33" s="34" t="s">
        <v>95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3" t="s">
        <v>67</v>
      </c>
      <c r="AC33" s="34" t="s">
        <v>95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3" t="s">
        <v>69</v>
      </c>
      <c r="AL33" s="34" t="s">
        <v>95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3" t="s">
        <v>66</v>
      </c>
      <c r="AU33" s="34" t="s">
        <v>95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</row>
    <row r="34" spans="1:56" ht="14.25" customHeight="1" x14ac:dyDescent="0.3">
      <c r="A34" s="33" t="s">
        <v>97</v>
      </c>
      <c r="B34" s="36" t="s">
        <v>96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3" t="s">
        <v>87</v>
      </c>
      <c r="K34" s="36" t="s">
        <v>96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3" t="s">
        <v>98</v>
      </c>
      <c r="T34" s="36" t="s">
        <v>96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3" t="s">
        <v>67</v>
      </c>
      <c r="AC34" s="36" t="s">
        <v>96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3" t="s">
        <v>69</v>
      </c>
      <c r="AL34" s="36" t="s">
        <v>96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37">
        <v>0</v>
      </c>
      <c r="AT34" s="33" t="s">
        <v>66</v>
      </c>
      <c r="AU34" s="36" t="s">
        <v>96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7">
        <v>0</v>
      </c>
    </row>
    <row r="35" spans="1:56" ht="25.5" customHeight="1" x14ac:dyDescent="0.3">
      <c r="A35" s="159" t="s">
        <v>99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</row>
    <row r="36" spans="1:56" ht="14.25" customHeight="1" x14ac:dyDescent="0.3">
      <c r="A36" s="18" t="s">
        <v>100</v>
      </c>
      <c r="B36" s="12" t="s">
        <v>101</v>
      </c>
      <c r="C36" s="12" t="s">
        <v>102</v>
      </c>
      <c r="D36" s="12" t="s">
        <v>26</v>
      </c>
      <c r="E36" s="12" t="s">
        <v>103</v>
      </c>
      <c r="F36" s="12" t="s">
        <v>104</v>
      </c>
      <c r="G36" s="12" t="s">
        <v>105</v>
      </c>
      <c r="H36" s="18" t="s">
        <v>82</v>
      </c>
      <c r="I36" s="12" t="s">
        <v>101</v>
      </c>
      <c r="J36" s="12" t="s">
        <v>102</v>
      </c>
      <c r="K36" s="12" t="s">
        <v>26</v>
      </c>
      <c r="L36" s="12" t="s">
        <v>106</v>
      </c>
      <c r="M36" s="12" t="s">
        <v>104</v>
      </c>
      <c r="N36" s="12" t="s">
        <v>105</v>
      </c>
      <c r="O36" s="18" t="s">
        <v>71</v>
      </c>
      <c r="P36" s="12" t="s">
        <v>101</v>
      </c>
      <c r="Q36" s="12" t="s">
        <v>102</v>
      </c>
      <c r="R36" s="12" t="s">
        <v>26</v>
      </c>
      <c r="S36" s="12" t="s">
        <v>106</v>
      </c>
      <c r="T36" s="12" t="s">
        <v>104</v>
      </c>
      <c r="U36" s="12" t="s">
        <v>105</v>
      </c>
      <c r="V36" s="18" t="s">
        <v>76</v>
      </c>
      <c r="W36" s="12" t="s">
        <v>101</v>
      </c>
      <c r="X36" s="12" t="s">
        <v>102</v>
      </c>
      <c r="Y36" s="12" t="s">
        <v>26</v>
      </c>
      <c r="Z36" s="12" t="s">
        <v>106</v>
      </c>
      <c r="AA36" s="12" t="s">
        <v>104</v>
      </c>
      <c r="AB36" s="12" t="s">
        <v>105</v>
      </c>
      <c r="AC36" s="18" t="s">
        <v>72</v>
      </c>
      <c r="AD36" s="12" t="s">
        <v>101</v>
      </c>
      <c r="AE36" s="12" t="s">
        <v>102</v>
      </c>
      <c r="AF36" s="12" t="s">
        <v>26</v>
      </c>
      <c r="AG36" s="12" t="s">
        <v>106</v>
      </c>
      <c r="AH36" s="12" t="s">
        <v>104</v>
      </c>
      <c r="AI36" s="12" t="s">
        <v>105</v>
      </c>
      <c r="AJ36" s="18" t="s">
        <v>74</v>
      </c>
      <c r="AK36" s="12" t="s">
        <v>101</v>
      </c>
      <c r="AL36" s="12" t="s">
        <v>102</v>
      </c>
      <c r="AM36" s="12" t="s">
        <v>26</v>
      </c>
      <c r="AN36" s="12" t="s">
        <v>106</v>
      </c>
      <c r="AO36" s="12" t="s">
        <v>104</v>
      </c>
      <c r="AP36" s="12" t="s">
        <v>105</v>
      </c>
      <c r="AQ36" s="18" t="s">
        <v>90</v>
      </c>
      <c r="AR36" s="12" t="s">
        <v>101</v>
      </c>
      <c r="AS36" s="12" t="s">
        <v>102</v>
      </c>
      <c r="AT36" s="12" t="s">
        <v>26</v>
      </c>
      <c r="AU36" s="12" t="s">
        <v>106</v>
      </c>
      <c r="AV36" s="12" t="s">
        <v>104</v>
      </c>
      <c r="AW36" s="12" t="s">
        <v>105</v>
      </c>
      <c r="AX36" s="18" t="s">
        <v>107</v>
      </c>
      <c r="AY36" s="12" t="s">
        <v>101</v>
      </c>
      <c r="AZ36" s="12" t="s">
        <v>102</v>
      </c>
      <c r="BA36" s="12" t="s">
        <v>26</v>
      </c>
      <c r="BB36" s="12" t="s">
        <v>106</v>
      </c>
      <c r="BC36" s="12" t="s">
        <v>108</v>
      </c>
      <c r="BD36" s="12" t="s">
        <v>105</v>
      </c>
    </row>
    <row r="37" spans="1:56" ht="14.25" customHeight="1" x14ac:dyDescent="0.3">
      <c r="A37" s="18" t="s">
        <v>109</v>
      </c>
      <c r="B37" s="39">
        <v>-9.5999999999999992E-3</v>
      </c>
      <c r="C37" s="19">
        <v>52</v>
      </c>
      <c r="D37" s="19">
        <v>1</v>
      </c>
      <c r="E37" s="19">
        <v>4</v>
      </c>
      <c r="F37" s="19">
        <v>1</v>
      </c>
      <c r="G37" s="19">
        <v>3</v>
      </c>
      <c r="H37" s="18" t="s">
        <v>109</v>
      </c>
      <c r="I37" s="40">
        <v>0.14000000000000001</v>
      </c>
      <c r="J37" s="19">
        <v>7</v>
      </c>
      <c r="K37" s="19">
        <v>3</v>
      </c>
      <c r="L37" s="40">
        <v>0.43</v>
      </c>
      <c r="M37" s="19">
        <v>2</v>
      </c>
      <c r="N37" s="19">
        <v>0</v>
      </c>
      <c r="O37" s="18" t="s">
        <v>109</v>
      </c>
      <c r="P37" s="40">
        <v>0.17</v>
      </c>
      <c r="Q37" s="19">
        <v>36</v>
      </c>
      <c r="R37" s="19">
        <v>11</v>
      </c>
      <c r="S37" s="40">
        <v>0.31</v>
      </c>
      <c r="T37" s="19">
        <v>1</v>
      </c>
      <c r="U37" s="19">
        <v>4</v>
      </c>
      <c r="V37" s="18" t="s">
        <v>109</v>
      </c>
      <c r="W37" s="40">
        <v>0</v>
      </c>
      <c r="X37" s="19">
        <v>10</v>
      </c>
      <c r="Y37" s="19">
        <v>2</v>
      </c>
      <c r="Z37" s="40">
        <v>0.2</v>
      </c>
      <c r="AA37" s="19">
        <v>0</v>
      </c>
      <c r="AB37" s="19">
        <v>2</v>
      </c>
      <c r="AC37" s="18" t="s">
        <v>109</v>
      </c>
      <c r="AD37" s="40">
        <v>0.42</v>
      </c>
      <c r="AE37" s="19">
        <v>12</v>
      </c>
      <c r="AF37" s="19">
        <v>6</v>
      </c>
      <c r="AG37" s="40">
        <v>0.5</v>
      </c>
      <c r="AH37" s="19">
        <v>0</v>
      </c>
      <c r="AI37" s="19">
        <v>1</v>
      </c>
      <c r="AJ37" s="18" t="s">
        <v>109</v>
      </c>
      <c r="AK37" s="40">
        <v>0.44</v>
      </c>
      <c r="AL37" s="19">
        <v>9</v>
      </c>
      <c r="AM37" s="19">
        <v>6</v>
      </c>
      <c r="AN37" s="40">
        <v>0.67</v>
      </c>
      <c r="AO37" s="19">
        <v>2</v>
      </c>
      <c r="AP37" s="19">
        <v>0</v>
      </c>
      <c r="AQ37" s="18" t="s">
        <v>109</v>
      </c>
      <c r="AR37" s="40">
        <v>0</v>
      </c>
      <c r="AS37" s="19">
        <v>2</v>
      </c>
      <c r="AT37" s="19">
        <v>1</v>
      </c>
      <c r="AU37" s="40">
        <v>0.5</v>
      </c>
      <c r="AV37" s="19">
        <v>0</v>
      </c>
      <c r="AW37" s="19">
        <v>1</v>
      </c>
      <c r="AX37" s="18" t="s">
        <v>109</v>
      </c>
      <c r="AY37" s="40">
        <v>0.05</v>
      </c>
      <c r="AZ37" s="19">
        <v>60</v>
      </c>
      <c r="BA37" s="19">
        <v>18</v>
      </c>
      <c r="BB37" s="40">
        <v>0.3</v>
      </c>
      <c r="BC37" s="40">
        <v>0.08</v>
      </c>
      <c r="BD37" s="19">
        <v>18</v>
      </c>
    </row>
    <row r="38" spans="1:56" ht="14.25" customHeight="1" x14ac:dyDescent="0.3">
      <c r="A38" s="18" t="s">
        <v>68</v>
      </c>
      <c r="B38" s="39">
        <v>-0.33329999999999999</v>
      </c>
      <c r="C38" s="19">
        <v>3</v>
      </c>
      <c r="D38" s="19">
        <v>0</v>
      </c>
      <c r="E38" s="19">
        <v>0</v>
      </c>
      <c r="F38" s="19">
        <v>0</v>
      </c>
      <c r="G38" s="19">
        <v>1</v>
      </c>
      <c r="H38" s="18" t="s">
        <v>68</v>
      </c>
      <c r="I38" s="40">
        <v>0</v>
      </c>
      <c r="J38" s="19">
        <v>0</v>
      </c>
      <c r="K38" s="19">
        <v>0</v>
      </c>
      <c r="L38" s="40">
        <v>0</v>
      </c>
      <c r="M38" s="19">
        <v>0</v>
      </c>
      <c r="N38" s="19">
        <v>0</v>
      </c>
      <c r="O38" s="18" t="s">
        <v>68</v>
      </c>
      <c r="P38" s="40">
        <v>0</v>
      </c>
      <c r="Q38" s="19">
        <v>0</v>
      </c>
      <c r="R38" s="19">
        <v>0</v>
      </c>
      <c r="S38" s="40">
        <v>0</v>
      </c>
      <c r="T38" s="19">
        <v>0</v>
      </c>
      <c r="U38" s="19">
        <v>0</v>
      </c>
      <c r="V38" s="18" t="s">
        <v>68</v>
      </c>
      <c r="W38" s="40">
        <v>0</v>
      </c>
      <c r="X38" s="19">
        <v>0</v>
      </c>
      <c r="Y38" s="19">
        <v>0</v>
      </c>
      <c r="Z38" s="40">
        <v>0</v>
      </c>
      <c r="AA38" s="19">
        <v>0</v>
      </c>
      <c r="AB38" s="19">
        <v>0</v>
      </c>
      <c r="AC38" s="18" t="s">
        <v>68</v>
      </c>
      <c r="AD38" s="40">
        <v>0.75</v>
      </c>
      <c r="AE38" s="19">
        <v>4</v>
      </c>
      <c r="AF38" s="19">
        <v>3</v>
      </c>
      <c r="AG38" s="40">
        <v>0.75</v>
      </c>
      <c r="AH38" s="19">
        <v>0</v>
      </c>
      <c r="AI38" s="19">
        <v>0</v>
      </c>
      <c r="AJ38" s="18" t="s">
        <v>68</v>
      </c>
      <c r="AK38" s="40">
        <v>0</v>
      </c>
      <c r="AL38" s="19">
        <v>0</v>
      </c>
      <c r="AM38" s="19">
        <v>0</v>
      </c>
      <c r="AN38" s="40">
        <v>0</v>
      </c>
      <c r="AO38" s="19">
        <v>0</v>
      </c>
      <c r="AP38" s="19">
        <v>0</v>
      </c>
      <c r="AQ38" s="18" t="s">
        <v>68</v>
      </c>
      <c r="AR38" s="40">
        <v>0</v>
      </c>
      <c r="AS38" s="19">
        <v>0</v>
      </c>
      <c r="AT38" s="19">
        <v>0</v>
      </c>
      <c r="AU38" s="40">
        <v>0</v>
      </c>
      <c r="AV38" s="19">
        <v>0</v>
      </c>
      <c r="AW38" s="19">
        <v>0</v>
      </c>
      <c r="AX38" s="18" t="s">
        <v>68</v>
      </c>
      <c r="AY38" s="40">
        <v>1</v>
      </c>
      <c r="AZ38" s="19">
        <v>5</v>
      </c>
      <c r="BA38" s="19">
        <v>5</v>
      </c>
      <c r="BB38" s="40">
        <v>1</v>
      </c>
      <c r="BC38" s="40">
        <v>0</v>
      </c>
      <c r="BD38" s="19">
        <v>0</v>
      </c>
    </row>
    <row r="39" spans="1:56" ht="14.25" customHeight="1" x14ac:dyDescent="0.3">
      <c r="A39" s="18" t="s">
        <v>97</v>
      </c>
      <c r="B39" s="19">
        <v>0</v>
      </c>
      <c r="C39" s="19">
        <v>6</v>
      </c>
      <c r="D39" s="19">
        <v>0</v>
      </c>
      <c r="E39" s="19">
        <v>0</v>
      </c>
      <c r="F39" s="19">
        <v>0</v>
      </c>
      <c r="G39" s="19">
        <v>0</v>
      </c>
      <c r="H39" s="18" t="s">
        <v>97</v>
      </c>
      <c r="I39" s="40">
        <v>0</v>
      </c>
      <c r="J39" s="19">
        <v>0</v>
      </c>
      <c r="K39" s="19">
        <v>0</v>
      </c>
      <c r="L39" s="40">
        <v>0</v>
      </c>
      <c r="M39" s="19">
        <v>0</v>
      </c>
      <c r="N39" s="19">
        <v>0</v>
      </c>
      <c r="O39" s="18" t="s">
        <v>97</v>
      </c>
      <c r="P39" s="40">
        <v>0</v>
      </c>
      <c r="Q39" s="19">
        <v>0</v>
      </c>
      <c r="R39" s="19">
        <v>0</v>
      </c>
      <c r="S39" s="40">
        <v>0</v>
      </c>
      <c r="T39" s="19">
        <v>0</v>
      </c>
      <c r="U39" s="19">
        <v>0</v>
      </c>
      <c r="V39" s="18" t="s">
        <v>97</v>
      </c>
      <c r="W39" s="40">
        <v>0</v>
      </c>
      <c r="X39" s="19">
        <v>0</v>
      </c>
      <c r="Y39" s="19">
        <v>0</v>
      </c>
      <c r="Z39" s="40">
        <v>0</v>
      </c>
      <c r="AA39" s="19">
        <v>0</v>
      </c>
      <c r="AB39" s="19">
        <v>0</v>
      </c>
      <c r="AC39" s="18" t="s">
        <v>97</v>
      </c>
      <c r="AD39" s="40">
        <v>0</v>
      </c>
      <c r="AE39" s="19">
        <v>0</v>
      </c>
      <c r="AF39" s="19">
        <v>0</v>
      </c>
      <c r="AG39" s="40">
        <v>0</v>
      </c>
      <c r="AH39" s="19">
        <v>0</v>
      </c>
      <c r="AI39" s="19">
        <v>0</v>
      </c>
      <c r="AJ39" s="18" t="s">
        <v>97</v>
      </c>
      <c r="AK39" s="40">
        <v>0</v>
      </c>
      <c r="AL39" s="19">
        <v>0</v>
      </c>
      <c r="AM39" s="19">
        <v>0</v>
      </c>
      <c r="AN39" s="40">
        <v>0</v>
      </c>
      <c r="AO39" s="19">
        <v>0</v>
      </c>
      <c r="AP39" s="19">
        <v>0</v>
      </c>
      <c r="AQ39" s="18" t="s">
        <v>97</v>
      </c>
      <c r="AR39" s="40">
        <v>0</v>
      </c>
      <c r="AS39" s="19">
        <v>0</v>
      </c>
      <c r="AT39" s="19">
        <v>0</v>
      </c>
      <c r="AU39" s="40">
        <v>0</v>
      </c>
      <c r="AV39" s="19">
        <v>0</v>
      </c>
      <c r="AW39" s="19">
        <v>0</v>
      </c>
      <c r="AX39" s="18" t="s">
        <v>97</v>
      </c>
      <c r="AY39" s="40">
        <v>0</v>
      </c>
      <c r="AZ39" s="19">
        <v>2</v>
      </c>
      <c r="BA39" s="19">
        <v>0</v>
      </c>
      <c r="BB39" s="40">
        <v>0</v>
      </c>
      <c r="BC39" s="40">
        <v>0.5</v>
      </c>
      <c r="BD39" s="19">
        <v>0</v>
      </c>
    </row>
    <row r="40" spans="1:56" ht="14.25" customHeight="1" x14ac:dyDescent="0.3">
      <c r="A40" s="18" t="s">
        <v>54</v>
      </c>
      <c r="B40" s="25" t="s">
        <v>80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8" t="s">
        <v>54</v>
      </c>
      <c r="I40" s="40">
        <v>0.14000000000000001</v>
      </c>
      <c r="J40" s="19">
        <v>7</v>
      </c>
      <c r="K40" s="19">
        <v>3</v>
      </c>
      <c r="L40" s="40">
        <v>0.43</v>
      </c>
      <c r="M40" s="19">
        <v>2</v>
      </c>
      <c r="N40" s="19">
        <v>0</v>
      </c>
      <c r="O40" s="18" t="s">
        <v>54</v>
      </c>
      <c r="P40" s="40">
        <v>0</v>
      </c>
      <c r="Q40" s="19">
        <v>0</v>
      </c>
      <c r="R40" s="19">
        <v>0</v>
      </c>
      <c r="S40" s="40">
        <v>0</v>
      </c>
      <c r="T40" s="19">
        <v>0</v>
      </c>
      <c r="U40" s="19">
        <v>0</v>
      </c>
      <c r="V40" s="18" t="s">
        <v>54</v>
      </c>
      <c r="W40" s="40">
        <v>0</v>
      </c>
      <c r="X40" s="19">
        <v>9</v>
      </c>
      <c r="Y40" s="19">
        <v>2</v>
      </c>
      <c r="Z40" s="40">
        <v>0.22</v>
      </c>
      <c r="AA40" s="19">
        <v>0</v>
      </c>
      <c r="AB40" s="19">
        <v>2</v>
      </c>
      <c r="AC40" s="18" t="s">
        <v>54</v>
      </c>
      <c r="AD40" s="40">
        <v>0</v>
      </c>
      <c r="AE40" s="19">
        <v>0</v>
      </c>
      <c r="AF40" s="19">
        <v>0</v>
      </c>
      <c r="AG40" s="40">
        <v>0</v>
      </c>
      <c r="AH40" s="19">
        <v>0</v>
      </c>
      <c r="AI40" s="19">
        <v>0</v>
      </c>
      <c r="AJ40" s="18" t="s">
        <v>54</v>
      </c>
      <c r="AK40" s="40">
        <v>0</v>
      </c>
      <c r="AL40" s="19">
        <v>0</v>
      </c>
      <c r="AM40" s="19">
        <v>0</v>
      </c>
      <c r="AN40" s="40">
        <v>0</v>
      </c>
      <c r="AO40" s="19">
        <v>0</v>
      </c>
      <c r="AP40" s="19">
        <v>0</v>
      </c>
      <c r="AQ40" s="18" t="s">
        <v>54</v>
      </c>
      <c r="AR40" s="40">
        <v>0</v>
      </c>
      <c r="AS40" s="19">
        <v>0</v>
      </c>
      <c r="AT40" s="19">
        <v>0</v>
      </c>
      <c r="AU40" s="40">
        <v>0</v>
      </c>
      <c r="AV40" s="19">
        <v>0</v>
      </c>
      <c r="AW40" s="19">
        <v>0</v>
      </c>
      <c r="AX40" s="18" t="s">
        <v>54</v>
      </c>
      <c r="AY40" s="40">
        <v>-0.38</v>
      </c>
      <c r="AZ40" s="19">
        <v>8</v>
      </c>
      <c r="BA40" s="19">
        <v>0</v>
      </c>
      <c r="BB40" s="40">
        <v>0</v>
      </c>
      <c r="BC40" s="40">
        <v>0.12</v>
      </c>
      <c r="BD40" s="19">
        <v>4</v>
      </c>
    </row>
    <row r="41" spans="1:56" ht="14.25" customHeight="1" x14ac:dyDescent="0.3">
      <c r="A41" s="18" t="s">
        <v>87</v>
      </c>
      <c r="B41" s="25" t="s">
        <v>80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8" t="s">
        <v>87</v>
      </c>
      <c r="I41" s="40">
        <v>0</v>
      </c>
      <c r="J41" s="19">
        <v>0</v>
      </c>
      <c r="K41" s="19">
        <v>0</v>
      </c>
      <c r="L41" s="40">
        <v>0</v>
      </c>
      <c r="M41" s="19">
        <v>0</v>
      </c>
      <c r="N41" s="19">
        <v>0</v>
      </c>
      <c r="O41" s="18" t="s">
        <v>87</v>
      </c>
      <c r="P41" s="40">
        <v>0</v>
      </c>
      <c r="Q41" s="19">
        <v>0</v>
      </c>
      <c r="R41" s="19">
        <v>0</v>
      </c>
      <c r="S41" s="40">
        <v>0</v>
      </c>
      <c r="T41" s="19">
        <v>0</v>
      </c>
      <c r="U41" s="19">
        <v>0</v>
      </c>
      <c r="V41" s="18" t="s">
        <v>87</v>
      </c>
      <c r="W41" s="40">
        <v>0</v>
      </c>
      <c r="X41" s="19">
        <v>0</v>
      </c>
      <c r="Y41" s="19">
        <v>0</v>
      </c>
      <c r="Z41" s="40">
        <v>0</v>
      </c>
      <c r="AA41" s="19">
        <v>0</v>
      </c>
      <c r="AB41" s="19">
        <v>0</v>
      </c>
      <c r="AC41" s="18" t="s">
        <v>87</v>
      </c>
      <c r="AD41" s="40">
        <v>0</v>
      </c>
      <c r="AE41" s="19">
        <v>0</v>
      </c>
      <c r="AF41" s="19">
        <v>0</v>
      </c>
      <c r="AG41" s="40">
        <v>0</v>
      </c>
      <c r="AH41" s="19">
        <v>0</v>
      </c>
      <c r="AI41" s="19">
        <v>0</v>
      </c>
      <c r="AJ41" s="18" t="s">
        <v>87</v>
      </c>
      <c r="AK41" s="40">
        <v>0</v>
      </c>
      <c r="AL41" s="19">
        <v>0</v>
      </c>
      <c r="AM41" s="19">
        <v>0</v>
      </c>
      <c r="AN41" s="40">
        <v>0</v>
      </c>
      <c r="AO41" s="19">
        <v>0</v>
      </c>
      <c r="AP41" s="19">
        <v>0</v>
      </c>
      <c r="AQ41" s="18" t="s">
        <v>87</v>
      </c>
      <c r="AR41" s="40">
        <v>0</v>
      </c>
      <c r="AS41" s="19">
        <v>0</v>
      </c>
      <c r="AT41" s="19">
        <v>0</v>
      </c>
      <c r="AU41" s="40">
        <v>0</v>
      </c>
      <c r="AV41" s="19">
        <v>0</v>
      </c>
      <c r="AW41" s="19">
        <v>0</v>
      </c>
      <c r="AX41" s="18" t="s">
        <v>87</v>
      </c>
      <c r="AY41" s="40">
        <v>0</v>
      </c>
      <c r="AZ41" s="19">
        <v>0</v>
      </c>
      <c r="BA41" s="19">
        <v>0</v>
      </c>
      <c r="BB41" s="40">
        <v>0</v>
      </c>
      <c r="BC41" s="40">
        <v>0</v>
      </c>
      <c r="BD41" s="19">
        <v>0</v>
      </c>
    </row>
    <row r="42" spans="1:56" ht="14.25" customHeight="1" x14ac:dyDescent="0.3">
      <c r="A42" s="18" t="s">
        <v>94</v>
      </c>
      <c r="B42" s="39">
        <v>0.1346</v>
      </c>
      <c r="C42" s="19">
        <v>13</v>
      </c>
      <c r="D42" s="19">
        <v>1</v>
      </c>
      <c r="E42" s="19">
        <v>3</v>
      </c>
      <c r="F42" s="19">
        <v>0</v>
      </c>
      <c r="G42" s="19">
        <v>0</v>
      </c>
      <c r="H42" s="18" t="s">
        <v>94</v>
      </c>
      <c r="I42" s="40">
        <v>0</v>
      </c>
      <c r="J42" s="19">
        <v>0</v>
      </c>
      <c r="K42" s="19">
        <v>0</v>
      </c>
      <c r="L42" s="40">
        <v>0</v>
      </c>
      <c r="M42" s="19">
        <v>0</v>
      </c>
      <c r="N42" s="19">
        <v>0</v>
      </c>
      <c r="O42" s="18" t="s">
        <v>94</v>
      </c>
      <c r="P42" s="40">
        <v>0</v>
      </c>
      <c r="Q42" s="19">
        <v>0</v>
      </c>
      <c r="R42" s="19">
        <v>0</v>
      </c>
      <c r="S42" s="40">
        <v>0</v>
      </c>
      <c r="T42" s="19">
        <v>0</v>
      </c>
      <c r="U42" s="19">
        <v>0</v>
      </c>
      <c r="V42" s="18" t="s">
        <v>94</v>
      </c>
      <c r="W42" s="40">
        <v>0</v>
      </c>
      <c r="X42" s="19">
        <v>0</v>
      </c>
      <c r="Y42" s="19">
        <v>0</v>
      </c>
      <c r="Z42" s="40">
        <v>0</v>
      </c>
      <c r="AA42" s="19">
        <v>0</v>
      </c>
      <c r="AB42" s="19">
        <v>0</v>
      </c>
      <c r="AC42" s="18" t="s">
        <v>94</v>
      </c>
      <c r="AD42" s="40">
        <v>0</v>
      </c>
      <c r="AE42" s="19">
        <v>0</v>
      </c>
      <c r="AF42" s="19">
        <v>0</v>
      </c>
      <c r="AG42" s="40">
        <v>0</v>
      </c>
      <c r="AH42" s="19">
        <v>0</v>
      </c>
      <c r="AI42" s="19">
        <v>0</v>
      </c>
      <c r="AJ42" s="18" t="s">
        <v>94</v>
      </c>
      <c r="AK42" s="40">
        <v>0</v>
      </c>
      <c r="AL42" s="19">
        <v>0</v>
      </c>
      <c r="AM42" s="19">
        <v>0</v>
      </c>
      <c r="AN42" s="40">
        <v>0</v>
      </c>
      <c r="AO42" s="19">
        <v>0</v>
      </c>
      <c r="AP42" s="19">
        <v>0</v>
      </c>
      <c r="AQ42" s="18" t="s">
        <v>94</v>
      </c>
      <c r="AR42" s="40">
        <v>0</v>
      </c>
      <c r="AS42" s="19">
        <v>0</v>
      </c>
      <c r="AT42" s="19">
        <v>0</v>
      </c>
      <c r="AU42" s="40">
        <v>0</v>
      </c>
      <c r="AV42" s="19">
        <v>0</v>
      </c>
      <c r="AW42" s="19">
        <v>0</v>
      </c>
      <c r="AX42" s="18" t="s">
        <v>94</v>
      </c>
      <c r="AY42" s="40">
        <v>0</v>
      </c>
      <c r="AZ42" s="19">
        <v>6</v>
      </c>
      <c r="BA42" s="19">
        <v>1</v>
      </c>
      <c r="BB42" s="40">
        <v>0.17</v>
      </c>
      <c r="BC42" s="40">
        <v>0</v>
      </c>
      <c r="BD42" s="19">
        <v>0</v>
      </c>
    </row>
    <row r="43" spans="1:56" ht="14.25" customHeight="1" x14ac:dyDescent="0.3">
      <c r="A43" s="18" t="s">
        <v>86</v>
      </c>
      <c r="B43" s="39">
        <v>-0.33329999999999999</v>
      </c>
      <c r="C43" s="19">
        <v>3</v>
      </c>
      <c r="D43" s="19">
        <v>0</v>
      </c>
      <c r="E43" s="19">
        <v>0</v>
      </c>
      <c r="F43" s="19">
        <v>0</v>
      </c>
      <c r="G43" s="19">
        <v>1</v>
      </c>
      <c r="H43" s="18" t="s">
        <v>86</v>
      </c>
      <c r="I43" s="40">
        <v>0</v>
      </c>
      <c r="J43" s="19">
        <v>0</v>
      </c>
      <c r="K43" s="19">
        <v>0</v>
      </c>
      <c r="L43" s="40">
        <v>0</v>
      </c>
      <c r="M43" s="19">
        <v>0</v>
      </c>
      <c r="N43" s="19">
        <v>0</v>
      </c>
      <c r="O43" s="18" t="s">
        <v>86</v>
      </c>
      <c r="P43" s="40">
        <v>0.17</v>
      </c>
      <c r="Q43" s="19">
        <v>23</v>
      </c>
      <c r="R43" s="19">
        <v>7</v>
      </c>
      <c r="S43" s="40">
        <v>0.3</v>
      </c>
      <c r="T43" s="19">
        <v>1</v>
      </c>
      <c r="U43" s="19">
        <v>2</v>
      </c>
      <c r="V43" s="18" t="s">
        <v>86</v>
      </c>
      <c r="W43" s="40">
        <v>0</v>
      </c>
      <c r="X43" s="19">
        <v>0</v>
      </c>
      <c r="Y43" s="19">
        <v>0</v>
      </c>
      <c r="Z43" s="40">
        <v>0</v>
      </c>
      <c r="AA43" s="19">
        <v>0</v>
      </c>
      <c r="AB43" s="19">
        <v>0</v>
      </c>
      <c r="AC43" s="18" t="s">
        <v>86</v>
      </c>
      <c r="AD43" s="40">
        <v>0</v>
      </c>
      <c r="AE43" s="19">
        <v>0</v>
      </c>
      <c r="AF43" s="19">
        <v>0</v>
      </c>
      <c r="AG43" s="40">
        <v>0</v>
      </c>
      <c r="AH43" s="19">
        <v>0</v>
      </c>
      <c r="AI43" s="19">
        <v>0</v>
      </c>
      <c r="AJ43" s="18" t="s">
        <v>86</v>
      </c>
      <c r="AK43" s="40">
        <v>0</v>
      </c>
      <c r="AL43" s="19">
        <v>0</v>
      </c>
      <c r="AM43" s="19">
        <v>0</v>
      </c>
      <c r="AN43" s="40">
        <v>0</v>
      </c>
      <c r="AO43" s="19">
        <v>0</v>
      </c>
      <c r="AP43" s="19">
        <v>0</v>
      </c>
      <c r="AQ43" s="18" t="s">
        <v>86</v>
      </c>
      <c r="AR43" s="40">
        <v>0</v>
      </c>
      <c r="AS43" s="19">
        <v>2</v>
      </c>
      <c r="AT43" s="19">
        <v>1</v>
      </c>
      <c r="AU43" s="40">
        <v>0.5</v>
      </c>
      <c r="AV43" s="19">
        <v>0</v>
      </c>
      <c r="AW43" s="19">
        <v>1</v>
      </c>
      <c r="AX43" s="18" t="s">
        <v>86</v>
      </c>
      <c r="AY43" s="40">
        <v>0</v>
      </c>
      <c r="AZ43" s="19">
        <v>7</v>
      </c>
      <c r="BA43" s="19">
        <v>3</v>
      </c>
      <c r="BB43" s="40">
        <v>0.43</v>
      </c>
      <c r="BC43" s="40">
        <v>0</v>
      </c>
      <c r="BD43" s="19">
        <v>3</v>
      </c>
    </row>
    <row r="44" spans="1:56" ht="14.25" customHeight="1" x14ac:dyDescent="0.3">
      <c r="A44" s="18" t="s">
        <v>85</v>
      </c>
      <c r="B44" s="39">
        <v>0.125</v>
      </c>
      <c r="C44" s="19">
        <v>6</v>
      </c>
      <c r="D44" s="19">
        <v>0</v>
      </c>
      <c r="E44" s="19">
        <v>1</v>
      </c>
      <c r="F44" s="19">
        <v>1</v>
      </c>
      <c r="G44" s="19">
        <v>0</v>
      </c>
      <c r="H44" s="18" t="s">
        <v>85</v>
      </c>
      <c r="I44" s="40">
        <v>0</v>
      </c>
      <c r="J44" s="19">
        <v>0</v>
      </c>
      <c r="K44" s="19">
        <v>0</v>
      </c>
      <c r="L44" s="40">
        <v>0</v>
      </c>
      <c r="M44" s="19">
        <v>0</v>
      </c>
      <c r="N44" s="19">
        <v>0</v>
      </c>
      <c r="O44" s="18" t="s">
        <v>85</v>
      </c>
      <c r="P44" s="40">
        <v>0.15</v>
      </c>
      <c r="Q44" s="19">
        <v>13</v>
      </c>
      <c r="R44" s="19">
        <v>4</v>
      </c>
      <c r="S44" s="40">
        <v>0.31</v>
      </c>
      <c r="T44" s="19">
        <v>0</v>
      </c>
      <c r="U44" s="19">
        <v>2</v>
      </c>
      <c r="V44" s="18" t="s">
        <v>85</v>
      </c>
      <c r="W44" s="40">
        <v>0</v>
      </c>
      <c r="X44" s="19">
        <v>0</v>
      </c>
      <c r="Y44" s="19">
        <v>0</v>
      </c>
      <c r="Z44" s="40">
        <v>0</v>
      </c>
      <c r="AA44" s="19">
        <v>0</v>
      </c>
      <c r="AB44" s="19">
        <v>0</v>
      </c>
      <c r="AC44" s="18" t="s">
        <v>85</v>
      </c>
      <c r="AD44" s="40">
        <v>0</v>
      </c>
      <c r="AE44" s="19">
        <v>0</v>
      </c>
      <c r="AF44" s="19">
        <v>0</v>
      </c>
      <c r="AG44" s="40">
        <v>0</v>
      </c>
      <c r="AH44" s="19">
        <v>0</v>
      </c>
      <c r="AI44" s="19">
        <v>0</v>
      </c>
      <c r="AJ44" s="18" t="s">
        <v>85</v>
      </c>
      <c r="AK44" s="40">
        <v>0</v>
      </c>
      <c r="AL44" s="19">
        <v>0</v>
      </c>
      <c r="AM44" s="19">
        <v>0</v>
      </c>
      <c r="AN44" s="40">
        <v>0</v>
      </c>
      <c r="AO44" s="19">
        <v>0</v>
      </c>
      <c r="AP44" s="19">
        <v>0</v>
      </c>
      <c r="AQ44" s="18" t="s">
        <v>85</v>
      </c>
      <c r="AR44" s="40">
        <v>0</v>
      </c>
      <c r="AS44" s="19">
        <v>0</v>
      </c>
      <c r="AT44" s="19">
        <v>0</v>
      </c>
      <c r="AU44" s="40">
        <v>0</v>
      </c>
      <c r="AV44" s="19">
        <v>0</v>
      </c>
      <c r="AW44" s="19">
        <v>0</v>
      </c>
      <c r="AX44" s="18" t="s">
        <v>85</v>
      </c>
      <c r="AY44" s="40">
        <v>0.17</v>
      </c>
      <c r="AZ44" s="19">
        <v>6</v>
      </c>
      <c r="BA44" s="19">
        <v>1</v>
      </c>
      <c r="BB44" s="40">
        <v>0.17</v>
      </c>
      <c r="BC44" s="40">
        <v>0.17</v>
      </c>
      <c r="BD44" s="19">
        <v>1</v>
      </c>
    </row>
    <row r="45" spans="1:56" ht="14.25" customHeight="1" x14ac:dyDescent="0.3">
      <c r="A45" s="18" t="s">
        <v>67</v>
      </c>
      <c r="B45" s="25" t="s">
        <v>80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8" t="s">
        <v>67</v>
      </c>
      <c r="I45" s="40">
        <v>0</v>
      </c>
      <c r="J45" s="19">
        <v>0</v>
      </c>
      <c r="K45" s="19">
        <v>0</v>
      </c>
      <c r="L45" s="40">
        <v>0</v>
      </c>
      <c r="M45" s="19">
        <v>0</v>
      </c>
      <c r="N45" s="19">
        <v>0</v>
      </c>
      <c r="O45" s="18" t="s">
        <v>67</v>
      </c>
      <c r="P45" s="40">
        <v>0</v>
      </c>
      <c r="Q45" s="19">
        <v>0</v>
      </c>
      <c r="R45" s="19">
        <v>0</v>
      </c>
      <c r="S45" s="40">
        <v>0</v>
      </c>
      <c r="T45" s="19">
        <v>0</v>
      </c>
      <c r="U45" s="19">
        <v>0</v>
      </c>
      <c r="V45" s="18" t="s">
        <v>67</v>
      </c>
      <c r="W45" s="40">
        <v>0</v>
      </c>
      <c r="X45" s="19">
        <v>0</v>
      </c>
      <c r="Y45" s="19">
        <v>0</v>
      </c>
      <c r="Z45" s="40">
        <v>0</v>
      </c>
      <c r="AA45" s="19">
        <v>0</v>
      </c>
      <c r="AB45" s="19">
        <v>0</v>
      </c>
      <c r="AC45" s="18" t="s">
        <v>67</v>
      </c>
      <c r="AD45" s="40">
        <v>0</v>
      </c>
      <c r="AE45" s="19">
        <v>0</v>
      </c>
      <c r="AF45" s="19">
        <v>0</v>
      </c>
      <c r="AG45" s="40">
        <v>0</v>
      </c>
      <c r="AH45" s="19">
        <v>0</v>
      </c>
      <c r="AI45" s="19">
        <v>0</v>
      </c>
      <c r="AJ45" s="18" t="s">
        <v>67</v>
      </c>
      <c r="AK45" s="40">
        <v>0</v>
      </c>
      <c r="AL45" s="19">
        <v>0</v>
      </c>
      <c r="AM45" s="19">
        <v>0</v>
      </c>
      <c r="AN45" s="40">
        <v>0</v>
      </c>
      <c r="AO45" s="19">
        <v>0</v>
      </c>
      <c r="AP45" s="19">
        <v>0</v>
      </c>
      <c r="AQ45" s="18" t="s">
        <v>67</v>
      </c>
      <c r="AR45" s="40">
        <v>0</v>
      </c>
      <c r="AS45" s="19">
        <v>0</v>
      </c>
      <c r="AT45" s="19">
        <v>0</v>
      </c>
      <c r="AU45" s="40">
        <v>0</v>
      </c>
      <c r="AV45" s="19">
        <v>0</v>
      </c>
      <c r="AW45" s="19">
        <v>0</v>
      </c>
      <c r="AX45" s="18" t="s">
        <v>67</v>
      </c>
      <c r="AY45" s="40">
        <v>0</v>
      </c>
      <c r="AZ45" s="19">
        <v>0</v>
      </c>
      <c r="BA45" s="19">
        <v>0</v>
      </c>
      <c r="BB45" s="40">
        <v>0</v>
      </c>
      <c r="BC45" s="40">
        <v>0</v>
      </c>
      <c r="BD45" s="19">
        <v>0</v>
      </c>
    </row>
    <row r="46" spans="1:56" ht="14.25" customHeight="1" x14ac:dyDescent="0.3">
      <c r="A46" s="18" t="s">
        <v>88</v>
      </c>
      <c r="B46" s="39">
        <v>-0.5</v>
      </c>
      <c r="C46" s="19">
        <v>2</v>
      </c>
      <c r="D46" s="19">
        <v>0</v>
      </c>
      <c r="E46" s="19">
        <v>0</v>
      </c>
      <c r="F46" s="19">
        <v>0</v>
      </c>
      <c r="G46" s="19">
        <v>1</v>
      </c>
      <c r="H46" s="18" t="s">
        <v>88</v>
      </c>
      <c r="I46" s="40">
        <v>0</v>
      </c>
      <c r="J46" s="19">
        <v>0</v>
      </c>
      <c r="K46" s="19">
        <v>0</v>
      </c>
      <c r="L46" s="40">
        <v>0</v>
      </c>
      <c r="M46" s="19">
        <v>0</v>
      </c>
      <c r="N46" s="19">
        <v>0</v>
      </c>
      <c r="O46" s="18" t="s">
        <v>88</v>
      </c>
      <c r="P46" s="40">
        <v>0</v>
      </c>
      <c r="Q46" s="19">
        <v>0</v>
      </c>
      <c r="R46" s="19">
        <v>0</v>
      </c>
      <c r="S46" s="40">
        <v>0</v>
      </c>
      <c r="T46" s="19">
        <v>0</v>
      </c>
      <c r="U46" s="19">
        <v>0</v>
      </c>
      <c r="V46" s="18" t="s">
        <v>88</v>
      </c>
      <c r="W46" s="40">
        <v>0</v>
      </c>
      <c r="X46" s="19">
        <v>0</v>
      </c>
      <c r="Y46" s="19">
        <v>0</v>
      </c>
      <c r="Z46" s="40">
        <v>0</v>
      </c>
      <c r="AA46" s="19">
        <v>0</v>
      </c>
      <c r="AB46" s="19">
        <v>0</v>
      </c>
      <c r="AC46" s="18" t="s">
        <v>88</v>
      </c>
      <c r="AD46" s="40">
        <v>0</v>
      </c>
      <c r="AE46" s="19">
        <v>0</v>
      </c>
      <c r="AF46" s="19">
        <v>0</v>
      </c>
      <c r="AG46" s="40">
        <v>0</v>
      </c>
      <c r="AH46" s="19">
        <v>0</v>
      </c>
      <c r="AI46" s="19">
        <v>0</v>
      </c>
      <c r="AJ46" s="18" t="s">
        <v>88</v>
      </c>
      <c r="AK46" s="40">
        <v>0</v>
      </c>
      <c r="AL46" s="19">
        <v>0</v>
      </c>
      <c r="AM46" s="19">
        <v>0</v>
      </c>
      <c r="AN46" s="40">
        <v>0</v>
      </c>
      <c r="AO46" s="19">
        <v>0</v>
      </c>
      <c r="AP46" s="19">
        <v>0</v>
      </c>
      <c r="AQ46" s="18" t="s">
        <v>88</v>
      </c>
      <c r="AR46" s="40">
        <v>0</v>
      </c>
      <c r="AS46" s="19">
        <v>0</v>
      </c>
      <c r="AT46" s="19">
        <v>0</v>
      </c>
      <c r="AU46" s="40">
        <v>0</v>
      </c>
      <c r="AV46" s="19">
        <v>0</v>
      </c>
      <c r="AW46" s="19">
        <v>0</v>
      </c>
      <c r="AX46" s="18" t="s">
        <v>88</v>
      </c>
      <c r="AY46" s="40">
        <v>0</v>
      </c>
      <c r="AZ46" s="19">
        <v>0</v>
      </c>
      <c r="BA46" s="19">
        <v>0</v>
      </c>
      <c r="BB46" s="40">
        <v>0</v>
      </c>
      <c r="BC46" s="40">
        <v>0</v>
      </c>
      <c r="BD46" s="19">
        <v>0</v>
      </c>
    </row>
    <row r="47" spans="1:56" ht="14.25" customHeight="1" x14ac:dyDescent="0.3">
      <c r="A47" s="18" t="s">
        <v>69</v>
      </c>
      <c r="B47" s="19">
        <v>0</v>
      </c>
      <c r="C47" s="19">
        <v>9</v>
      </c>
      <c r="D47" s="19">
        <v>0</v>
      </c>
      <c r="E47" s="19">
        <v>0</v>
      </c>
      <c r="F47" s="19">
        <v>0</v>
      </c>
      <c r="G47" s="19">
        <v>0</v>
      </c>
      <c r="H47" s="18" t="s">
        <v>69</v>
      </c>
      <c r="I47" s="40">
        <v>0</v>
      </c>
      <c r="J47" s="19">
        <v>0</v>
      </c>
      <c r="K47" s="19">
        <v>0</v>
      </c>
      <c r="L47" s="40">
        <v>0</v>
      </c>
      <c r="M47" s="19">
        <v>0</v>
      </c>
      <c r="N47" s="19">
        <v>0</v>
      </c>
      <c r="O47" s="18" t="s">
        <v>69</v>
      </c>
      <c r="P47" s="40">
        <v>0</v>
      </c>
      <c r="Q47" s="19">
        <v>0</v>
      </c>
      <c r="R47" s="19">
        <v>0</v>
      </c>
      <c r="S47" s="40">
        <v>0</v>
      </c>
      <c r="T47" s="19">
        <v>0</v>
      </c>
      <c r="U47" s="19">
        <v>0</v>
      </c>
      <c r="V47" s="18" t="s">
        <v>69</v>
      </c>
      <c r="W47" s="40">
        <v>0</v>
      </c>
      <c r="X47" s="19">
        <v>0</v>
      </c>
      <c r="Y47" s="19">
        <v>0</v>
      </c>
      <c r="Z47" s="40">
        <v>0</v>
      </c>
      <c r="AA47" s="19">
        <v>0</v>
      </c>
      <c r="AB47" s="19">
        <v>0</v>
      </c>
      <c r="AC47" s="18" t="s">
        <v>69</v>
      </c>
      <c r="AD47" s="40">
        <v>0.33</v>
      </c>
      <c r="AE47" s="19">
        <v>6</v>
      </c>
      <c r="AF47" s="19">
        <v>2</v>
      </c>
      <c r="AG47" s="40">
        <v>0.33</v>
      </c>
      <c r="AH47" s="19">
        <v>0</v>
      </c>
      <c r="AI47" s="19">
        <v>0</v>
      </c>
      <c r="AJ47" s="18" t="s">
        <v>69</v>
      </c>
      <c r="AK47" s="40">
        <v>0</v>
      </c>
      <c r="AL47" s="19">
        <v>0</v>
      </c>
      <c r="AM47" s="19">
        <v>0</v>
      </c>
      <c r="AN47" s="40">
        <v>0</v>
      </c>
      <c r="AO47" s="19">
        <v>0</v>
      </c>
      <c r="AP47" s="19">
        <v>0</v>
      </c>
      <c r="AQ47" s="18" t="s">
        <v>69</v>
      </c>
      <c r="AR47" s="40">
        <v>0</v>
      </c>
      <c r="AS47" s="19">
        <v>0</v>
      </c>
      <c r="AT47" s="19">
        <v>0</v>
      </c>
      <c r="AU47" s="40">
        <v>0</v>
      </c>
      <c r="AV47" s="19">
        <v>0</v>
      </c>
      <c r="AW47" s="19">
        <v>0</v>
      </c>
      <c r="AX47" s="18" t="s">
        <v>69</v>
      </c>
      <c r="AY47" s="40">
        <v>-0.38</v>
      </c>
      <c r="AZ47" s="19">
        <v>8</v>
      </c>
      <c r="BA47" s="19">
        <v>2</v>
      </c>
      <c r="BB47" s="40">
        <v>0.25</v>
      </c>
      <c r="BC47" s="40">
        <v>0</v>
      </c>
      <c r="BD47" s="19">
        <v>5</v>
      </c>
    </row>
    <row r="48" spans="1:56" ht="14.25" customHeight="1" x14ac:dyDescent="0.3">
      <c r="A48" s="27" t="s">
        <v>66</v>
      </c>
      <c r="B48" s="25" t="s">
        <v>80</v>
      </c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27" t="s">
        <v>66</v>
      </c>
      <c r="I48" s="40">
        <v>0</v>
      </c>
      <c r="J48" s="19">
        <v>0</v>
      </c>
      <c r="K48" s="19">
        <v>0</v>
      </c>
      <c r="L48" s="40">
        <v>0</v>
      </c>
      <c r="M48" s="19">
        <v>0</v>
      </c>
      <c r="N48" s="19">
        <v>0</v>
      </c>
      <c r="O48" s="27" t="s">
        <v>66</v>
      </c>
      <c r="P48" s="40">
        <v>0</v>
      </c>
      <c r="Q48" s="19">
        <v>0</v>
      </c>
      <c r="R48" s="19">
        <v>0</v>
      </c>
      <c r="S48" s="40">
        <v>0</v>
      </c>
      <c r="T48" s="19">
        <v>0</v>
      </c>
      <c r="U48" s="19">
        <v>0</v>
      </c>
      <c r="V48" s="27" t="s">
        <v>66</v>
      </c>
      <c r="W48" s="40">
        <v>0</v>
      </c>
      <c r="X48" s="19">
        <v>1</v>
      </c>
      <c r="Y48" s="19">
        <v>0</v>
      </c>
      <c r="Z48" s="40">
        <v>0</v>
      </c>
      <c r="AA48" s="19">
        <v>0</v>
      </c>
      <c r="AB48" s="19">
        <v>0</v>
      </c>
      <c r="AC48" s="27" t="s">
        <v>66</v>
      </c>
      <c r="AD48" s="41">
        <v>0</v>
      </c>
      <c r="AE48" s="29">
        <v>0</v>
      </c>
      <c r="AF48" s="29">
        <v>0</v>
      </c>
      <c r="AG48" s="41">
        <v>0</v>
      </c>
      <c r="AH48" s="29">
        <v>0</v>
      </c>
      <c r="AI48" s="29">
        <v>0</v>
      </c>
      <c r="AJ48" s="27" t="s">
        <v>66</v>
      </c>
      <c r="AK48" s="41">
        <v>0</v>
      </c>
      <c r="AL48" s="29">
        <v>0</v>
      </c>
      <c r="AM48" s="29">
        <v>0</v>
      </c>
      <c r="AN48" s="41">
        <v>0</v>
      </c>
      <c r="AO48" s="29">
        <v>0</v>
      </c>
      <c r="AP48" s="29">
        <v>0</v>
      </c>
      <c r="AQ48" s="27" t="s">
        <v>66</v>
      </c>
      <c r="AR48" s="40">
        <v>0</v>
      </c>
      <c r="AS48" s="19">
        <v>0</v>
      </c>
      <c r="AT48" s="19">
        <v>0</v>
      </c>
      <c r="AU48" s="40">
        <v>0</v>
      </c>
      <c r="AV48" s="19">
        <v>0</v>
      </c>
      <c r="AW48" s="19">
        <v>0</v>
      </c>
      <c r="AX48" s="27" t="s">
        <v>66</v>
      </c>
      <c r="AY48" s="41">
        <v>0</v>
      </c>
      <c r="AZ48" s="29">
        <v>0</v>
      </c>
      <c r="BA48" s="29">
        <v>0</v>
      </c>
      <c r="BB48" s="41">
        <v>0</v>
      </c>
      <c r="BC48" s="41">
        <v>0</v>
      </c>
      <c r="BD48" s="29">
        <v>0</v>
      </c>
    </row>
    <row r="49" spans="1:56" ht="14.25" customHeight="1" x14ac:dyDescent="0.3">
      <c r="A49" s="27" t="s">
        <v>110</v>
      </c>
      <c r="B49" s="25" t="s">
        <v>80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7" t="s">
        <v>110</v>
      </c>
      <c r="I49" s="40">
        <v>0</v>
      </c>
      <c r="J49" s="19">
        <v>0</v>
      </c>
      <c r="K49" s="19">
        <v>0</v>
      </c>
      <c r="L49" s="40">
        <v>0</v>
      </c>
      <c r="M49" s="19">
        <v>0</v>
      </c>
      <c r="N49" s="19">
        <v>0</v>
      </c>
      <c r="O49" s="27" t="s">
        <v>110</v>
      </c>
      <c r="P49" s="40">
        <v>0</v>
      </c>
      <c r="Q49" s="19">
        <v>0</v>
      </c>
      <c r="R49" s="19">
        <v>0</v>
      </c>
      <c r="S49" s="40">
        <v>0</v>
      </c>
      <c r="T49" s="19">
        <v>0</v>
      </c>
      <c r="U49" s="19">
        <v>0</v>
      </c>
      <c r="V49" s="27" t="s">
        <v>110</v>
      </c>
      <c r="W49" s="40">
        <v>0</v>
      </c>
      <c r="X49" s="19">
        <v>0</v>
      </c>
      <c r="Y49" s="19">
        <v>0</v>
      </c>
      <c r="Z49" s="40">
        <v>0</v>
      </c>
      <c r="AA49" s="19">
        <v>0</v>
      </c>
      <c r="AB49" s="19">
        <v>0</v>
      </c>
      <c r="AC49" s="27" t="s">
        <v>110</v>
      </c>
      <c r="AD49" s="41">
        <v>0</v>
      </c>
      <c r="AE49" s="29">
        <v>0</v>
      </c>
      <c r="AF49" s="29">
        <v>0</v>
      </c>
      <c r="AG49" s="41">
        <v>0</v>
      </c>
      <c r="AH49" s="29">
        <v>0</v>
      </c>
      <c r="AI49" s="29">
        <v>0</v>
      </c>
      <c r="AJ49" s="27" t="s">
        <v>110</v>
      </c>
      <c r="AK49" s="41">
        <v>0</v>
      </c>
      <c r="AL49" s="29">
        <v>0</v>
      </c>
      <c r="AM49" s="29">
        <v>0</v>
      </c>
      <c r="AN49" s="41">
        <v>0</v>
      </c>
      <c r="AO49" s="29">
        <v>0</v>
      </c>
      <c r="AP49" s="29">
        <v>0</v>
      </c>
      <c r="AQ49" s="27" t="s">
        <v>110</v>
      </c>
      <c r="AR49" s="40">
        <v>0</v>
      </c>
      <c r="AS49" s="19">
        <v>0</v>
      </c>
      <c r="AT49" s="19">
        <v>0</v>
      </c>
      <c r="AU49" s="40">
        <v>0</v>
      </c>
      <c r="AV49" s="19">
        <v>0</v>
      </c>
      <c r="AW49" s="19">
        <v>0</v>
      </c>
      <c r="AX49" s="27" t="s">
        <v>110</v>
      </c>
      <c r="AY49" s="41">
        <v>0</v>
      </c>
      <c r="AZ49" s="29">
        <v>0</v>
      </c>
      <c r="BA49" s="29">
        <v>0</v>
      </c>
      <c r="BB49" s="41">
        <v>0</v>
      </c>
      <c r="BC49" s="41">
        <v>0</v>
      </c>
      <c r="BD49" s="29">
        <v>0</v>
      </c>
    </row>
    <row r="50" spans="1:56" ht="14.25" customHeight="1" x14ac:dyDescent="0.3">
      <c r="A50" s="10"/>
      <c r="B50" s="10"/>
      <c r="C50" s="10"/>
      <c r="D50" s="10"/>
      <c r="E50" s="10"/>
      <c r="F50" s="10"/>
      <c r="G50" s="1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</row>
    <row r="51" spans="1:56" ht="14.25" customHeight="1" x14ac:dyDescent="0.3">
      <c r="A51" s="18" t="s">
        <v>111</v>
      </c>
      <c r="B51" s="12" t="s">
        <v>101</v>
      </c>
      <c r="C51" s="12" t="s">
        <v>102</v>
      </c>
      <c r="D51" s="12" t="s">
        <v>26</v>
      </c>
      <c r="E51" s="12" t="s">
        <v>103</v>
      </c>
      <c r="F51" s="12" t="s">
        <v>104</v>
      </c>
      <c r="G51" s="12" t="s">
        <v>105</v>
      </c>
      <c r="H51" s="18" t="s">
        <v>83</v>
      </c>
      <c r="I51" s="12" t="s">
        <v>101</v>
      </c>
      <c r="J51" s="12" t="s">
        <v>102</v>
      </c>
      <c r="K51" s="12" t="s">
        <v>26</v>
      </c>
      <c r="L51" s="12" t="s">
        <v>106</v>
      </c>
      <c r="M51" s="12" t="s">
        <v>104</v>
      </c>
      <c r="N51" s="12" t="s">
        <v>105</v>
      </c>
      <c r="O51" s="18" t="s">
        <v>73</v>
      </c>
      <c r="P51" s="12" t="s">
        <v>101</v>
      </c>
      <c r="Q51" s="12" t="s">
        <v>102</v>
      </c>
      <c r="R51" s="12" t="s">
        <v>26</v>
      </c>
      <c r="S51" s="12" t="s">
        <v>106</v>
      </c>
      <c r="T51" s="12" t="s">
        <v>104</v>
      </c>
      <c r="U51" s="12" t="s">
        <v>105</v>
      </c>
      <c r="V51" s="18" t="s">
        <v>79</v>
      </c>
      <c r="W51" s="12" t="s">
        <v>101</v>
      </c>
      <c r="X51" s="12" t="s">
        <v>102</v>
      </c>
      <c r="Y51" s="12" t="s">
        <v>26</v>
      </c>
      <c r="Z51" s="12" t="s">
        <v>106</v>
      </c>
      <c r="AA51" s="12" t="s">
        <v>104</v>
      </c>
      <c r="AB51" s="12" t="s">
        <v>105</v>
      </c>
      <c r="AC51" s="18" t="s">
        <v>77</v>
      </c>
      <c r="AD51" s="12" t="s">
        <v>101</v>
      </c>
      <c r="AE51" s="12" t="s">
        <v>102</v>
      </c>
      <c r="AF51" s="12" t="s">
        <v>26</v>
      </c>
      <c r="AG51" s="12" t="s">
        <v>106</v>
      </c>
      <c r="AH51" s="12" t="s">
        <v>104</v>
      </c>
      <c r="AI51" s="12" t="s">
        <v>105</v>
      </c>
      <c r="AJ51" s="11" t="s">
        <v>81</v>
      </c>
      <c r="AK51" s="12" t="s">
        <v>101</v>
      </c>
      <c r="AL51" s="12" t="s">
        <v>102</v>
      </c>
      <c r="AM51" s="12" t="s">
        <v>26</v>
      </c>
      <c r="AN51" s="12" t="s">
        <v>106</v>
      </c>
      <c r="AO51" s="12" t="s">
        <v>104</v>
      </c>
      <c r="AP51" s="12" t="s">
        <v>105</v>
      </c>
      <c r="AQ51" s="18" t="s">
        <v>112</v>
      </c>
      <c r="AR51" s="12" t="s">
        <v>101</v>
      </c>
      <c r="AS51" s="12" t="s">
        <v>102</v>
      </c>
      <c r="AT51" s="12" t="s">
        <v>26</v>
      </c>
      <c r="AU51" s="12" t="s">
        <v>106</v>
      </c>
      <c r="AV51" s="12" t="s">
        <v>104</v>
      </c>
      <c r="AW51" s="12" t="s">
        <v>105</v>
      </c>
      <c r="AX51" s="18" t="s">
        <v>113</v>
      </c>
      <c r="AY51" s="12" t="s">
        <v>101</v>
      </c>
      <c r="AZ51" s="12" t="s">
        <v>102</v>
      </c>
      <c r="BA51" s="12" t="s">
        <v>26</v>
      </c>
      <c r="BB51" s="12" t="s">
        <v>106</v>
      </c>
      <c r="BC51" s="12" t="s">
        <v>104</v>
      </c>
      <c r="BD51" s="12" t="s">
        <v>105</v>
      </c>
    </row>
    <row r="52" spans="1:56" ht="14.25" customHeight="1" x14ac:dyDescent="0.3">
      <c r="A52" s="11" t="s">
        <v>109</v>
      </c>
      <c r="B52" s="39">
        <v>-0.1042</v>
      </c>
      <c r="C52" s="19">
        <v>36</v>
      </c>
      <c r="D52" s="19">
        <v>2</v>
      </c>
      <c r="E52" s="19">
        <v>9</v>
      </c>
      <c r="F52" s="19">
        <v>0</v>
      </c>
      <c r="G52" s="19">
        <v>8</v>
      </c>
      <c r="H52" s="18" t="s">
        <v>109</v>
      </c>
      <c r="I52" s="40">
        <v>0.25</v>
      </c>
      <c r="J52" s="19">
        <v>4</v>
      </c>
      <c r="K52" s="19">
        <v>2</v>
      </c>
      <c r="L52" s="40">
        <v>0.5</v>
      </c>
      <c r="M52" s="19">
        <v>1</v>
      </c>
      <c r="N52" s="19">
        <v>0</v>
      </c>
      <c r="O52" s="18" t="s">
        <v>109</v>
      </c>
      <c r="P52" s="40">
        <v>0</v>
      </c>
      <c r="Q52" s="19">
        <v>0</v>
      </c>
      <c r="R52" s="19">
        <v>0</v>
      </c>
      <c r="S52" s="40">
        <v>0</v>
      </c>
      <c r="T52" s="19">
        <v>0</v>
      </c>
      <c r="U52" s="19">
        <v>0</v>
      </c>
      <c r="V52" s="18" t="s">
        <v>109</v>
      </c>
      <c r="W52" s="40">
        <v>0</v>
      </c>
      <c r="X52" s="19">
        <v>0</v>
      </c>
      <c r="Y52" s="19">
        <v>0</v>
      </c>
      <c r="Z52" s="40">
        <v>0</v>
      </c>
      <c r="AA52" s="19">
        <v>0</v>
      </c>
      <c r="AB52" s="19">
        <v>0</v>
      </c>
      <c r="AC52" s="18" t="s">
        <v>109</v>
      </c>
      <c r="AD52" s="40">
        <v>0.17</v>
      </c>
      <c r="AE52" s="19">
        <v>6</v>
      </c>
      <c r="AF52" s="19">
        <v>3</v>
      </c>
      <c r="AG52" s="40">
        <v>0.5</v>
      </c>
      <c r="AH52" s="19">
        <v>1</v>
      </c>
      <c r="AI52" s="19">
        <v>1</v>
      </c>
      <c r="AJ52" s="18" t="s">
        <v>109</v>
      </c>
      <c r="AK52" s="40">
        <v>0</v>
      </c>
      <c r="AL52" s="19">
        <v>1</v>
      </c>
      <c r="AM52" s="19">
        <v>0</v>
      </c>
      <c r="AN52" s="40">
        <v>0</v>
      </c>
      <c r="AO52" s="19">
        <v>0</v>
      </c>
      <c r="AP52" s="19">
        <v>0</v>
      </c>
      <c r="AQ52" s="18" t="s">
        <v>109</v>
      </c>
      <c r="AR52" s="40">
        <v>0.2</v>
      </c>
      <c r="AS52" s="19">
        <v>49</v>
      </c>
      <c r="AT52" s="19">
        <v>20</v>
      </c>
      <c r="AU52" s="40">
        <v>0.41</v>
      </c>
      <c r="AV52" s="19">
        <v>5</v>
      </c>
      <c r="AW52" s="19">
        <v>5</v>
      </c>
      <c r="AX52" s="18" t="s">
        <v>109</v>
      </c>
      <c r="AY52" s="40">
        <v>0.13</v>
      </c>
      <c r="AZ52" s="19">
        <v>71</v>
      </c>
      <c r="BA52" s="19">
        <v>25</v>
      </c>
      <c r="BB52" s="40">
        <v>0.35</v>
      </c>
      <c r="BC52" s="19">
        <v>8</v>
      </c>
      <c r="BD52" s="19">
        <v>8</v>
      </c>
    </row>
    <row r="53" spans="1:56" ht="14.25" customHeight="1" x14ac:dyDescent="0.3">
      <c r="A53" s="11" t="s">
        <v>68</v>
      </c>
      <c r="B53" s="25" t="s">
        <v>80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8" t="s">
        <v>68</v>
      </c>
      <c r="I53" s="40">
        <v>0</v>
      </c>
      <c r="J53" s="19">
        <v>0</v>
      </c>
      <c r="K53" s="19">
        <v>0</v>
      </c>
      <c r="L53" s="40">
        <v>0</v>
      </c>
      <c r="M53" s="19">
        <v>0</v>
      </c>
      <c r="N53" s="19">
        <v>0</v>
      </c>
      <c r="O53" s="18" t="s">
        <v>68</v>
      </c>
      <c r="P53" s="40">
        <v>0</v>
      </c>
      <c r="Q53" s="19">
        <v>0</v>
      </c>
      <c r="R53" s="19">
        <v>0</v>
      </c>
      <c r="S53" s="40">
        <v>0</v>
      </c>
      <c r="T53" s="19">
        <v>0</v>
      </c>
      <c r="U53" s="19">
        <v>0</v>
      </c>
      <c r="V53" s="18" t="s">
        <v>68</v>
      </c>
      <c r="W53" s="40">
        <v>0</v>
      </c>
      <c r="X53" s="19">
        <v>0</v>
      </c>
      <c r="Y53" s="19">
        <v>0</v>
      </c>
      <c r="Z53" s="40">
        <v>0</v>
      </c>
      <c r="AA53" s="19">
        <v>0</v>
      </c>
      <c r="AB53" s="19">
        <v>0</v>
      </c>
      <c r="AC53" s="18" t="s">
        <v>68</v>
      </c>
      <c r="AD53" s="40">
        <v>1</v>
      </c>
      <c r="AE53" s="19">
        <v>1</v>
      </c>
      <c r="AF53" s="19">
        <v>1</v>
      </c>
      <c r="AG53" s="40">
        <v>1</v>
      </c>
      <c r="AH53" s="19">
        <v>0</v>
      </c>
      <c r="AI53" s="19">
        <v>0</v>
      </c>
      <c r="AJ53" s="18" t="s">
        <v>68</v>
      </c>
      <c r="AK53" s="40">
        <v>0</v>
      </c>
      <c r="AL53" s="19">
        <v>0</v>
      </c>
      <c r="AM53" s="19">
        <v>0</v>
      </c>
      <c r="AN53" s="40">
        <v>0</v>
      </c>
      <c r="AO53" s="19">
        <v>0</v>
      </c>
      <c r="AP53" s="19">
        <v>0</v>
      </c>
      <c r="AQ53" s="18" t="s">
        <v>68</v>
      </c>
      <c r="AR53" s="40">
        <v>0</v>
      </c>
      <c r="AS53" s="19">
        <v>0</v>
      </c>
      <c r="AT53" s="19">
        <v>0</v>
      </c>
      <c r="AU53" s="40">
        <v>0</v>
      </c>
      <c r="AV53" s="19">
        <v>0</v>
      </c>
      <c r="AW53" s="19">
        <v>0</v>
      </c>
      <c r="AX53" s="18" t="s">
        <v>68</v>
      </c>
      <c r="AY53" s="40">
        <v>0.8</v>
      </c>
      <c r="AZ53" s="19">
        <v>5</v>
      </c>
      <c r="BA53" s="19">
        <v>4</v>
      </c>
      <c r="BB53" s="40">
        <v>0.8</v>
      </c>
      <c r="BC53" s="19">
        <v>0</v>
      </c>
      <c r="BD53" s="19">
        <v>0</v>
      </c>
    </row>
    <row r="54" spans="1:56" ht="14.25" customHeight="1" x14ac:dyDescent="0.3">
      <c r="A54" s="11" t="s">
        <v>97</v>
      </c>
      <c r="B54" s="25" t="s">
        <v>80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8" t="s">
        <v>97</v>
      </c>
      <c r="I54" s="40">
        <v>0</v>
      </c>
      <c r="J54" s="19">
        <v>0</v>
      </c>
      <c r="K54" s="19">
        <v>0</v>
      </c>
      <c r="L54" s="40">
        <v>0</v>
      </c>
      <c r="M54" s="19">
        <v>0</v>
      </c>
      <c r="N54" s="19">
        <v>0</v>
      </c>
      <c r="O54" s="18" t="s">
        <v>97</v>
      </c>
      <c r="P54" s="40">
        <v>0</v>
      </c>
      <c r="Q54" s="19">
        <v>0</v>
      </c>
      <c r="R54" s="19">
        <v>0</v>
      </c>
      <c r="S54" s="40">
        <v>0</v>
      </c>
      <c r="T54" s="19">
        <v>0</v>
      </c>
      <c r="U54" s="19">
        <v>0</v>
      </c>
      <c r="V54" s="18" t="s">
        <v>97</v>
      </c>
      <c r="W54" s="40">
        <v>0</v>
      </c>
      <c r="X54" s="19">
        <v>0</v>
      </c>
      <c r="Y54" s="19">
        <v>0</v>
      </c>
      <c r="Z54" s="40">
        <v>0</v>
      </c>
      <c r="AA54" s="19">
        <v>0</v>
      </c>
      <c r="AB54" s="19">
        <v>0</v>
      </c>
      <c r="AC54" s="18" t="s">
        <v>97</v>
      </c>
      <c r="AD54" s="40">
        <v>0</v>
      </c>
      <c r="AE54" s="19">
        <v>0</v>
      </c>
      <c r="AF54" s="19">
        <v>0</v>
      </c>
      <c r="AG54" s="40">
        <v>0</v>
      </c>
      <c r="AH54" s="19">
        <v>0</v>
      </c>
      <c r="AI54" s="19">
        <v>0</v>
      </c>
      <c r="AJ54" s="18" t="s">
        <v>97</v>
      </c>
      <c r="AK54" s="40">
        <v>0</v>
      </c>
      <c r="AL54" s="19">
        <v>0</v>
      </c>
      <c r="AM54" s="19">
        <v>0</v>
      </c>
      <c r="AN54" s="40">
        <v>0</v>
      </c>
      <c r="AO54" s="19">
        <v>0</v>
      </c>
      <c r="AP54" s="19">
        <v>0</v>
      </c>
      <c r="AQ54" s="18" t="s">
        <v>97</v>
      </c>
      <c r="AR54" s="40">
        <v>1</v>
      </c>
      <c r="AS54" s="19">
        <v>2</v>
      </c>
      <c r="AT54" s="19">
        <v>2</v>
      </c>
      <c r="AU54" s="40">
        <v>1</v>
      </c>
      <c r="AV54" s="19">
        <v>0</v>
      </c>
      <c r="AW54" s="19">
        <v>0</v>
      </c>
      <c r="AX54" s="18" t="s">
        <v>97</v>
      </c>
      <c r="AY54" s="40">
        <v>0</v>
      </c>
      <c r="AZ54" s="19">
        <v>0</v>
      </c>
      <c r="BA54" s="19">
        <v>0</v>
      </c>
      <c r="BB54" s="40">
        <v>0</v>
      </c>
      <c r="BC54" s="19">
        <v>0</v>
      </c>
      <c r="BD54" s="19">
        <v>0</v>
      </c>
    </row>
    <row r="55" spans="1:56" ht="14.25" customHeight="1" x14ac:dyDescent="0.3">
      <c r="A55" s="11" t="s">
        <v>54</v>
      </c>
      <c r="B55" s="39">
        <v>-0.375</v>
      </c>
      <c r="C55" s="19">
        <v>10</v>
      </c>
      <c r="D55" s="19">
        <v>1</v>
      </c>
      <c r="E55" s="19">
        <v>1</v>
      </c>
      <c r="F55" s="19">
        <v>0</v>
      </c>
      <c r="G55" s="19">
        <v>5</v>
      </c>
      <c r="H55" s="18" t="s">
        <v>54</v>
      </c>
      <c r="I55" s="40">
        <v>0.25</v>
      </c>
      <c r="J55" s="19">
        <v>4</v>
      </c>
      <c r="K55" s="19">
        <v>2</v>
      </c>
      <c r="L55" s="40">
        <v>0.5</v>
      </c>
      <c r="M55" s="19">
        <v>1</v>
      </c>
      <c r="N55" s="19">
        <v>0</v>
      </c>
      <c r="O55" s="18" t="s">
        <v>54</v>
      </c>
      <c r="P55" s="40">
        <v>0</v>
      </c>
      <c r="Q55" s="19">
        <v>0</v>
      </c>
      <c r="R55" s="19">
        <v>0</v>
      </c>
      <c r="S55" s="40">
        <v>0</v>
      </c>
      <c r="T55" s="19">
        <v>0</v>
      </c>
      <c r="U55" s="19">
        <v>0</v>
      </c>
      <c r="V55" s="18" t="s">
        <v>54</v>
      </c>
      <c r="W55" s="40">
        <v>0</v>
      </c>
      <c r="X55" s="19">
        <v>0</v>
      </c>
      <c r="Y55" s="19">
        <v>0</v>
      </c>
      <c r="Z55" s="40">
        <v>0</v>
      </c>
      <c r="AA55" s="19">
        <v>0</v>
      </c>
      <c r="AB55" s="19">
        <v>0</v>
      </c>
      <c r="AC55" s="18" t="s">
        <v>54</v>
      </c>
      <c r="AD55" s="40">
        <v>0</v>
      </c>
      <c r="AE55" s="19">
        <v>0</v>
      </c>
      <c r="AF55" s="19">
        <v>0</v>
      </c>
      <c r="AG55" s="40">
        <v>0</v>
      </c>
      <c r="AH55" s="19">
        <v>0</v>
      </c>
      <c r="AI55" s="19">
        <v>0</v>
      </c>
      <c r="AJ55" s="18" t="s">
        <v>54</v>
      </c>
      <c r="AK55" s="40">
        <v>0</v>
      </c>
      <c r="AL55" s="19">
        <v>0</v>
      </c>
      <c r="AM55" s="19">
        <v>0</v>
      </c>
      <c r="AN55" s="40">
        <v>0</v>
      </c>
      <c r="AO55" s="19">
        <v>0</v>
      </c>
      <c r="AP55" s="19">
        <v>0</v>
      </c>
      <c r="AQ55" s="18" t="s">
        <v>54</v>
      </c>
      <c r="AR55" s="40">
        <v>0.08</v>
      </c>
      <c r="AS55" s="19">
        <v>12</v>
      </c>
      <c r="AT55" s="19">
        <v>5</v>
      </c>
      <c r="AU55" s="40">
        <v>0.42</v>
      </c>
      <c r="AV55" s="19">
        <v>2</v>
      </c>
      <c r="AW55" s="19">
        <v>2</v>
      </c>
      <c r="AX55" s="18" t="s">
        <v>54</v>
      </c>
      <c r="AY55" s="40">
        <v>-0.13</v>
      </c>
      <c r="AZ55" s="19">
        <v>15</v>
      </c>
      <c r="BA55" s="19">
        <v>3</v>
      </c>
      <c r="BB55" s="40">
        <v>0.2</v>
      </c>
      <c r="BC55" s="19">
        <v>3</v>
      </c>
      <c r="BD55" s="19">
        <v>2</v>
      </c>
    </row>
    <row r="56" spans="1:56" ht="14.25" customHeight="1" x14ac:dyDescent="0.3">
      <c r="A56" s="11" t="s">
        <v>87</v>
      </c>
      <c r="B56" s="25" t="s">
        <v>80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8" t="s">
        <v>87</v>
      </c>
      <c r="I56" s="40">
        <v>0</v>
      </c>
      <c r="J56" s="19">
        <v>0</v>
      </c>
      <c r="K56" s="19">
        <v>0</v>
      </c>
      <c r="L56" s="40">
        <v>0</v>
      </c>
      <c r="M56" s="19">
        <v>0</v>
      </c>
      <c r="N56" s="19">
        <v>0</v>
      </c>
      <c r="O56" s="18" t="s">
        <v>87</v>
      </c>
      <c r="P56" s="40">
        <v>0</v>
      </c>
      <c r="Q56" s="19">
        <v>0</v>
      </c>
      <c r="R56" s="19">
        <v>0</v>
      </c>
      <c r="S56" s="40">
        <v>0</v>
      </c>
      <c r="T56" s="19">
        <v>0</v>
      </c>
      <c r="U56" s="19">
        <v>0</v>
      </c>
      <c r="V56" s="18" t="s">
        <v>87</v>
      </c>
      <c r="W56" s="40">
        <v>0</v>
      </c>
      <c r="X56" s="19">
        <v>0</v>
      </c>
      <c r="Y56" s="19">
        <v>0</v>
      </c>
      <c r="Z56" s="40">
        <v>0</v>
      </c>
      <c r="AA56" s="19">
        <v>0</v>
      </c>
      <c r="AB56" s="19">
        <v>0</v>
      </c>
      <c r="AC56" s="18" t="s">
        <v>87</v>
      </c>
      <c r="AD56" s="40">
        <v>0</v>
      </c>
      <c r="AE56" s="19">
        <v>0</v>
      </c>
      <c r="AF56" s="19">
        <v>0</v>
      </c>
      <c r="AG56" s="40">
        <v>0</v>
      </c>
      <c r="AH56" s="19">
        <v>0</v>
      </c>
      <c r="AI56" s="19">
        <v>0</v>
      </c>
      <c r="AJ56" s="18" t="s">
        <v>87</v>
      </c>
      <c r="AK56" s="40">
        <v>0</v>
      </c>
      <c r="AL56" s="19">
        <v>0</v>
      </c>
      <c r="AM56" s="19">
        <v>0</v>
      </c>
      <c r="AN56" s="40">
        <v>0</v>
      </c>
      <c r="AO56" s="19">
        <v>0</v>
      </c>
      <c r="AP56" s="19">
        <v>0</v>
      </c>
      <c r="AQ56" s="18" t="s">
        <v>87</v>
      </c>
      <c r="AR56" s="40">
        <v>0</v>
      </c>
      <c r="AS56" s="19">
        <v>0</v>
      </c>
      <c r="AT56" s="19">
        <v>0</v>
      </c>
      <c r="AU56" s="40">
        <v>0</v>
      </c>
      <c r="AV56" s="19">
        <v>0</v>
      </c>
      <c r="AW56" s="19">
        <v>0</v>
      </c>
      <c r="AX56" s="18" t="s">
        <v>87</v>
      </c>
      <c r="AY56" s="40">
        <v>0</v>
      </c>
      <c r="AZ56" s="19">
        <v>0</v>
      </c>
      <c r="BA56" s="19">
        <v>0</v>
      </c>
      <c r="BB56" s="40">
        <v>0</v>
      </c>
      <c r="BC56" s="19">
        <v>0</v>
      </c>
      <c r="BD56" s="19">
        <v>0</v>
      </c>
    </row>
    <row r="57" spans="1:56" ht="14.25" customHeight="1" x14ac:dyDescent="0.3">
      <c r="A57" s="11" t="s">
        <v>94</v>
      </c>
      <c r="B57" s="25" t="s">
        <v>80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8" t="s">
        <v>94</v>
      </c>
      <c r="I57" s="40">
        <v>0</v>
      </c>
      <c r="J57" s="19">
        <v>0</v>
      </c>
      <c r="K57" s="19">
        <v>0</v>
      </c>
      <c r="L57" s="40">
        <v>0</v>
      </c>
      <c r="M57" s="19">
        <v>0</v>
      </c>
      <c r="N57" s="19">
        <v>0</v>
      </c>
      <c r="O57" s="18" t="s">
        <v>94</v>
      </c>
      <c r="P57" s="40">
        <v>0</v>
      </c>
      <c r="Q57" s="19">
        <v>0</v>
      </c>
      <c r="R57" s="19">
        <v>0</v>
      </c>
      <c r="S57" s="40">
        <v>0</v>
      </c>
      <c r="T57" s="19">
        <v>0</v>
      </c>
      <c r="U57" s="19">
        <v>0</v>
      </c>
      <c r="V57" s="18" t="s">
        <v>94</v>
      </c>
      <c r="W57" s="40">
        <v>0</v>
      </c>
      <c r="X57" s="19">
        <v>0</v>
      </c>
      <c r="Y57" s="19">
        <v>0</v>
      </c>
      <c r="Z57" s="40">
        <v>0</v>
      </c>
      <c r="AA57" s="19">
        <v>0</v>
      </c>
      <c r="AB57" s="19">
        <v>0</v>
      </c>
      <c r="AC57" s="18" t="s">
        <v>94</v>
      </c>
      <c r="AD57" s="40">
        <v>0</v>
      </c>
      <c r="AE57" s="19">
        <v>0</v>
      </c>
      <c r="AF57" s="19">
        <v>0</v>
      </c>
      <c r="AG57" s="40">
        <v>0</v>
      </c>
      <c r="AH57" s="19">
        <v>0</v>
      </c>
      <c r="AI57" s="19">
        <v>0</v>
      </c>
      <c r="AJ57" s="18" t="s">
        <v>94</v>
      </c>
      <c r="AK57" s="40">
        <v>0</v>
      </c>
      <c r="AL57" s="19">
        <v>0</v>
      </c>
      <c r="AM57" s="19">
        <v>0</v>
      </c>
      <c r="AN57" s="40">
        <v>0</v>
      </c>
      <c r="AO57" s="19">
        <v>0</v>
      </c>
      <c r="AP57" s="19">
        <v>0</v>
      </c>
      <c r="AQ57" s="18" t="s">
        <v>94</v>
      </c>
      <c r="AR57" s="40">
        <v>-1</v>
      </c>
      <c r="AS57" s="19">
        <v>1</v>
      </c>
      <c r="AT57" s="19">
        <v>0</v>
      </c>
      <c r="AU57" s="40">
        <v>0</v>
      </c>
      <c r="AV57" s="19">
        <v>0</v>
      </c>
      <c r="AW57" s="19">
        <v>1</v>
      </c>
      <c r="AX57" s="18" t="s">
        <v>94</v>
      </c>
      <c r="AY57" s="40">
        <v>-1</v>
      </c>
      <c r="AZ57" s="19">
        <v>1</v>
      </c>
      <c r="BA57" s="19">
        <v>0</v>
      </c>
      <c r="BB57" s="40">
        <v>0</v>
      </c>
      <c r="BC57" s="19">
        <v>1</v>
      </c>
      <c r="BD57" s="19">
        <v>0</v>
      </c>
    </row>
    <row r="58" spans="1:56" ht="14.25" customHeight="1" x14ac:dyDescent="0.3">
      <c r="A58" s="11" t="s">
        <v>86</v>
      </c>
      <c r="B58" s="39">
        <v>-0.32140000000000002</v>
      </c>
      <c r="C58" s="19">
        <v>7</v>
      </c>
      <c r="D58" s="19">
        <v>0</v>
      </c>
      <c r="E58" s="19">
        <v>3</v>
      </c>
      <c r="F58" s="19">
        <v>0</v>
      </c>
      <c r="G58" s="19">
        <v>3</v>
      </c>
      <c r="H58" s="18" t="s">
        <v>86</v>
      </c>
      <c r="I58" s="40">
        <v>0</v>
      </c>
      <c r="J58" s="19">
        <v>0</v>
      </c>
      <c r="K58" s="19">
        <v>0</v>
      </c>
      <c r="L58" s="40">
        <v>0</v>
      </c>
      <c r="M58" s="19">
        <v>0</v>
      </c>
      <c r="N58" s="19">
        <v>0</v>
      </c>
      <c r="O58" s="18" t="s">
        <v>86</v>
      </c>
      <c r="P58" s="40">
        <v>0</v>
      </c>
      <c r="Q58" s="19">
        <v>0</v>
      </c>
      <c r="R58" s="19">
        <v>0</v>
      </c>
      <c r="S58" s="40">
        <v>0</v>
      </c>
      <c r="T58" s="19">
        <v>0</v>
      </c>
      <c r="U58" s="19">
        <v>0</v>
      </c>
      <c r="V58" s="18" t="s">
        <v>86</v>
      </c>
      <c r="W58" s="40">
        <v>0</v>
      </c>
      <c r="X58" s="19">
        <v>0</v>
      </c>
      <c r="Y58" s="19">
        <v>0</v>
      </c>
      <c r="Z58" s="40">
        <v>0</v>
      </c>
      <c r="AA58" s="19">
        <v>0</v>
      </c>
      <c r="AB58" s="19">
        <v>0</v>
      </c>
      <c r="AC58" s="18" t="s">
        <v>86</v>
      </c>
      <c r="AD58" s="40">
        <v>0</v>
      </c>
      <c r="AE58" s="19">
        <v>0</v>
      </c>
      <c r="AF58" s="19">
        <v>0</v>
      </c>
      <c r="AG58" s="40">
        <v>0</v>
      </c>
      <c r="AH58" s="19">
        <v>0</v>
      </c>
      <c r="AI58" s="19">
        <v>0</v>
      </c>
      <c r="AJ58" s="18" t="s">
        <v>86</v>
      </c>
      <c r="AK58" s="40">
        <v>0</v>
      </c>
      <c r="AL58" s="19">
        <v>0</v>
      </c>
      <c r="AM58" s="19">
        <v>0</v>
      </c>
      <c r="AN58" s="40">
        <v>0</v>
      </c>
      <c r="AO58" s="19">
        <v>0</v>
      </c>
      <c r="AP58" s="19">
        <v>0</v>
      </c>
      <c r="AQ58" s="18" t="s">
        <v>86</v>
      </c>
      <c r="AR58" s="40">
        <v>0.16</v>
      </c>
      <c r="AS58" s="19">
        <v>19</v>
      </c>
      <c r="AT58" s="19">
        <v>7</v>
      </c>
      <c r="AU58" s="40">
        <v>0.37</v>
      </c>
      <c r="AV58" s="19">
        <v>2</v>
      </c>
      <c r="AW58" s="19">
        <v>2</v>
      </c>
      <c r="AX58" s="18" t="s">
        <v>86</v>
      </c>
      <c r="AY58" s="40">
        <v>0.24</v>
      </c>
      <c r="AZ58" s="19">
        <v>17</v>
      </c>
      <c r="BA58" s="19">
        <v>6</v>
      </c>
      <c r="BB58" s="40">
        <v>0.35</v>
      </c>
      <c r="BC58" s="19">
        <v>0</v>
      </c>
      <c r="BD58" s="19">
        <v>2</v>
      </c>
    </row>
    <row r="59" spans="1:56" ht="14.25" customHeight="1" x14ac:dyDescent="0.3">
      <c r="A59" s="11" t="s">
        <v>85</v>
      </c>
      <c r="B59" s="39">
        <v>0.11840000000000001</v>
      </c>
      <c r="C59" s="19">
        <v>19</v>
      </c>
      <c r="D59" s="19">
        <v>1</v>
      </c>
      <c r="E59" s="19">
        <v>5</v>
      </c>
      <c r="F59" s="19">
        <v>0</v>
      </c>
      <c r="G59" s="19">
        <v>0</v>
      </c>
      <c r="H59" s="18" t="s">
        <v>85</v>
      </c>
      <c r="I59" s="40">
        <v>0</v>
      </c>
      <c r="J59" s="19">
        <v>0</v>
      </c>
      <c r="K59" s="19">
        <v>0</v>
      </c>
      <c r="L59" s="40">
        <v>0</v>
      </c>
      <c r="M59" s="19">
        <v>0</v>
      </c>
      <c r="N59" s="19">
        <v>0</v>
      </c>
      <c r="O59" s="18" t="s">
        <v>85</v>
      </c>
      <c r="P59" s="40">
        <v>0.12</v>
      </c>
      <c r="Q59" s="19">
        <v>8</v>
      </c>
      <c r="R59" s="19">
        <v>3</v>
      </c>
      <c r="S59" s="40">
        <v>0.38</v>
      </c>
      <c r="T59" s="19">
        <v>2</v>
      </c>
      <c r="U59" s="19">
        <v>0</v>
      </c>
      <c r="V59" s="18" t="s">
        <v>85</v>
      </c>
      <c r="W59" s="40">
        <v>0</v>
      </c>
      <c r="X59" s="19">
        <v>0</v>
      </c>
      <c r="Y59" s="19">
        <v>0</v>
      </c>
      <c r="Z59" s="40">
        <v>0</v>
      </c>
      <c r="AA59" s="19">
        <v>0</v>
      </c>
      <c r="AB59" s="19">
        <v>0</v>
      </c>
      <c r="AC59" s="18" t="s">
        <v>85</v>
      </c>
      <c r="AD59" s="40">
        <v>0</v>
      </c>
      <c r="AE59" s="19">
        <v>0</v>
      </c>
      <c r="AF59" s="19">
        <v>0</v>
      </c>
      <c r="AG59" s="40">
        <v>0</v>
      </c>
      <c r="AH59" s="19">
        <v>0</v>
      </c>
      <c r="AI59" s="19">
        <v>0</v>
      </c>
      <c r="AJ59" s="18" t="s">
        <v>85</v>
      </c>
      <c r="AK59" s="40">
        <v>0</v>
      </c>
      <c r="AL59" s="19">
        <v>0</v>
      </c>
      <c r="AM59" s="19">
        <v>0</v>
      </c>
      <c r="AN59" s="40">
        <v>0</v>
      </c>
      <c r="AO59" s="19">
        <v>0</v>
      </c>
      <c r="AP59" s="19">
        <v>0</v>
      </c>
      <c r="AQ59" s="18" t="s">
        <v>85</v>
      </c>
      <c r="AR59" s="40">
        <v>0.38</v>
      </c>
      <c r="AS59" s="19">
        <v>8</v>
      </c>
      <c r="AT59" s="19">
        <v>3</v>
      </c>
      <c r="AU59" s="40">
        <v>0.38</v>
      </c>
      <c r="AV59" s="19">
        <v>0</v>
      </c>
      <c r="AW59" s="19">
        <v>0</v>
      </c>
      <c r="AX59" s="18" t="s">
        <v>85</v>
      </c>
      <c r="AY59" s="40">
        <v>0</v>
      </c>
      <c r="AZ59" s="19">
        <v>14</v>
      </c>
      <c r="BA59" s="19">
        <v>4</v>
      </c>
      <c r="BB59" s="40">
        <v>0.28999999999999998</v>
      </c>
      <c r="BC59" s="19">
        <v>2</v>
      </c>
      <c r="BD59" s="19">
        <v>2</v>
      </c>
    </row>
    <row r="60" spans="1:56" ht="14.25" customHeight="1" x14ac:dyDescent="0.3">
      <c r="A60" s="11" t="s">
        <v>67</v>
      </c>
      <c r="B60" s="25" t="s">
        <v>80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8" t="s">
        <v>67</v>
      </c>
      <c r="I60" s="40">
        <v>0</v>
      </c>
      <c r="J60" s="19">
        <v>0</v>
      </c>
      <c r="K60" s="19">
        <v>0</v>
      </c>
      <c r="L60" s="40">
        <v>0</v>
      </c>
      <c r="M60" s="19">
        <v>0</v>
      </c>
      <c r="N60" s="19">
        <v>0</v>
      </c>
      <c r="O60" s="18" t="s">
        <v>67</v>
      </c>
      <c r="P60" s="40">
        <v>0</v>
      </c>
      <c r="Q60" s="19">
        <v>0</v>
      </c>
      <c r="R60" s="19">
        <v>0</v>
      </c>
      <c r="S60" s="40">
        <v>0</v>
      </c>
      <c r="T60" s="19">
        <v>0</v>
      </c>
      <c r="U60" s="19">
        <v>0</v>
      </c>
      <c r="V60" s="18" t="s">
        <v>67</v>
      </c>
      <c r="W60" s="40">
        <v>0</v>
      </c>
      <c r="X60" s="19">
        <v>0</v>
      </c>
      <c r="Y60" s="19">
        <v>0</v>
      </c>
      <c r="Z60" s="40">
        <v>0</v>
      </c>
      <c r="AA60" s="19">
        <v>0</v>
      </c>
      <c r="AB60" s="19">
        <v>0</v>
      </c>
      <c r="AC60" s="18" t="s">
        <v>67</v>
      </c>
      <c r="AD60" s="40">
        <v>0</v>
      </c>
      <c r="AE60" s="19">
        <v>0</v>
      </c>
      <c r="AF60" s="19">
        <v>0</v>
      </c>
      <c r="AG60" s="40">
        <v>0</v>
      </c>
      <c r="AH60" s="19">
        <v>0</v>
      </c>
      <c r="AI60" s="19">
        <v>0</v>
      </c>
      <c r="AJ60" s="18" t="s">
        <v>67</v>
      </c>
      <c r="AK60" s="40">
        <v>0</v>
      </c>
      <c r="AL60" s="19">
        <v>0</v>
      </c>
      <c r="AM60" s="19">
        <v>0</v>
      </c>
      <c r="AN60" s="40">
        <v>0</v>
      </c>
      <c r="AO60" s="19">
        <v>0</v>
      </c>
      <c r="AP60" s="19">
        <v>0</v>
      </c>
      <c r="AQ60" s="18" t="s">
        <v>67</v>
      </c>
      <c r="AR60" s="40">
        <v>0</v>
      </c>
      <c r="AS60" s="19">
        <v>0</v>
      </c>
      <c r="AT60" s="19">
        <v>0</v>
      </c>
      <c r="AU60" s="40">
        <v>0</v>
      </c>
      <c r="AV60" s="19">
        <v>0</v>
      </c>
      <c r="AW60" s="19">
        <v>0</v>
      </c>
      <c r="AX60" s="18" t="s">
        <v>67</v>
      </c>
      <c r="AY60" s="40">
        <v>0</v>
      </c>
      <c r="AZ60" s="19">
        <v>0</v>
      </c>
      <c r="BA60" s="19">
        <v>0</v>
      </c>
      <c r="BB60" s="40">
        <v>0</v>
      </c>
      <c r="BC60" s="19">
        <v>0</v>
      </c>
      <c r="BD60" s="19">
        <v>0</v>
      </c>
    </row>
    <row r="61" spans="1:56" ht="14.25" customHeight="1" x14ac:dyDescent="0.3">
      <c r="A61" s="11" t="s">
        <v>88</v>
      </c>
      <c r="B61" s="25" t="s">
        <v>80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8" t="s">
        <v>88</v>
      </c>
      <c r="I61" s="40">
        <v>0</v>
      </c>
      <c r="J61" s="19">
        <v>0</v>
      </c>
      <c r="K61" s="19">
        <v>0</v>
      </c>
      <c r="L61" s="40">
        <v>0</v>
      </c>
      <c r="M61" s="19">
        <v>0</v>
      </c>
      <c r="N61" s="19">
        <v>0</v>
      </c>
      <c r="O61" s="18" t="s">
        <v>88</v>
      </c>
      <c r="P61" s="40">
        <v>0</v>
      </c>
      <c r="Q61" s="19">
        <v>0</v>
      </c>
      <c r="R61" s="19">
        <v>0</v>
      </c>
      <c r="S61" s="40">
        <v>0</v>
      </c>
      <c r="T61" s="19">
        <v>0</v>
      </c>
      <c r="U61" s="19">
        <v>0</v>
      </c>
      <c r="V61" s="18" t="s">
        <v>88</v>
      </c>
      <c r="W61" s="40">
        <v>0</v>
      </c>
      <c r="X61" s="19">
        <v>0</v>
      </c>
      <c r="Y61" s="19">
        <v>0</v>
      </c>
      <c r="Z61" s="40">
        <v>0</v>
      </c>
      <c r="AA61" s="19">
        <v>0</v>
      </c>
      <c r="AB61" s="19">
        <v>0</v>
      </c>
      <c r="AC61" s="18" t="s">
        <v>88</v>
      </c>
      <c r="AD61" s="40">
        <v>0</v>
      </c>
      <c r="AE61" s="19">
        <v>0</v>
      </c>
      <c r="AF61" s="19">
        <v>0</v>
      </c>
      <c r="AG61" s="40">
        <v>0</v>
      </c>
      <c r="AH61" s="19">
        <v>0</v>
      </c>
      <c r="AI61" s="19">
        <v>0</v>
      </c>
      <c r="AJ61" s="18" t="s">
        <v>88</v>
      </c>
      <c r="AK61" s="40">
        <v>0</v>
      </c>
      <c r="AL61" s="19">
        <v>0</v>
      </c>
      <c r="AM61" s="19">
        <v>0</v>
      </c>
      <c r="AN61" s="40">
        <v>0</v>
      </c>
      <c r="AO61" s="19">
        <v>0</v>
      </c>
      <c r="AP61" s="19">
        <v>0</v>
      </c>
      <c r="AQ61" s="18" t="s">
        <v>88</v>
      </c>
      <c r="AR61" s="40">
        <v>0</v>
      </c>
      <c r="AS61" s="19">
        <v>0</v>
      </c>
      <c r="AT61" s="19">
        <v>0</v>
      </c>
      <c r="AU61" s="40">
        <v>0</v>
      </c>
      <c r="AV61" s="19">
        <v>0</v>
      </c>
      <c r="AW61" s="19">
        <v>0</v>
      </c>
      <c r="AX61" s="18" t="s">
        <v>88</v>
      </c>
      <c r="AY61" s="40">
        <v>0</v>
      </c>
      <c r="AZ61" s="19">
        <v>0</v>
      </c>
      <c r="BA61" s="19">
        <v>0</v>
      </c>
      <c r="BB61" s="40">
        <v>0</v>
      </c>
      <c r="BC61" s="19">
        <v>0</v>
      </c>
      <c r="BD61" s="19">
        <v>0</v>
      </c>
    </row>
    <row r="62" spans="1:56" ht="14.25" customHeight="1" x14ac:dyDescent="0.3">
      <c r="A62" s="11" t="s">
        <v>69</v>
      </c>
      <c r="B62" s="25" t="s">
        <v>80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8" t="s">
        <v>69</v>
      </c>
      <c r="I62" s="40">
        <v>0</v>
      </c>
      <c r="J62" s="19">
        <v>0</v>
      </c>
      <c r="K62" s="19">
        <v>0</v>
      </c>
      <c r="L62" s="40">
        <v>0</v>
      </c>
      <c r="M62" s="19">
        <v>0</v>
      </c>
      <c r="N62" s="19">
        <v>0</v>
      </c>
      <c r="O62" s="18" t="s">
        <v>69</v>
      </c>
      <c r="P62" s="40">
        <v>0</v>
      </c>
      <c r="Q62" s="19">
        <v>0</v>
      </c>
      <c r="R62" s="19">
        <v>0</v>
      </c>
      <c r="S62" s="40">
        <v>0</v>
      </c>
      <c r="T62" s="19">
        <v>0</v>
      </c>
      <c r="U62" s="19">
        <v>0</v>
      </c>
      <c r="V62" s="18" t="s">
        <v>69</v>
      </c>
      <c r="W62" s="40">
        <v>0</v>
      </c>
      <c r="X62" s="19">
        <v>0</v>
      </c>
      <c r="Y62" s="19">
        <v>0</v>
      </c>
      <c r="Z62" s="40">
        <v>0</v>
      </c>
      <c r="AA62" s="19">
        <v>0</v>
      </c>
      <c r="AB62" s="19">
        <v>0</v>
      </c>
      <c r="AC62" s="18" t="s">
        <v>69</v>
      </c>
      <c r="AD62" s="40">
        <v>-0.25</v>
      </c>
      <c r="AE62" s="19">
        <v>4</v>
      </c>
      <c r="AF62" s="19">
        <v>1</v>
      </c>
      <c r="AG62" s="40">
        <v>0.25</v>
      </c>
      <c r="AH62" s="19">
        <v>1</v>
      </c>
      <c r="AI62" s="19">
        <v>1</v>
      </c>
      <c r="AJ62" s="18" t="s">
        <v>69</v>
      </c>
      <c r="AK62" s="40">
        <v>0</v>
      </c>
      <c r="AL62" s="19">
        <v>0</v>
      </c>
      <c r="AM62" s="19">
        <v>0</v>
      </c>
      <c r="AN62" s="40">
        <v>0</v>
      </c>
      <c r="AO62" s="19">
        <v>0</v>
      </c>
      <c r="AP62" s="19">
        <v>0</v>
      </c>
      <c r="AQ62" s="18" t="s">
        <v>69</v>
      </c>
      <c r="AR62" s="40">
        <v>0</v>
      </c>
      <c r="AS62" s="19">
        <v>0</v>
      </c>
      <c r="AT62" s="19">
        <v>0</v>
      </c>
      <c r="AU62" s="40">
        <v>0</v>
      </c>
      <c r="AV62" s="19">
        <v>0</v>
      </c>
      <c r="AW62" s="19">
        <v>0</v>
      </c>
      <c r="AX62" s="18" t="s">
        <v>69</v>
      </c>
      <c r="AY62" s="40">
        <v>0.1</v>
      </c>
      <c r="AZ62" s="19">
        <v>10</v>
      </c>
      <c r="BA62" s="19">
        <v>3</v>
      </c>
      <c r="BB62" s="40">
        <v>0.3</v>
      </c>
      <c r="BC62" s="19">
        <v>1</v>
      </c>
      <c r="BD62" s="19">
        <v>1</v>
      </c>
    </row>
    <row r="63" spans="1:56" ht="14.25" customHeight="1" x14ac:dyDescent="0.3">
      <c r="A63" s="42" t="s">
        <v>66</v>
      </c>
      <c r="B63" s="25" t="s">
        <v>80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7" t="s">
        <v>66</v>
      </c>
      <c r="I63" s="40">
        <v>0</v>
      </c>
      <c r="J63" s="19">
        <v>0</v>
      </c>
      <c r="K63" s="19">
        <v>0</v>
      </c>
      <c r="L63" s="40">
        <v>0</v>
      </c>
      <c r="M63" s="19">
        <v>0</v>
      </c>
      <c r="N63" s="19">
        <v>0</v>
      </c>
      <c r="O63" s="27" t="s">
        <v>66</v>
      </c>
      <c r="P63" s="40">
        <v>0</v>
      </c>
      <c r="Q63" s="19">
        <v>0</v>
      </c>
      <c r="R63" s="19">
        <v>0</v>
      </c>
      <c r="S63" s="40">
        <v>0</v>
      </c>
      <c r="T63" s="19">
        <v>0</v>
      </c>
      <c r="U63" s="19">
        <v>0</v>
      </c>
      <c r="V63" s="27" t="s">
        <v>66</v>
      </c>
      <c r="W63" s="40">
        <v>0</v>
      </c>
      <c r="X63" s="19">
        <v>0</v>
      </c>
      <c r="Y63" s="19">
        <v>0</v>
      </c>
      <c r="Z63" s="40">
        <v>0</v>
      </c>
      <c r="AA63" s="19">
        <v>0</v>
      </c>
      <c r="AB63" s="19">
        <v>0</v>
      </c>
      <c r="AC63" s="27" t="s">
        <v>66</v>
      </c>
      <c r="AD63" s="41">
        <v>0</v>
      </c>
      <c r="AE63" s="29">
        <v>0</v>
      </c>
      <c r="AF63" s="29">
        <v>0</v>
      </c>
      <c r="AG63" s="41">
        <v>0</v>
      </c>
      <c r="AH63" s="29">
        <v>0</v>
      </c>
      <c r="AI63" s="29">
        <v>0</v>
      </c>
      <c r="AJ63" s="27" t="s">
        <v>66</v>
      </c>
      <c r="AK63" s="41">
        <v>0</v>
      </c>
      <c r="AL63" s="29">
        <v>0</v>
      </c>
      <c r="AM63" s="29">
        <v>0</v>
      </c>
      <c r="AN63" s="41">
        <v>0</v>
      </c>
      <c r="AO63" s="29">
        <v>0</v>
      </c>
      <c r="AP63" s="29">
        <v>0</v>
      </c>
      <c r="AQ63" s="27" t="s">
        <v>66</v>
      </c>
      <c r="AR63" s="41">
        <v>0</v>
      </c>
      <c r="AS63" s="29">
        <v>0</v>
      </c>
      <c r="AT63" s="29">
        <v>0</v>
      </c>
      <c r="AU63" s="41">
        <v>0</v>
      </c>
      <c r="AV63" s="29">
        <v>0</v>
      </c>
      <c r="AW63" s="29">
        <v>0</v>
      </c>
      <c r="AX63" s="27" t="s">
        <v>66</v>
      </c>
      <c r="AY63" s="41">
        <v>0</v>
      </c>
      <c r="AZ63" s="29">
        <v>1</v>
      </c>
      <c r="BA63" s="29">
        <v>0</v>
      </c>
      <c r="BB63" s="41">
        <v>0</v>
      </c>
      <c r="BC63" s="29">
        <v>0</v>
      </c>
      <c r="BD63" s="29">
        <v>0</v>
      </c>
    </row>
    <row r="64" spans="1:56" ht="25.5" customHeight="1" x14ac:dyDescent="0.3">
      <c r="A64" s="42" t="s">
        <v>110</v>
      </c>
      <c r="B64" s="25" t="s">
        <v>80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7" t="s">
        <v>110</v>
      </c>
      <c r="I64" s="40">
        <v>0</v>
      </c>
      <c r="J64" s="19">
        <v>0</v>
      </c>
      <c r="K64" s="19">
        <v>0</v>
      </c>
      <c r="L64" s="40">
        <v>0</v>
      </c>
      <c r="M64" s="19">
        <v>0</v>
      </c>
      <c r="N64" s="19">
        <v>0</v>
      </c>
      <c r="O64" s="27" t="s">
        <v>110</v>
      </c>
      <c r="P64" s="40">
        <v>0</v>
      </c>
      <c r="Q64" s="19">
        <v>0</v>
      </c>
      <c r="R64" s="19">
        <v>0</v>
      </c>
      <c r="S64" s="40">
        <v>0</v>
      </c>
      <c r="T64" s="19">
        <v>0</v>
      </c>
      <c r="U64" s="19">
        <v>0</v>
      </c>
      <c r="V64" s="27" t="s">
        <v>110</v>
      </c>
      <c r="W64" s="40">
        <v>0</v>
      </c>
      <c r="X64" s="19">
        <v>0</v>
      </c>
      <c r="Y64" s="19">
        <v>0</v>
      </c>
      <c r="Z64" s="40">
        <v>0</v>
      </c>
      <c r="AA64" s="19">
        <v>0</v>
      </c>
      <c r="AB64" s="19">
        <v>0</v>
      </c>
      <c r="AC64" s="27" t="s">
        <v>110</v>
      </c>
      <c r="AD64" s="41">
        <v>0</v>
      </c>
      <c r="AE64" s="29">
        <v>0</v>
      </c>
      <c r="AF64" s="29">
        <v>0</v>
      </c>
      <c r="AG64" s="41">
        <v>0</v>
      </c>
      <c r="AH64" s="29">
        <v>0</v>
      </c>
      <c r="AI64" s="29">
        <v>0</v>
      </c>
      <c r="AJ64" s="27" t="s">
        <v>110</v>
      </c>
      <c r="AK64" s="41">
        <v>0</v>
      </c>
      <c r="AL64" s="29">
        <v>0</v>
      </c>
      <c r="AM64" s="29">
        <v>0</v>
      </c>
      <c r="AN64" s="41">
        <v>0</v>
      </c>
      <c r="AO64" s="29">
        <v>0</v>
      </c>
      <c r="AP64" s="29">
        <v>0</v>
      </c>
      <c r="AQ64" s="27" t="s">
        <v>110</v>
      </c>
      <c r="AR64" s="41">
        <v>0</v>
      </c>
      <c r="AS64" s="29">
        <v>0</v>
      </c>
      <c r="AT64" s="29">
        <v>0</v>
      </c>
      <c r="AU64" s="41">
        <v>0</v>
      </c>
      <c r="AV64" s="29">
        <v>0</v>
      </c>
      <c r="AW64" s="29">
        <v>0</v>
      </c>
      <c r="AX64" s="27" t="s">
        <v>110</v>
      </c>
      <c r="AY64" s="41">
        <v>0</v>
      </c>
      <c r="AZ64" s="29">
        <v>0</v>
      </c>
      <c r="BA64" s="29">
        <v>0</v>
      </c>
      <c r="BB64" s="41">
        <v>0</v>
      </c>
      <c r="BC64" s="29">
        <v>0</v>
      </c>
      <c r="BD64" s="29">
        <v>0</v>
      </c>
    </row>
    <row r="65" spans="1:35" ht="13.5" customHeight="1" x14ac:dyDescent="0.3"/>
    <row r="66" spans="1:35" ht="30" customHeight="1" x14ac:dyDescent="0.3">
      <c r="A66" s="155" t="s">
        <v>114</v>
      </c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N66" s="153" t="s">
        <v>115</v>
      </c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</row>
    <row r="67" spans="1:35" ht="25.5" customHeight="1" x14ac:dyDescent="0.3">
      <c r="B67" s="43" t="s">
        <v>97</v>
      </c>
      <c r="C67" s="44" t="s">
        <v>116</v>
      </c>
      <c r="D67" s="44" t="s">
        <v>117</v>
      </c>
      <c r="E67" s="45" t="s">
        <v>118</v>
      </c>
      <c r="F67" s="44" t="s">
        <v>119</v>
      </c>
      <c r="G67" s="45" t="s">
        <v>120</v>
      </c>
      <c r="H67" s="44" t="s">
        <v>121</v>
      </c>
      <c r="I67" s="45" t="s">
        <v>122</v>
      </c>
      <c r="J67" s="44" t="s">
        <v>123</v>
      </c>
      <c r="K67" s="44" t="s">
        <v>102</v>
      </c>
      <c r="O67" s="46" t="s">
        <v>94</v>
      </c>
      <c r="P67" s="44" t="s">
        <v>116</v>
      </c>
      <c r="Q67" s="44" t="s">
        <v>117</v>
      </c>
      <c r="R67" s="44" t="s">
        <v>118</v>
      </c>
      <c r="S67" s="44" t="s">
        <v>119</v>
      </c>
      <c r="T67" s="44" t="s">
        <v>120</v>
      </c>
      <c r="U67" s="44" t="s">
        <v>121</v>
      </c>
      <c r="V67" s="44" t="s">
        <v>122</v>
      </c>
      <c r="W67" s="44" t="s">
        <v>123</v>
      </c>
      <c r="X67" s="44" t="s">
        <v>102</v>
      </c>
    </row>
    <row r="68" spans="1:35" ht="24" customHeight="1" x14ac:dyDescent="0.3">
      <c r="A68" s="43" t="s">
        <v>97</v>
      </c>
      <c r="B68" s="43" t="s">
        <v>124</v>
      </c>
      <c r="C68" s="47">
        <v>2</v>
      </c>
      <c r="D68" s="48">
        <f>IF(K68&gt;0,C68/K68,0)</f>
        <v>0.4</v>
      </c>
      <c r="E68" s="47">
        <v>1</v>
      </c>
      <c r="F68" s="48">
        <f>IF(K68&gt;0,E68/K68,0)</f>
        <v>0.2</v>
      </c>
      <c r="G68" s="47">
        <v>1</v>
      </c>
      <c r="H68" s="48">
        <f>IF(K68&gt;0,G68/K68,0)</f>
        <v>0.2</v>
      </c>
      <c r="I68" s="47">
        <v>1</v>
      </c>
      <c r="J68" s="48">
        <f>IF(K68&gt;0,I68/K68,0)</f>
        <v>0.2</v>
      </c>
      <c r="K68" s="47">
        <v>5</v>
      </c>
      <c r="N68" s="46" t="s">
        <v>94</v>
      </c>
      <c r="O68" s="46" t="s">
        <v>124</v>
      </c>
      <c r="P68" s="49">
        <v>3</v>
      </c>
      <c r="Q68" s="48">
        <f>IF(X68&gt;0,P68/X68,0)</f>
        <v>0.42857142857142855</v>
      </c>
      <c r="R68" s="49">
        <v>1</v>
      </c>
      <c r="S68" s="48">
        <f>IF(X68&gt;0,R68/X68,0)</f>
        <v>0.14285714285714285</v>
      </c>
      <c r="T68" s="49">
        <v>3</v>
      </c>
      <c r="U68" s="48">
        <f>IF(X68&gt;0,T68/X68,0)</f>
        <v>0.42857142857142855</v>
      </c>
      <c r="V68" s="49">
        <v>0</v>
      </c>
      <c r="W68" s="48">
        <f>IF(X68&gt;0,V68/X68,0)</f>
        <v>0</v>
      </c>
      <c r="X68" s="49">
        <v>7</v>
      </c>
      <c r="AA68" s="43"/>
      <c r="AB68" s="44" t="s">
        <v>101</v>
      </c>
      <c r="AD68" s="43" t="s">
        <v>97</v>
      </c>
      <c r="AE68" s="44" t="s">
        <v>101</v>
      </c>
      <c r="AF68" s="44" t="s">
        <v>102</v>
      </c>
      <c r="AG68" s="44" t="s">
        <v>26</v>
      </c>
      <c r="AH68" s="44" t="s">
        <v>106</v>
      </c>
      <c r="AI68" s="44" t="s">
        <v>125</v>
      </c>
    </row>
    <row r="69" spans="1:35" ht="21.75" customHeight="1" x14ac:dyDescent="0.3">
      <c r="A69" s="43" t="s">
        <v>97</v>
      </c>
      <c r="B69" s="50"/>
      <c r="C69" s="51">
        <v>0</v>
      </c>
      <c r="D69" s="48">
        <f>IF(C68&gt;0,C69/C68,0)</f>
        <v>0</v>
      </c>
      <c r="E69" s="51">
        <v>1</v>
      </c>
      <c r="F69" s="48">
        <f>IF(E68&gt;0,E69/E68,0)</f>
        <v>1</v>
      </c>
      <c r="G69" s="51">
        <v>0</v>
      </c>
      <c r="H69" s="48">
        <f>IF(G68&gt;0,G69/G68,0)</f>
        <v>0</v>
      </c>
      <c r="I69" s="51">
        <v>1</v>
      </c>
      <c r="J69" s="48">
        <f>IF(I68&gt;0,I69/I68,0)</f>
        <v>1</v>
      </c>
      <c r="K69" s="51"/>
      <c r="N69" s="46" t="s">
        <v>94</v>
      </c>
      <c r="O69" s="50"/>
      <c r="P69" s="52">
        <v>1</v>
      </c>
      <c r="Q69" s="48">
        <f>IF(P68&gt;0,P69/P68,0)</f>
        <v>0.33333333333333331</v>
      </c>
      <c r="R69" s="52">
        <v>1</v>
      </c>
      <c r="S69" s="48">
        <f>IF(R68&gt;0,R69/R68,0)</f>
        <v>1</v>
      </c>
      <c r="T69" s="52">
        <v>0</v>
      </c>
      <c r="U69" s="48">
        <f>IF(T68&gt;0,T69/T68,0)</f>
        <v>0</v>
      </c>
      <c r="V69" s="52">
        <v>0</v>
      </c>
      <c r="W69" s="48">
        <f>IF(V68&gt;0,V69/V68,0)</f>
        <v>0</v>
      </c>
      <c r="X69" s="52"/>
      <c r="AA69" s="44" t="s">
        <v>126</v>
      </c>
      <c r="AB69" s="53">
        <v>0.26</v>
      </c>
      <c r="AD69" s="43" t="s">
        <v>124</v>
      </c>
      <c r="AE69" s="53">
        <v>0.4</v>
      </c>
      <c r="AF69" s="51">
        <v>5</v>
      </c>
      <c r="AG69" s="51">
        <v>2</v>
      </c>
      <c r="AH69" s="53">
        <v>0.4</v>
      </c>
      <c r="AI69" s="53">
        <v>0</v>
      </c>
    </row>
    <row r="70" spans="1:35" ht="21.75" customHeight="1" x14ac:dyDescent="0.3">
      <c r="A70" s="43" t="s">
        <v>97</v>
      </c>
      <c r="B70" s="43" t="s">
        <v>127</v>
      </c>
      <c r="C70" s="47">
        <v>0</v>
      </c>
      <c r="D70" s="48">
        <f>IF(K70&gt;0,C70/K70,0)</f>
        <v>0</v>
      </c>
      <c r="E70" s="47">
        <v>1</v>
      </c>
      <c r="F70" s="48">
        <f>IF(K70&gt;0,E70/K70,0)</f>
        <v>0.5</v>
      </c>
      <c r="G70" s="47">
        <v>1</v>
      </c>
      <c r="H70" s="48">
        <f>IF(K70&gt;0,G70/K70,0)</f>
        <v>0.5</v>
      </c>
      <c r="I70" s="47">
        <v>0</v>
      </c>
      <c r="J70" s="48">
        <f>IF(K70&gt;0,I70/K70,0)</f>
        <v>0</v>
      </c>
      <c r="K70" s="47">
        <v>2</v>
      </c>
      <c r="N70" s="46" t="s">
        <v>94</v>
      </c>
      <c r="O70" s="46" t="s">
        <v>127</v>
      </c>
      <c r="P70" s="49">
        <v>4</v>
      </c>
      <c r="Q70" s="48">
        <f>IF(X70&gt;0,P70/X70,0)</f>
        <v>0.8</v>
      </c>
      <c r="R70" s="49">
        <v>0</v>
      </c>
      <c r="S70" s="48">
        <f>IF(X70&gt;0,R70/X70,0)</f>
        <v>0</v>
      </c>
      <c r="T70" s="49">
        <v>1</v>
      </c>
      <c r="U70" s="48">
        <f>IF(X70&gt;0,T70/X70,0)</f>
        <v>0.2</v>
      </c>
      <c r="V70" s="49">
        <v>0</v>
      </c>
      <c r="W70" s="48">
        <f>IF(X70&gt;0,V70/X70,0)</f>
        <v>0</v>
      </c>
      <c r="X70" s="49">
        <v>5</v>
      </c>
      <c r="AA70" s="44" t="s">
        <v>128</v>
      </c>
      <c r="AB70" s="53">
        <v>0.27</v>
      </c>
      <c r="AD70" s="43" t="s">
        <v>127</v>
      </c>
      <c r="AE70" s="53">
        <v>1</v>
      </c>
      <c r="AF70" s="51">
        <v>2</v>
      </c>
      <c r="AG70" s="51">
        <v>2</v>
      </c>
      <c r="AH70" s="53">
        <v>1</v>
      </c>
      <c r="AI70" s="53">
        <v>0</v>
      </c>
    </row>
    <row r="71" spans="1:35" ht="21.75" customHeight="1" x14ac:dyDescent="0.3">
      <c r="A71" s="43" t="s">
        <v>97</v>
      </c>
      <c r="B71" s="50"/>
      <c r="C71" s="51">
        <v>0</v>
      </c>
      <c r="D71" s="48">
        <f>IF(C70&gt;0,C71/C70,0)</f>
        <v>0</v>
      </c>
      <c r="E71" s="51">
        <v>1</v>
      </c>
      <c r="F71" s="48">
        <f>IF(E70&gt;0,E71/E70,0)</f>
        <v>1</v>
      </c>
      <c r="G71" s="51">
        <v>1</v>
      </c>
      <c r="H71" s="48">
        <f>IF(G70&gt;0,G71/G70,0)</f>
        <v>1</v>
      </c>
      <c r="I71" s="51">
        <v>0</v>
      </c>
      <c r="J71" s="48">
        <f>IF(I70&gt;0,I71/I70,0)</f>
        <v>0</v>
      </c>
      <c r="K71" s="51"/>
      <c r="N71" s="46" t="s">
        <v>94</v>
      </c>
      <c r="O71" s="50"/>
      <c r="P71" s="52">
        <v>2</v>
      </c>
      <c r="Q71" s="48">
        <f>IF(P70&gt;0,P71/P70,0)</f>
        <v>0.5</v>
      </c>
      <c r="R71" s="52">
        <v>0</v>
      </c>
      <c r="S71" s="48">
        <f>IF(R70&gt;0,R71/R70,0)</f>
        <v>0</v>
      </c>
      <c r="T71" s="52">
        <v>0</v>
      </c>
      <c r="U71" s="48">
        <f>IF(T70&gt;0,T71/T70,0)</f>
        <v>0</v>
      </c>
      <c r="V71" s="52">
        <v>0</v>
      </c>
      <c r="W71" s="48">
        <f>IF(V70&gt;0,V71/V70,0)</f>
        <v>0</v>
      </c>
      <c r="X71" s="52"/>
      <c r="AA71" s="44" t="s">
        <v>129</v>
      </c>
      <c r="AB71" s="53">
        <v>0.3</v>
      </c>
      <c r="AD71" s="43" t="s">
        <v>130</v>
      </c>
      <c r="AE71" s="53">
        <v>0</v>
      </c>
      <c r="AF71" s="51">
        <v>3</v>
      </c>
      <c r="AG71" s="51">
        <v>1</v>
      </c>
      <c r="AH71" s="53">
        <v>0.33</v>
      </c>
      <c r="AI71" s="53">
        <v>0.33</v>
      </c>
    </row>
    <row r="72" spans="1:35" ht="21.75" customHeight="1" x14ac:dyDescent="0.3">
      <c r="A72" s="43" t="s">
        <v>97</v>
      </c>
      <c r="B72" s="43" t="s">
        <v>130</v>
      </c>
      <c r="C72" s="47">
        <v>2</v>
      </c>
      <c r="D72" s="48">
        <f>IF(K72&gt;0,C72/K72,0)</f>
        <v>0.66666666666666663</v>
      </c>
      <c r="E72" s="47">
        <v>1</v>
      </c>
      <c r="F72" s="48">
        <f>IF(K72&gt;0,E72/K72,0)</f>
        <v>0.33333333333333331</v>
      </c>
      <c r="G72" s="47">
        <v>0</v>
      </c>
      <c r="H72" s="48">
        <f>IF(K72&gt;0,G72/K72,0)</f>
        <v>0</v>
      </c>
      <c r="I72" s="47">
        <v>0</v>
      </c>
      <c r="J72" s="48">
        <f>IF(K72&gt;0,I72/K72,0)</f>
        <v>0</v>
      </c>
      <c r="K72" s="47">
        <v>3</v>
      </c>
      <c r="N72" s="46" t="s">
        <v>94</v>
      </c>
      <c r="O72" s="46" t="s">
        <v>130</v>
      </c>
      <c r="P72" s="49">
        <v>1</v>
      </c>
      <c r="Q72" s="48">
        <f>IF(X72&gt;0,P72/X72,0)</f>
        <v>0.1111111111111111</v>
      </c>
      <c r="R72" s="49">
        <v>7</v>
      </c>
      <c r="S72" s="48">
        <f>IF(X72&gt;0,R72/X72,0)</f>
        <v>0.77777777777777779</v>
      </c>
      <c r="T72" s="49">
        <v>1</v>
      </c>
      <c r="U72" s="48">
        <f>IF(X72&gt;0,T72/X72,0)</f>
        <v>0.1111111111111111</v>
      </c>
      <c r="V72" s="49">
        <v>0</v>
      </c>
      <c r="W72" s="48">
        <f>IF(X72&gt;0,V72/X72,0)</f>
        <v>0</v>
      </c>
      <c r="X72" s="49">
        <v>9</v>
      </c>
      <c r="AA72" s="44" t="s">
        <v>131</v>
      </c>
      <c r="AB72" s="53">
        <v>0</v>
      </c>
      <c r="AD72" s="43" t="s">
        <v>132</v>
      </c>
      <c r="AE72" s="53">
        <v>-0.33</v>
      </c>
      <c r="AF72" s="51">
        <v>3</v>
      </c>
      <c r="AG72" s="51">
        <v>0</v>
      </c>
      <c r="AH72" s="53">
        <v>0</v>
      </c>
      <c r="AI72" s="53">
        <v>0.33</v>
      </c>
    </row>
    <row r="73" spans="1:35" ht="21.75" customHeight="1" x14ac:dyDescent="0.3">
      <c r="A73" s="43" t="s">
        <v>97</v>
      </c>
      <c r="B73" s="50"/>
      <c r="C73" s="51">
        <v>1</v>
      </c>
      <c r="D73" s="48">
        <f>IF(C72&gt;0,C73/C72,0)</f>
        <v>0.5</v>
      </c>
      <c r="E73" s="51">
        <v>0</v>
      </c>
      <c r="F73" s="48">
        <f>IF(E72&gt;0,E73/E72,0)</f>
        <v>0</v>
      </c>
      <c r="G73" s="51">
        <v>0</v>
      </c>
      <c r="H73" s="48">
        <f>IF(G72&gt;0,G73/G72,0)</f>
        <v>0</v>
      </c>
      <c r="I73" s="51">
        <v>0</v>
      </c>
      <c r="J73" s="48">
        <f>IF(I72&gt;0,I73/I72,0)</f>
        <v>0</v>
      </c>
      <c r="K73" s="51"/>
      <c r="N73" s="46" t="s">
        <v>94</v>
      </c>
      <c r="O73" s="50"/>
      <c r="P73" s="52">
        <v>0</v>
      </c>
      <c r="Q73" s="48">
        <f>IF(P72&gt;0,P73/P72,0)</f>
        <v>0</v>
      </c>
      <c r="R73" s="52">
        <v>2</v>
      </c>
      <c r="S73" s="48">
        <f>IF(R72&gt;0,R73/R72,0)</f>
        <v>0.2857142857142857</v>
      </c>
      <c r="T73" s="52">
        <v>0</v>
      </c>
      <c r="U73" s="48">
        <f>IF(T72&gt;0,T73/T72,0)</f>
        <v>0</v>
      </c>
      <c r="V73" s="52">
        <v>0</v>
      </c>
      <c r="W73" s="48">
        <f>IF(V72&gt;0,V73/V72,0)</f>
        <v>0</v>
      </c>
      <c r="X73" s="52"/>
      <c r="AA73" s="44" t="s">
        <v>133</v>
      </c>
      <c r="AB73" s="53">
        <v>-1</v>
      </c>
      <c r="AD73" s="43" t="s">
        <v>134</v>
      </c>
      <c r="AE73" s="53">
        <v>0.33</v>
      </c>
      <c r="AF73" s="51">
        <v>3</v>
      </c>
      <c r="AG73" s="51">
        <v>2</v>
      </c>
      <c r="AH73" s="53">
        <v>0.67</v>
      </c>
      <c r="AI73" s="53">
        <v>0.33</v>
      </c>
    </row>
    <row r="74" spans="1:35" ht="21.75" customHeight="1" x14ac:dyDescent="0.3">
      <c r="A74" s="43" t="s">
        <v>97</v>
      </c>
      <c r="B74" s="43" t="s">
        <v>132</v>
      </c>
      <c r="C74" s="47">
        <v>2</v>
      </c>
      <c r="D74" s="48">
        <f>IF(K74&gt;0,C74/K74,0)</f>
        <v>0.66666666666666663</v>
      </c>
      <c r="E74" s="47">
        <v>0</v>
      </c>
      <c r="F74" s="48">
        <f>IF(K74&gt;0,E74/K74,0)</f>
        <v>0</v>
      </c>
      <c r="G74" s="47">
        <v>1</v>
      </c>
      <c r="H74" s="48">
        <f>IF(K74&gt;0,G74/K74,0)</f>
        <v>0.33333333333333331</v>
      </c>
      <c r="I74" s="47">
        <v>0</v>
      </c>
      <c r="J74" s="48">
        <f>IF(K74&gt;0,I74/K74,0)</f>
        <v>0</v>
      </c>
      <c r="K74" s="47">
        <v>3</v>
      </c>
      <c r="N74" s="46" t="s">
        <v>94</v>
      </c>
      <c r="O74" s="46" t="s">
        <v>132</v>
      </c>
      <c r="P74" s="49">
        <v>2</v>
      </c>
      <c r="Q74" s="48">
        <f>IF(X74&gt;0,P74/X74,0)</f>
        <v>0.66666666666666663</v>
      </c>
      <c r="R74" s="49">
        <v>1</v>
      </c>
      <c r="S74" s="48">
        <f>IF(X74&gt;0,R74/X74,0)</f>
        <v>0.33333333333333331</v>
      </c>
      <c r="T74" s="49">
        <v>0</v>
      </c>
      <c r="U74" s="48">
        <f>IF(X74&gt;0,T74/X74,0)</f>
        <v>0</v>
      </c>
      <c r="V74" s="49">
        <v>0</v>
      </c>
      <c r="W74" s="48">
        <f>IF(X74&gt;0,V74/X74,0)</f>
        <v>0</v>
      </c>
      <c r="X74" s="49">
        <v>3</v>
      </c>
      <c r="AA74" s="44" t="s">
        <v>135</v>
      </c>
      <c r="AB74" s="53">
        <v>0.33</v>
      </c>
      <c r="AD74" s="43" t="s">
        <v>136</v>
      </c>
      <c r="AE74" s="53">
        <v>0.4</v>
      </c>
      <c r="AF74" s="51">
        <v>5</v>
      </c>
      <c r="AG74" s="51">
        <v>2</v>
      </c>
      <c r="AH74" s="53">
        <v>0.4</v>
      </c>
      <c r="AI74" s="53">
        <v>0</v>
      </c>
    </row>
    <row r="75" spans="1:35" ht="21.75" customHeight="1" x14ac:dyDescent="0.3">
      <c r="A75" s="43" t="s">
        <v>97</v>
      </c>
      <c r="B75" s="50"/>
      <c r="C75" s="51">
        <v>0</v>
      </c>
      <c r="D75" s="48">
        <f>IF(C74&gt;0,C75/C74,0)</f>
        <v>0</v>
      </c>
      <c r="E75" s="51">
        <v>0</v>
      </c>
      <c r="F75" s="48">
        <f>IF(E74&gt;0,E75/E74,0)</f>
        <v>0</v>
      </c>
      <c r="G75" s="51">
        <v>0</v>
      </c>
      <c r="H75" s="48">
        <f>IF(G74&gt;0,G75/G74,0)</f>
        <v>0</v>
      </c>
      <c r="I75" s="51">
        <v>0</v>
      </c>
      <c r="J75" s="48">
        <f>IF(I74&gt;0,I75/I74,0)</f>
        <v>0</v>
      </c>
      <c r="K75" s="51"/>
      <c r="N75" s="46" t="s">
        <v>94</v>
      </c>
      <c r="O75" s="50"/>
      <c r="P75" s="52">
        <v>1</v>
      </c>
      <c r="Q75" s="48">
        <f>IF(P74&gt;0,P75/P74,0)</f>
        <v>0.5</v>
      </c>
      <c r="R75" s="52">
        <v>0</v>
      </c>
      <c r="S75" s="48">
        <f>IF(R74&gt;0,R75/R74,0)</f>
        <v>0</v>
      </c>
      <c r="T75" s="52">
        <v>0</v>
      </c>
      <c r="U75" s="48">
        <f>IF(T74&gt;0,T75/T74,0)</f>
        <v>0</v>
      </c>
      <c r="V75" s="52">
        <v>0</v>
      </c>
      <c r="W75" s="48">
        <f>IF(V74&gt;0,V75/V74,0)</f>
        <v>0</v>
      </c>
      <c r="X75" s="52"/>
      <c r="AD75" s="43" t="s">
        <v>137</v>
      </c>
      <c r="AE75" s="53">
        <v>0.28999999999999998</v>
      </c>
      <c r="AF75" s="51">
        <v>21</v>
      </c>
      <c r="AG75" s="51">
        <v>9</v>
      </c>
      <c r="AH75" s="53">
        <v>0.43</v>
      </c>
      <c r="AI75" s="53">
        <v>0.14000000000000001</v>
      </c>
    </row>
    <row r="76" spans="1:35" ht="21.75" customHeight="1" x14ac:dyDescent="0.3">
      <c r="A76" s="43" t="s">
        <v>97</v>
      </c>
      <c r="B76" s="43" t="s">
        <v>134</v>
      </c>
      <c r="C76" s="47">
        <v>2</v>
      </c>
      <c r="D76" s="48">
        <f>IF(K76&gt;0,C76/K76,0)</f>
        <v>0.66666666666666663</v>
      </c>
      <c r="E76" s="47">
        <v>1</v>
      </c>
      <c r="F76" s="48">
        <f>IF(K76&gt;0,E76/K76,0)</f>
        <v>0.33333333333333331</v>
      </c>
      <c r="G76" s="47">
        <v>0</v>
      </c>
      <c r="H76" s="48">
        <f>IF(K76&gt;0,G76/K76,0)</f>
        <v>0</v>
      </c>
      <c r="I76" s="47">
        <v>0</v>
      </c>
      <c r="J76" s="48">
        <f>IF(K76&gt;0,I76/K76,0)</f>
        <v>0</v>
      </c>
      <c r="K76" s="47">
        <v>3</v>
      </c>
      <c r="N76" s="46" t="s">
        <v>94</v>
      </c>
      <c r="O76" s="46" t="s">
        <v>134</v>
      </c>
      <c r="P76" s="49">
        <v>2</v>
      </c>
      <c r="Q76" s="48">
        <f>IF(X76&gt;0,P76/X76,0)</f>
        <v>0.33333333333333331</v>
      </c>
      <c r="R76" s="49">
        <v>2</v>
      </c>
      <c r="S76" s="48">
        <f>IF(X76&gt;0,R76/X76,0)</f>
        <v>0.33333333333333331</v>
      </c>
      <c r="T76" s="49">
        <v>1</v>
      </c>
      <c r="U76" s="48">
        <f>IF(X76&gt;0,T76/X76,0)</f>
        <v>0.16666666666666666</v>
      </c>
      <c r="V76" s="49">
        <v>1</v>
      </c>
      <c r="W76" s="48">
        <f>IF(X76&gt;0,V76/X76,0)</f>
        <v>0.16666666666666666</v>
      </c>
      <c r="X76" s="49">
        <v>6</v>
      </c>
      <c r="AD76" s="43" t="s">
        <v>138</v>
      </c>
      <c r="AE76" s="53">
        <v>0.33</v>
      </c>
      <c r="AF76" s="51">
        <v>6</v>
      </c>
      <c r="AG76" s="51">
        <v>3</v>
      </c>
      <c r="AH76" s="53">
        <v>0.5</v>
      </c>
      <c r="AI76" s="53">
        <v>0.17</v>
      </c>
    </row>
    <row r="77" spans="1:35" ht="21.75" customHeight="1" x14ac:dyDescent="0.3">
      <c r="A77" s="43" t="s">
        <v>97</v>
      </c>
      <c r="B77" s="50"/>
      <c r="C77" s="51">
        <v>1</v>
      </c>
      <c r="D77" s="48">
        <f>IF(C76&gt;0,C77/C76,0)</f>
        <v>0.5</v>
      </c>
      <c r="E77" s="51">
        <v>1</v>
      </c>
      <c r="F77" s="48">
        <f>IF(E76&gt;0,E77/E76,0)</f>
        <v>1</v>
      </c>
      <c r="G77" s="51">
        <v>0</v>
      </c>
      <c r="H77" s="48">
        <f>IF(G76&gt;0,G77/G76,0)</f>
        <v>0</v>
      </c>
      <c r="I77" s="51">
        <v>0</v>
      </c>
      <c r="J77" s="48">
        <f>IF(I76&gt;0,I77/I76,0)</f>
        <v>0</v>
      </c>
      <c r="K77" s="51"/>
      <c r="N77" s="46" t="s">
        <v>94</v>
      </c>
      <c r="O77" s="50"/>
      <c r="P77" s="52">
        <v>1</v>
      </c>
      <c r="Q77" s="48">
        <f>IF(P76&gt;0,P77/P76,0)</f>
        <v>0.5</v>
      </c>
      <c r="R77" s="52">
        <v>1</v>
      </c>
      <c r="S77" s="48">
        <f>IF(R76&gt;0,R77/R76,0)</f>
        <v>0.5</v>
      </c>
      <c r="T77" s="52">
        <v>0</v>
      </c>
      <c r="U77" s="48">
        <f>IF(T76&gt;0,T77/T76,0)</f>
        <v>0</v>
      </c>
      <c r="V77" s="52">
        <v>0</v>
      </c>
      <c r="W77" s="48">
        <f>IF(V76&gt;0,V77/V76,0)</f>
        <v>0</v>
      </c>
      <c r="X77" s="52"/>
      <c r="AE77" s="54"/>
      <c r="AH77" s="54"/>
      <c r="AI77" s="54"/>
    </row>
    <row r="78" spans="1:35" ht="24" customHeight="1" x14ac:dyDescent="0.3">
      <c r="A78" s="43" t="s">
        <v>97</v>
      </c>
      <c r="B78" s="43" t="s">
        <v>136</v>
      </c>
      <c r="C78" s="47">
        <v>1</v>
      </c>
      <c r="D78" s="48">
        <f>IF(K78&gt;0,C78/K78,0)</f>
        <v>0.2</v>
      </c>
      <c r="E78" s="47">
        <v>3</v>
      </c>
      <c r="F78" s="48">
        <f>IF(K78&gt;0,E78/K78,0)</f>
        <v>0.6</v>
      </c>
      <c r="G78" s="47">
        <v>1</v>
      </c>
      <c r="H78" s="48">
        <f>IF(K78&gt;0,G78/K78,0)</f>
        <v>0.2</v>
      </c>
      <c r="I78" s="47">
        <v>0</v>
      </c>
      <c r="J78" s="48">
        <f>IF(K78&gt;0,I78/K78,0)</f>
        <v>0</v>
      </c>
      <c r="K78" s="47">
        <v>5</v>
      </c>
      <c r="N78" s="46" t="s">
        <v>94</v>
      </c>
      <c r="O78" s="46" t="s">
        <v>136</v>
      </c>
      <c r="P78" s="49">
        <v>1</v>
      </c>
      <c r="Q78" s="48">
        <f>IF(X78&gt;0,P78/X78,0)</f>
        <v>0.16666666666666666</v>
      </c>
      <c r="R78" s="49">
        <v>3</v>
      </c>
      <c r="S78" s="48">
        <f>IF(X78&gt;0,R78/X78,0)</f>
        <v>0.5</v>
      </c>
      <c r="T78" s="49">
        <v>2</v>
      </c>
      <c r="U78" s="48">
        <f>IF(X78&gt;0,T78/X78,0)</f>
        <v>0.33333333333333331</v>
      </c>
      <c r="V78" s="49">
        <v>0</v>
      </c>
      <c r="W78" s="48">
        <f>IF(X78&gt;0,V78/X78,0)</f>
        <v>0</v>
      </c>
      <c r="X78" s="49">
        <v>6</v>
      </c>
      <c r="AA78" s="46"/>
      <c r="AB78" s="44" t="s">
        <v>101</v>
      </c>
      <c r="AD78" s="46" t="s">
        <v>94</v>
      </c>
      <c r="AE78" s="55" t="s">
        <v>101</v>
      </c>
      <c r="AF78" s="44" t="s">
        <v>102</v>
      </c>
      <c r="AG78" s="44" t="s">
        <v>26</v>
      </c>
      <c r="AH78" s="55" t="s">
        <v>106</v>
      </c>
      <c r="AI78" s="55" t="s">
        <v>125</v>
      </c>
    </row>
    <row r="79" spans="1:35" ht="21.75" customHeight="1" x14ac:dyDescent="0.3">
      <c r="A79" s="43" t="s">
        <v>97</v>
      </c>
      <c r="B79" s="50"/>
      <c r="C79" s="51">
        <v>0</v>
      </c>
      <c r="D79" s="48">
        <f>IF(C78&gt;0,C79/C78,0)</f>
        <v>0</v>
      </c>
      <c r="E79" s="51">
        <v>2</v>
      </c>
      <c r="F79" s="48">
        <f>IF(E78&gt;0,E79/E78,0)</f>
        <v>0.66666666666666663</v>
      </c>
      <c r="G79" s="51">
        <v>0</v>
      </c>
      <c r="H79" s="48">
        <f>IF(G78&gt;0,G79/G78,0)</f>
        <v>0</v>
      </c>
      <c r="I79" s="51">
        <v>0</v>
      </c>
      <c r="J79" s="48">
        <f>IF(I78&gt;0,I79/I78,0)</f>
        <v>0</v>
      </c>
      <c r="K79" s="51"/>
      <c r="N79" s="46" t="s">
        <v>94</v>
      </c>
      <c r="O79" s="50"/>
      <c r="P79" s="52">
        <v>0</v>
      </c>
      <c r="Q79" s="48">
        <f>IF(P78&gt;0,P79/P78,0)</f>
        <v>0</v>
      </c>
      <c r="R79" s="52">
        <v>2</v>
      </c>
      <c r="S79" s="48">
        <f>IF(R78&gt;0,R79/R78,0)</f>
        <v>0.66666666666666663</v>
      </c>
      <c r="T79" s="52">
        <v>2</v>
      </c>
      <c r="U79" s="48">
        <f>IF(T78&gt;0,T79/T78,0)</f>
        <v>1</v>
      </c>
      <c r="V79" s="52">
        <v>0</v>
      </c>
      <c r="W79" s="48">
        <f>IF(V78&gt;0,V79/V78,0)</f>
        <v>0</v>
      </c>
      <c r="X79" s="52"/>
      <c r="AA79" s="44" t="s">
        <v>126</v>
      </c>
      <c r="AB79" s="53">
        <v>0.13</v>
      </c>
      <c r="AD79" s="46" t="s">
        <v>124</v>
      </c>
      <c r="AE79" s="53">
        <v>0</v>
      </c>
      <c r="AF79" s="51">
        <v>7</v>
      </c>
      <c r="AG79" s="51">
        <v>2</v>
      </c>
      <c r="AH79" s="53">
        <v>0.28999999999999998</v>
      </c>
      <c r="AI79" s="53">
        <v>0.28999999999999998</v>
      </c>
    </row>
    <row r="80" spans="1:35" ht="21.75" customHeight="1" x14ac:dyDescent="0.3">
      <c r="A80" s="162" t="s">
        <v>139</v>
      </c>
      <c r="B80" s="163"/>
      <c r="C80" s="163"/>
      <c r="D80" s="163"/>
      <c r="E80" s="163"/>
      <c r="F80" s="164"/>
      <c r="G80" s="157" t="s">
        <v>140</v>
      </c>
      <c r="H80" s="158"/>
      <c r="I80" s="158"/>
      <c r="J80" s="158"/>
      <c r="K80" s="158"/>
      <c r="L80" s="158"/>
      <c r="N80" s="162" t="s">
        <v>139</v>
      </c>
      <c r="O80" s="163"/>
      <c r="P80" s="163"/>
      <c r="Q80" s="163"/>
      <c r="R80" s="163"/>
      <c r="S80" s="164"/>
      <c r="T80" s="157" t="s">
        <v>140</v>
      </c>
      <c r="U80" s="158"/>
      <c r="V80" s="158"/>
      <c r="W80" s="158"/>
      <c r="X80" s="158"/>
      <c r="Y80" s="158"/>
      <c r="AA80" s="44" t="s">
        <v>128</v>
      </c>
      <c r="AB80" s="53">
        <v>0.28000000000000003</v>
      </c>
      <c r="AD80" s="46" t="s">
        <v>127</v>
      </c>
      <c r="AE80" s="53">
        <v>0.2</v>
      </c>
      <c r="AF80" s="51">
        <v>5</v>
      </c>
      <c r="AG80" s="51">
        <v>2</v>
      </c>
      <c r="AH80" s="53">
        <v>0.4</v>
      </c>
      <c r="AI80" s="53">
        <v>0.2</v>
      </c>
    </row>
    <row r="81" spans="1:48" ht="21.75" customHeight="1" x14ac:dyDescent="0.3">
      <c r="A81" s="56">
        <v>9</v>
      </c>
      <c r="B81" s="57"/>
      <c r="C81" s="58">
        <v>7</v>
      </c>
      <c r="D81" s="57"/>
      <c r="E81" s="58">
        <v>2</v>
      </c>
      <c r="F81" s="57"/>
      <c r="G81" s="56">
        <v>3</v>
      </c>
      <c r="H81" s="57"/>
      <c r="I81" s="56">
        <v>3</v>
      </c>
      <c r="J81" s="57"/>
      <c r="K81" s="56">
        <v>0</v>
      </c>
      <c r="L81" s="57"/>
      <c r="N81" s="56">
        <v>13</v>
      </c>
      <c r="O81" s="57"/>
      <c r="P81" s="58">
        <v>14</v>
      </c>
      <c r="Q81" s="57"/>
      <c r="R81" s="58">
        <v>5</v>
      </c>
      <c r="S81" s="57"/>
      <c r="T81" s="56">
        <v>12</v>
      </c>
      <c r="U81" s="57"/>
      <c r="V81" s="56">
        <v>2</v>
      </c>
      <c r="W81" s="57"/>
      <c r="X81" s="56">
        <v>4</v>
      </c>
      <c r="Y81" s="57"/>
      <c r="AA81" s="44" t="s">
        <v>129</v>
      </c>
      <c r="AB81" s="53">
        <v>0.06</v>
      </c>
      <c r="AD81" s="46" t="s">
        <v>130</v>
      </c>
      <c r="AE81" s="53">
        <v>0</v>
      </c>
      <c r="AF81" s="51">
        <v>9</v>
      </c>
      <c r="AG81" s="51">
        <v>2</v>
      </c>
      <c r="AH81" s="53">
        <v>0.22</v>
      </c>
      <c r="AI81" s="53">
        <v>0.22</v>
      </c>
    </row>
    <row r="82" spans="1:48" ht="21.75" customHeight="1" x14ac:dyDescent="0.3">
      <c r="A82" s="59">
        <v>2</v>
      </c>
      <c r="B82" s="60">
        <v>0.22</v>
      </c>
      <c r="C82" s="61">
        <v>5</v>
      </c>
      <c r="D82" s="60">
        <v>0.71</v>
      </c>
      <c r="E82" s="61">
        <v>1</v>
      </c>
      <c r="F82" s="60">
        <v>0.5</v>
      </c>
      <c r="G82" s="59">
        <v>2</v>
      </c>
      <c r="H82" s="60">
        <v>0.67</v>
      </c>
      <c r="I82" s="59">
        <v>1</v>
      </c>
      <c r="J82" s="60">
        <v>0.33</v>
      </c>
      <c r="K82" s="59">
        <v>0</v>
      </c>
      <c r="L82" s="60">
        <v>0</v>
      </c>
      <c r="N82" s="59">
        <v>5</v>
      </c>
      <c r="O82" s="60">
        <v>0.38</v>
      </c>
      <c r="P82" s="61">
        <v>6</v>
      </c>
      <c r="Q82" s="60">
        <v>0.43</v>
      </c>
      <c r="R82" s="61">
        <v>0</v>
      </c>
      <c r="S82" s="60">
        <v>0</v>
      </c>
      <c r="T82" s="59">
        <v>4</v>
      </c>
      <c r="U82" s="60">
        <v>0.33</v>
      </c>
      <c r="V82" s="59">
        <v>2</v>
      </c>
      <c r="W82" s="60">
        <v>1</v>
      </c>
      <c r="X82" s="59">
        <v>1</v>
      </c>
      <c r="Y82" s="60">
        <v>0.25</v>
      </c>
      <c r="AA82" s="44" t="s">
        <v>131</v>
      </c>
      <c r="AB82" s="53">
        <v>0</v>
      </c>
      <c r="AD82" s="46" t="s">
        <v>132</v>
      </c>
      <c r="AE82" s="53">
        <v>0</v>
      </c>
      <c r="AF82" s="51">
        <v>3</v>
      </c>
      <c r="AG82" s="51">
        <v>1</v>
      </c>
      <c r="AH82" s="53">
        <v>0.33</v>
      </c>
      <c r="AI82" s="53">
        <v>0.33</v>
      </c>
    </row>
    <row r="83" spans="1:48" ht="21.75" customHeight="1" x14ac:dyDescent="0.3">
      <c r="A83" s="62"/>
      <c r="B83" s="63"/>
      <c r="C83" s="58">
        <v>1</v>
      </c>
      <c r="D83" s="57"/>
      <c r="E83" s="64">
        <v>2</v>
      </c>
      <c r="F83" s="57"/>
      <c r="G83" s="56"/>
      <c r="H83" s="57"/>
      <c r="I83" s="64">
        <v>0</v>
      </c>
      <c r="J83" s="65"/>
      <c r="K83" s="56">
        <v>0</v>
      </c>
      <c r="L83" s="57"/>
      <c r="N83" s="62"/>
      <c r="O83" s="63"/>
      <c r="P83" s="58">
        <v>1</v>
      </c>
      <c r="Q83" s="57"/>
      <c r="R83" s="64">
        <v>3</v>
      </c>
      <c r="S83" s="57"/>
      <c r="T83" s="56"/>
      <c r="U83" s="57"/>
      <c r="V83" s="64">
        <v>3</v>
      </c>
      <c r="W83" s="65"/>
      <c r="X83" s="56">
        <v>2</v>
      </c>
      <c r="Y83" s="57"/>
      <c r="AA83" s="44" t="s">
        <v>133</v>
      </c>
      <c r="AB83" s="53">
        <v>0</v>
      </c>
      <c r="AD83" s="46" t="s">
        <v>134</v>
      </c>
      <c r="AE83" s="53">
        <v>0.17</v>
      </c>
      <c r="AF83" s="51">
        <v>6</v>
      </c>
      <c r="AG83" s="51">
        <v>2</v>
      </c>
      <c r="AH83" s="53">
        <v>0.33</v>
      </c>
      <c r="AI83" s="53">
        <v>0.17</v>
      </c>
    </row>
    <row r="84" spans="1:48" ht="21.75" customHeight="1" x14ac:dyDescent="0.3">
      <c r="A84" s="66"/>
      <c r="B84" s="67"/>
      <c r="C84" s="61">
        <v>1</v>
      </c>
      <c r="D84" s="60">
        <v>1</v>
      </c>
      <c r="E84" s="68">
        <v>0</v>
      </c>
      <c r="F84" s="69">
        <v>0</v>
      </c>
      <c r="G84" s="59"/>
      <c r="H84" s="60"/>
      <c r="I84" s="68">
        <v>0</v>
      </c>
      <c r="J84" s="70">
        <v>0</v>
      </c>
      <c r="K84" s="59">
        <v>0</v>
      </c>
      <c r="L84" s="60">
        <v>0</v>
      </c>
      <c r="N84" s="66"/>
      <c r="O84" s="67"/>
      <c r="P84" s="61">
        <v>0</v>
      </c>
      <c r="Q84" s="60">
        <v>0</v>
      </c>
      <c r="R84" s="68">
        <v>2</v>
      </c>
      <c r="S84" s="69">
        <v>0.67</v>
      </c>
      <c r="T84" s="59"/>
      <c r="U84" s="60"/>
      <c r="V84" s="68">
        <v>1</v>
      </c>
      <c r="W84" s="70">
        <v>0.33</v>
      </c>
      <c r="X84" s="59">
        <v>2</v>
      </c>
      <c r="Y84" s="60">
        <v>1</v>
      </c>
      <c r="AA84" s="44" t="s">
        <v>135</v>
      </c>
      <c r="AB84" s="53">
        <v>0.25</v>
      </c>
      <c r="AD84" s="46" t="s">
        <v>136</v>
      </c>
      <c r="AE84" s="53">
        <v>0.67</v>
      </c>
      <c r="AF84" s="51">
        <v>6</v>
      </c>
      <c r="AG84" s="51">
        <v>4</v>
      </c>
      <c r="AH84" s="53">
        <v>0.67</v>
      </c>
      <c r="AI84" s="53">
        <v>0</v>
      </c>
    </row>
    <row r="85" spans="1:48" ht="21.75" customHeight="1" x14ac:dyDescent="0.3">
      <c r="A85" s="71"/>
      <c r="B85" s="72"/>
      <c r="AD85" s="46" t="s">
        <v>137</v>
      </c>
      <c r="AE85" s="53">
        <v>0.17</v>
      </c>
      <c r="AF85" s="51">
        <v>36</v>
      </c>
      <c r="AG85" s="51">
        <v>13</v>
      </c>
      <c r="AH85" s="53">
        <v>0.36</v>
      </c>
      <c r="AI85" s="53">
        <v>0.19</v>
      </c>
    </row>
    <row r="86" spans="1:48" ht="21.75" customHeight="1" x14ac:dyDescent="0.3">
      <c r="D86" s="73"/>
      <c r="AD86" s="46" t="s">
        <v>138</v>
      </c>
      <c r="AE86" s="53">
        <v>0.25</v>
      </c>
      <c r="AF86" s="51">
        <v>24</v>
      </c>
      <c r="AG86" s="51">
        <v>10</v>
      </c>
      <c r="AH86" s="53">
        <v>0.42</v>
      </c>
      <c r="AI86" s="53">
        <v>0.17</v>
      </c>
    </row>
    <row r="89" spans="1:48" ht="14.25" customHeight="1" x14ac:dyDescent="0.3">
      <c r="A89" s="74"/>
      <c r="B89" s="75" t="s">
        <v>142</v>
      </c>
      <c r="C89" s="75" t="s">
        <v>102</v>
      </c>
      <c r="D89" s="75" t="s">
        <v>143</v>
      </c>
      <c r="E89" s="75" t="s">
        <v>26</v>
      </c>
      <c r="F89" s="12" t="s">
        <v>103</v>
      </c>
      <c r="G89" s="74" t="s">
        <v>104</v>
      </c>
      <c r="H89" s="75" t="s">
        <v>105</v>
      </c>
      <c r="I89" s="74"/>
      <c r="J89" s="75" t="s">
        <v>142</v>
      </c>
      <c r="K89" s="75" t="s">
        <v>102</v>
      </c>
      <c r="L89" s="75" t="s">
        <v>143</v>
      </c>
      <c r="M89" s="75" t="s">
        <v>26</v>
      </c>
      <c r="N89" s="12" t="s">
        <v>103</v>
      </c>
      <c r="O89" s="74" t="s">
        <v>104</v>
      </c>
      <c r="P89" s="75" t="s">
        <v>105</v>
      </c>
      <c r="Q89" s="74"/>
      <c r="R89" s="75" t="s">
        <v>142</v>
      </c>
      <c r="S89" s="75" t="s">
        <v>102</v>
      </c>
      <c r="T89" s="75" t="s">
        <v>143</v>
      </c>
      <c r="U89" s="75" t="s">
        <v>26</v>
      </c>
      <c r="V89" s="75" t="s">
        <v>103</v>
      </c>
      <c r="W89" s="75" t="s">
        <v>104</v>
      </c>
      <c r="X89" s="12" t="s">
        <v>105</v>
      </c>
      <c r="Y89" s="74"/>
      <c r="Z89" s="75" t="s">
        <v>142</v>
      </c>
      <c r="AA89" s="75" t="s">
        <v>102</v>
      </c>
      <c r="AB89" s="75" t="s">
        <v>143</v>
      </c>
      <c r="AC89" s="75" t="s">
        <v>26</v>
      </c>
      <c r="AD89" s="12" t="s">
        <v>103</v>
      </c>
      <c r="AE89" s="74" t="s">
        <v>104</v>
      </c>
      <c r="AF89" s="75" t="s">
        <v>105</v>
      </c>
      <c r="AG89" s="74"/>
      <c r="AH89" s="75" t="s">
        <v>142</v>
      </c>
      <c r="AI89" s="75" t="s">
        <v>102</v>
      </c>
      <c r="AJ89" s="75" t="s">
        <v>143</v>
      </c>
      <c r="AK89" s="75" t="s">
        <v>26</v>
      </c>
      <c r="AL89" s="75" t="s">
        <v>103</v>
      </c>
      <c r="AM89" s="75" t="s">
        <v>104</v>
      </c>
      <c r="AN89" s="12" t="s">
        <v>105</v>
      </c>
      <c r="AO89" s="74"/>
      <c r="AP89" s="75" t="s">
        <v>142</v>
      </c>
      <c r="AQ89" s="75" t="s">
        <v>102</v>
      </c>
      <c r="AR89" s="75" t="s">
        <v>143</v>
      </c>
      <c r="AS89" s="75" t="s">
        <v>26</v>
      </c>
      <c r="AT89" s="75" t="s">
        <v>103</v>
      </c>
      <c r="AU89" s="75" t="s">
        <v>104</v>
      </c>
      <c r="AV89" s="12" t="s">
        <v>105</v>
      </c>
    </row>
    <row r="90" spans="1:48" ht="14.25" customHeight="1" x14ac:dyDescent="0.3">
      <c r="A90" s="76" t="s">
        <v>144</v>
      </c>
      <c r="B90" s="10" t="s">
        <v>145</v>
      </c>
      <c r="C90" s="77">
        <v>17</v>
      </c>
      <c r="D90" s="79">
        <v>0.40479999999999999</v>
      </c>
      <c r="E90" s="77">
        <v>5</v>
      </c>
      <c r="F90" s="78">
        <v>9</v>
      </c>
      <c r="G90" s="78">
        <v>0</v>
      </c>
      <c r="H90" s="77">
        <v>1</v>
      </c>
      <c r="I90" s="76" t="s">
        <v>146</v>
      </c>
      <c r="J90" s="10" t="s">
        <v>145</v>
      </c>
      <c r="K90" s="77">
        <v>0</v>
      </c>
      <c r="L90" s="10" t="s">
        <v>80</v>
      </c>
      <c r="M90" s="77">
        <v>0</v>
      </c>
      <c r="N90" s="78">
        <v>0</v>
      </c>
      <c r="O90" s="78">
        <v>0</v>
      </c>
      <c r="P90" s="77">
        <v>0</v>
      </c>
      <c r="Q90" s="76" t="s">
        <v>87</v>
      </c>
      <c r="R90" s="10" t="s">
        <v>145</v>
      </c>
      <c r="S90" s="77">
        <v>0</v>
      </c>
      <c r="T90" s="10" t="s">
        <v>80</v>
      </c>
      <c r="U90" s="77">
        <v>0</v>
      </c>
      <c r="V90" s="77">
        <v>0</v>
      </c>
      <c r="W90" s="77">
        <v>0</v>
      </c>
      <c r="X90" s="78">
        <v>0</v>
      </c>
      <c r="Y90" s="76" t="s">
        <v>85</v>
      </c>
      <c r="Z90" s="10" t="s">
        <v>145</v>
      </c>
      <c r="AA90" s="77">
        <v>0</v>
      </c>
      <c r="AB90" s="10" t="s">
        <v>80</v>
      </c>
      <c r="AC90" s="77">
        <v>0</v>
      </c>
      <c r="AD90" s="78">
        <v>0</v>
      </c>
      <c r="AE90" s="78">
        <v>0</v>
      </c>
      <c r="AF90" s="77">
        <v>0</v>
      </c>
      <c r="AG90" s="76" t="s">
        <v>86</v>
      </c>
      <c r="AH90" s="10" t="s">
        <v>145</v>
      </c>
      <c r="AI90" s="77">
        <v>4</v>
      </c>
      <c r="AJ90" s="79">
        <v>0.375</v>
      </c>
      <c r="AK90" s="77">
        <v>1</v>
      </c>
      <c r="AL90" s="77">
        <v>1</v>
      </c>
      <c r="AM90" s="77">
        <v>0</v>
      </c>
      <c r="AN90" s="78">
        <v>0</v>
      </c>
      <c r="AO90" s="76" t="s">
        <v>88</v>
      </c>
      <c r="AP90" s="10" t="s">
        <v>145</v>
      </c>
      <c r="AQ90" s="77">
        <v>0</v>
      </c>
      <c r="AR90" s="10" t="s">
        <v>80</v>
      </c>
      <c r="AS90" s="77">
        <v>0</v>
      </c>
      <c r="AT90" s="77">
        <v>0</v>
      </c>
      <c r="AU90" s="77">
        <v>0</v>
      </c>
      <c r="AV90" s="78">
        <v>0</v>
      </c>
    </row>
    <row r="91" spans="1:48" ht="14.25" customHeight="1" x14ac:dyDescent="0.3">
      <c r="A91" s="76" t="s">
        <v>144</v>
      </c>
      <c r="B91" s="10" t="s">
        <v>147</v>
      </c>
      <c r="C91" s="77">
        <v>13</v>
      </c>
      <c r="D91" s="79">
        <v>0.3846</v>
      </c>
      <c r="E91" s="77">
        <v>6</v>
      </c>
      <c r="F91" s="78">
        <v>2</v>
      </c>
      <c r="G91" s="80">
        <v>2</v>
      </c>
      <c r="H91" s="77">
        <v>1</v>
      </c>
      <c r="I91" s="76" t="s">
        <v>146</v>
      </c>
      <c r="J91" s="10" t="s">
        <v>147</v>
      </c>
      <c r="K91" s="77">
        <v>0</v>
      </c>
      <c r="L91" s="10" t="s">
        <v>80</v>
      </c>
      <c r="M91" s="77">
        <v>0</v>
      </c>
      <c r="N91" s="78">
        <v>0</v>
      </c>
      <c r="O91" s="80">
        <v>0</v>
      </c>
      <c r="P91" s="77">
        <v>0</v>
      </c>
      <c r="Q91" s="76" t="s">
        <v>87</v>
      </c>
      <c r="R91" s="10" t="s">
        <v>147</v>
      </c>
      <c r="S91" s="77">
        <v>0</v>
      </c>
      <c r="T91" s="10" t="s">
        <v>80</v>
      </c>
      <c r="U91" s="77">
        <v>0</v>
      </c>
      <c r="V91" s="77">
        <v>0</v>
      </c>
      <c r="W91" s="77">
        <v>0</v>
      </c>
      <c r="X91" s="78">
        <v>0</v>
      </c>
      <c r="Y91" s="76" t="s">
        <v>85</v>
      </c>
      <c r="Z91" s="10" t="s">
        <v>147</v>
      </c>
      <c r="AA91" s="77">
        <v>6</v>
      </c>
      <c r="AB91" s="79">
        <v>0.58330000000000004</v>
      </c>
      <c r="AC91" s="77">
        <v>3</v>
      </c>
      <c r="AD91" s="78">
        <v>2</v>
      </c>
      <c r="AE91" s="80">
        <v>1</v>
      </c>
      <c r="AF91" s="77">
        <v>0</v>
      </c>
      <c r="AG91" s="76" t="s">
        <v>86</v>
      </c>
      <c r="AH91" s="10" t="s">
        <v>147</v>
      </c>
      <c r="AI91" s="77">
        <v>11</v>
      </c>
      <c r="AJ91" s="79">
        <v>0.59089999999999998</v>
      </c>
      <c r="AK91" s="77">
        <v>6</v>
      </c>
      <c r="AL91" s="77">
        <v>3</v>
      </c>
      <c r="AM91" s="77">
        <v>0</v>
      </c>
      <c r="AN91" s="78">
        <v>1</v>
      </c>
      <c r="AO91" s="76" t="s">
        <v>88</v>
      </c>
      <c r="AP91" s="10" t="s">
        <v>147</v>
      </c>
      <c r="AQ91" s="77">
        <v>0</v>
      </c>
      <c r="AR91" s="10" t="s">
        <v>80</v>
      </c>
      <c r="AS91" s="77">
        <v>0</v>
      </c>
      <c r="AT91" s="77">
        <v>0</v>
      </c>
      <c r="AU91" s="77">
        <v>0</v>
      </c>
      <c r="AV91" s="78">
        <v>0</v>
      </c>
    </row>
    <row r="92" spans="1:48" ht="14.25" customHeight="1" x14ac:dyDescent="0.3">
      <c r="A92" s="76" t="s">
        <v>144</v>
      </c>
      <c r="B92" s="10" t="s">
        <v>148</v>
      </c>
      <c r="C92" s="77">
        <v>4</v>
      </c>
      <c r="D92" s="79">
        <v>0.25</v>
      </c>
      <c r="E92" s="77">
        <v>0</v>
      </c>
      <c r="F92" s="78">
        <v>2</v>
      </c>
      <c r="G92" s="80">
        <v>0</v>
      </c>
      <c r="H92" s="77">
        <v>0</v>
      </c>
      <c r="I92" s="76" t="s">
        <v>146</v>
      </c>
      <c r="J92" s="10" t="s">
        <v>148</v>
      </c>
      <c r="K92" s="77">
        <v>0</v>
      </c>
      <c r="L92" s="10" t="s">
        <v>80</v>
      </c>
      <c r="M92" s="77">
        <v>0</v>
      </c>
      <c r="N92" s="78">
        <v>0</v>
      </c>
      <c r="O92" s="80">
        <v>0</v>
      </c>
      <c r="P92" s="77">
        <v>0</v>
      </c>
      <c r="Q92" s="76" t="s">
        <v>87</v>
      </c>
      <c r="R92" s="10" t="s">
        <v>148</v>
      </c>
      <c r="S92" s="77">
        <v>0</v>
      </c>
      <c r="T92" s="10" t="s">
        <v>80</v>
      </c>
      <c r="U92" s="77">
        <v>0</v>
      </c>
      <c r="V92" s="77">
        <v>0</v>
      </c>
      <c r="W92" s="77">
        <v>0</v>
      </c>
      <c r="X92" s="78">
        <v>0</v>
      </c>
      <c r="Y92" s="76" t="s">
        <v>85</v>
      </c>
      <c r="Z92" s="10" t="s">
        <v>148</v>
      </c>
      <c r="AA92" s="77">
        <v>2</v>
      </c>
      <c r="AB92" s="79">
        <v>0.75</v>
      </c>
      <c r="AC92" s="77">
        <v>1</v>
      </c>
      <c r="AD92" s="78">
        <v>1</v>
      </c>
      <c r="AE92" s="80">
        <v>0</v>
      </c>
      <c r="AF92" s="77">
        <v>0</v>
      </c>
      <c r="AG92" s="76" t="s">
        <v>86</v>
      </c>
      <c r="AH92" s="10" t="s">
        <v>148</v>
      </c>
      <c r="AI92" s="77">
        <v>8</v>
      </c>
      <c r="AJ92" s="79">
        <v>0.5</v>
      </c>
      <c r="AK92" s="77">
        <v>2</v>
      </c>
      <c r="AL92" s="77">
        <v>5</v>
      </c>
      <c r="AM92" s="77">
        <v>1</v>
      </c>
      <c r="AN92" s="78">
        <v>0</v>
      </c>
      <c r="AO92" s="76" t="s">
        <v>88</v>
      </c>
      <c r="AP92" s="10" t="s">
        <v>148</v>
      </c>
      <c r="AQ92" s="77">
        <v>0</v>
      </c>
      <c r="AR92" s="10" t="s">
        <v>80</v>
      </c>
      <c r="AS92" s="77">
        <v>0</v>
      </c>
      <c r="AT92" s="77">
        <v>0</v>
      </c>
      <c r="AU92" s="77">
        <v>0</v>
      </c>
      <c r="AV92" s="78">
        <v>0</v>
      </c>
    </row>
    <row r="93" spans="1:48" ht="14.25" customHeight="1" x14ac:dyDescent="0.3">
      <c r="A93" s="76" t="s">
        <v>144</v>
      </c>
      <c r="B93" s="10" t="s">
        <v>149</v>
      </c>
      <c r="C93" s="77">
        <v>2</v>
      </c>
      <c r="D93" s="77">
        <v>0</v>
      </c>
      <c r="E93" s="77">
        <v>0</v>
      </c>
      <c r="F93" s="78">
        <v>0</v>
      </c>
      <c r="G93" s="80">
        <v>0</v>
      </c>
      <c r="H93" s="77">
        <v>0</v>
      </c>
      <c r="I93" s="76" t="s">
        <v>146</v>
      </c>
      <c r="J93" s="10" t="s">
        <v>149</v>
      </c>
      <c r="K93" s="77">
        <v>0</v>
      </c>
      <c r="L93" s="10" t="s">
        <v>80</v>
      </c>
      <c r="M93" s="77">
        <v>0</v>
      </c>
      <c r="N93" s="78">
        <v>0</v>
      </c>
      <c r="O93" s="80">
        <v>0</v>
      </c>
      <c r="P93" s="77">
        <v>0</v>
      </c>
      <c r="Q93" s="76" t="s">
        <v>87</v>
      </c>
      <c r="R93" s="10" t="s">
        <v>149</v>
      </c>
      <c r="S93" s="77">
        <v>0</v>
      </c>
      <c r="T93" s="10" t="s">
        <v>80</v>
      </c>
      <c r="U93" s="77">
        <v>0</v>
      </c>
      <c r="V93" s="77">
        <v>0</v>
      </c>
      <c r="W93" s="77">
        <v>0</v>
      </c>
      <c r="X93" s="78">
        <v>0</v>
      </c>
      <c r="Y93" s="76" t="s">
        <v>85</v>
      </c>
      <c r="Z93" s="10" t="s">
        <v>149</v>
      </c>
      <c r="AA93" s="77">
        <v>0</v>
      </c>
      <c r="AB93" s="10" t="s">
        <v>80</v>
      </c>
      <c r="AC93" s="77">
        <v>0</v>
      </c>
      <c r="AD93" s="78">
        <v>0</v>
      </c>
      <c r="AE93" s="80">
        <v>0</v>
      </c>
      <c r="AF93" s="77">
        <v>0</v>
      </c>
      <c r="AG93" s="76" t="s">
        <v>86</v>
      </c>
      <c r="AH93" s="10" t="s">
        <v>149</v>
      </c>
      <c r="AI93" s="77">
        <v>2</v>
      </c>
      <c r="AJ93" s="79">
        <v>0.5</v>
      </c>
      <c r="AK93" s="77">
        <v>0</v>
      </c>
      <c r="AL93" s="77">
        <v>2</v>
      </c>
      <c r="AM93" s="77">
        <v>0</v>
      </c>
      <c r="AN93" s="78">
        <v>0</v>
      </c>
      <c r="AO93" s="76" t="s">
        <v>88</v>
      </c>
      <c r="AP93" s="10" t="s">
        <v>149</v>
      </c>
      <c r="AQ93" s="77">
        <v>0</v>
      </c>
      <c r="AR93" s="10" t="s">
        <v>80</v>
      </c>
      <c r="AS93" s="77">
        <v>0</v>
      </c>
      <c r="AT93" s="77">
        <v>0</v>
      </c>
      <c r="AU93" s="77">
        <v>0</v>
      </c>
      <c r="AV93" s="78">
        <v>0</v>
      </c>
    </row>
    <row r="94" spans="1:48" ht="14.25" customHeight="1" x14ac:dyDescent="0.3">
      <c r="A94" s="76" t="s">
        <v>144</v>
      </c>
      <c r="B94" s="10" t="s">
        <v>150</v>
      </c>
      <c r="C94" s="77">
        <v>2</v>
      </c>
      <c r="D94" s="79">
        <v>-0.5</v>
      </c>
      <c r="E94" s="77">
        <v>0</v>
      </c>
      <c r="F94" s="78">
        <v>0</v>
      </c>
      <c r="G94" s="80">
        <v>0</v>
      </c>
      <c r="H94" s="77">
        <v>1</v>
      </c>
      <c r="I94" s="76" t="s">
        <v>146</v>
      </c>
      <c r="J94" s="10" t="s">
        <v>150</v>
      </c>
      <c r="K94" s="77">
        <v>0</v>
      </c>
      <c r="L94" s="10" t="s">
        <v>80</v>
      </c>
      <c r="M94" s="77">
        <v>0</v>
      </c>
      <c r="N94" s="78">
        <v>0</v>
      </c>
      <c r="O94" s="80">
        <v>0</v>
      </c>
      <c r="P94" s="77">
        <v>0</v>
      </c>
      <c r="Q94" s="76" t="s">
        <v>87</v>
      </c>
      <c r="R94" s="10" t="s">
        <v>150</v>
      </c>
      <c r="S94" s="77">
        <v>0</v>
      </c>
      <c r="T94" s="10" t="s">
        <v>80</v>
      </c>
      <c r="U94" s="77">
        <v>0</v>
      </c>
      <c r="V94" s="77">
        <v>0</v>
      </c>
      <c r="W94" s="77">
        <v>0</v>
      </c>
      <c r="X94" s="78">
        <v>0</v>
      </c>
      <c r="Y94" s="76" t="s">
        <v>85</v>
      </c>
      <c r="Z94" s="10" t="s">
        <v>150</v>
      </c>
      <c r="AA94" s="77">
        <v>2</v>
      </c>
      <c r="AB94" s="77">
        <v>0</v>
      </c>
      <c r="AC94" s="77">
        <v>1</v>
      </c>
      <c r="AD94" s="78">
        <v>0</v>
      </c>
      <c r="AE94" s="80">
        <v>0</v>
      </c>
      <c r="AF94" s="77">
        <v>1</v>
      </c>
      <c r="AG94" s="76" t="s">
        <v>86</v>
      </c>
      <c r="AH94" s="10" t="s">
        <v>150</v>
      </c>
      <c r="AI94" s="77">
        <v>1</v>
      </c>
      <c r="AJ94" s="77">
        <v>1</v>
      </c>
      <c r="AK94" s="77">
        <v>1</v>
      </c>
      <c r="AL94" s="77">
        <v>0</v>
      </c>
      <c r="AM94" s="77">
        <v>0</v>
      </c>
      <c r="AN94" s="78">
        <v>0</v>
      </c>
      <c r="AO94" s="76" t="s">
        <v>88</v>
      </c>
      <c r="AP94" s="10" t="s">
        <v>150</v>
      </c>
      <c r="AQ94" s="77">
        <v>0</v>
      </c>
      <c r="AR94" s="10" t="s">
        <v>80</v>
      </c>
      <c r="AS94" s="77">
        <v>0</v>
      </c>
      <c r="AT94" s="77">
        <v>0</v>
      </c>
      <c r="AU94" s="77">
        <v>0</v>
      </c>
      <c r="AV94" s="78">
        <v>0</v>
      </c>
    </row>
    <row r="95" spans="1:48" ht="14.25" customHeight="1" x14ac:dyDescent="0.3">
      <c r="A95" s="81" t="s">
        <v>144</v>
      </c>
      <c r="B95" s="82" t="s">
        <v>151</v>
      </c>
      <c r="C95" s="83">
        <v>0</v>
      </c>
      <c r="D95" s="10" t="s">
        <v>80</v>
      </c>
      <c r="E95" s="77">
        <v>0</v>
      </c>
      <c r="F95" s="78">
        <v>0</v>
      </c>
      <c r="G95" s="80">
        <v>0</v>
      </c>
      <c r="H95" s="77">
        <v>0</v>
      </c>
      <c r="I95" s="81" t="s">
        <v>146</v>
      </c>
      <c r="J95" s="82" t="s">
        <v>151</v>
      </c>
      <c r="K95" s="83">
        <v>0</v>
      </c>
      <c r="L95" s="10" t="s">
        <v>80</v>
      </c>
      <c r="M95" s="77">
        <v>0</v>
      </c>
      <c r="N95" s="78">
        <v>0</v>
      </c>
      <c r="O95" s="80">
        <v>0</v>
      </c>
      <c r="P95" s="77">
        <v>0</v>
      </c>
      <c r="Q95" s="76" t="s">
        <v>87</v>
      </c>
      <c r="R95" s="10" t="s">
        <v>151</v>
      </c>
      <c r="S95" s="77">
        <v>0</v>
      </c>
      <c r="T95" s="10" t="s">
        <v>80</v>
      </c>
      <c r="U95" s="77">
        <v>0</v>
      </c>
      <c r="V95" s="77">
        <v>0</v>
      </c>
      <c r="W95" s="77">
        <v>0</v>
      </c>
      <c r="X95" s="78">
        <v>0</v>
      </c>
      <c r="Y95" s="81" t="s">
        <v>85</v>
      </c>
      <c r="Z95" s="82" t="s">
        <v>151</v>
      </c>
      <c r="AA95" s="83">
        <v>2</v>
      </c>
      <c r="AB95" s="77">
        <v>0</v>
      </c>
      <c r="AC95" s="77">
        <v>1</v>
      </c>
      <c r="AD95" s="78">
        <v>0</v>
      </c>
      <c r="AE95" s="80">
        <v>0</v>
      </c>
      <c r="AF95" s="77">
        <v>1</v>
      </c>
      <c r="AG95" s="76" t="s">
        <v>86</v>
      </c>
      <c r="AH95" s="10" t="s">
        <v>151</v>
      </c>
      <c r="AI95" s="77">
        <v>2</v>
      </c>
      <c r="AJ95" s="79">
        <v>0.25</v>
      </c>
      <c r="AK95" s="77">
        <v>0</v>
      </c>
      <c r="AL95" s="77">
        <v>1</v>
      </c>
      <c r="AM95" s="77">
        <v>0</v>
      </c>
      <c r="AN95" s="78">
        <v>0</v>
      </c>
      <c r="AO95" s="76" t="s">
        <v>88</v>
      </c>
      <c r="AP95" s="10" t="s">
        <v>151</v>
      </c>
      <c r="AQ95" s="77">
        <v>0</v>
      </c>
      <c r="AR95" s="10" t="s">
        <v>80</v>
      </c>
      <c r="AS95" s="77">
        <v>0</v>
      </c>
      <c r="AT95" s="77">
        <v>0</v>
      </c>
      <c r="AU95" s="77">
        <v>0</v>
      </c>
      <c r="AV95" s="78">
        <v>0</v>
      </c>
    </row>
    <row r="96" spans="1:48" ht="14.25" customHeight="1" x14ac:dyDescent="0.3">
      <c r="A96" s="84" t="s">
        <v>144</v>
      </c>
      <c r="B96" s="85" t="s">
        <v>152</v>
      </c>
      <c r="C96" s="86">
        <v>34</v>
      </c>
      <c r="D96" s="88">
        <v>0.42649999999999999</v>
      </c>
      <c r="E96" s="86">
        <v>11</v>
      </c>
      <c r="F96" s="86">
        <v>13</v>
      </c>
      <c r="G96" s="87">
        <v>2</v>
      </c>
      <c r="H96" s="86">
        <v>2</v>
      </c>
      <c r="I96" s="84" t="s">
        <v>146</v>
      </c>
      <c r="J96" s="85" t="s">
        <v>153</v>
      </c>
      <c r="K96" s="86">
        <v>0</v>
      </c>
      <c r="L96" s="85" t="s">
        <v>80</v>
      </c>
      <c r="M96" s="86">
        <v>0</v>
      </c>
      <c r="N96" s="86">
        <v>0</v>
      </c>
      <c r="O96" s="87">
        <v>0</v>
      </c>
      <c r="P96" s="86">
        <v>0</v>
      </c>
      <c r="Q96" s="84" t="s">
        <v>87</v>
      </c>
      <c r="R96" s="85" t="s">
        <v>153</v>
      </c>
      <c r="S96" s="86">
        <v>0</v>
      </c>
      <c r="T96" s="85" t="s">
        <v>80</v>
      </c>
      <c r="U96" s="86">
        <v>0</v>
      </c>
      <c r="V96" s="86">
        <v>0</v>
      </c>
      <c r="W96" s="86">
        <v>0</v>
      </c>
      <c r="X96" s="89">
        <v>0</v>
      </c>
      <c r="Y96" s="84" t="s">
        <v>85</v>
      </c>
      <c r="Z96" s="85" t="s">
        <v>153</v>
      </c>
      <c r="AA96" s="86">
        <v>8</v>
      </c>
      <c r="AB96" s="88">
        <v>0.625</v>
      </c>
      <c r="AC96" s="86">
        <v>4</v>
      </c>
      <c r="AD96" s="86">
        <v>3</v>
      </c>
      <c r="AE96" s="87">
        <v>1</v>
      </c>
      <c r="AF96" s="86">
        <v>0</v>
      </c>
      <c r="AG96" s="84" t="s">
        <v>86</v>
      </c>
      <c r="AH96" s="85" t="s">
        <v>153</v>
      </c>
      <c r="AI96" s="86">
        <v>23</v>
      </c>
      <c r="AJ96" s="88">
        <v>0.52170000000000005</v>
      </c>
      <c r="AK96" s="86">
        <v>9</v>
      </c>
      <c r="AL96" s="86">
        <v>9</v>
      </c>
      <c r="AM96" s="86">
        <v>1</v>
      </c>
      <c r="AN96" s="89">
        <v>1</v>
      </c>
      <c r="AO96" s="84" t="s">
        <v>88</v>
      </c>
      <c r="AP96" s="85" t="s">
        <v>153</v>
      </c>
      <c r="AQ96" s="86">
        <v>0</v>
      </c>
      <c r="AR96" s="85" t="s">
        <v>80</v>
      </c>
      <c r="AS96" s="86">
        <v>0</v>
      </c>
      <c r="AT96" s="86">
        <v>0</v>
      </c>
      <c r="AU96" s="86">
        <v>0</v>
      </c>
      <c r="AV96" s="89">
        <v>0</v>
      </c>
    </row>
    <row r="97" spans="1:48" ht="14.25" customHeight="1" x14ac:dyDescent="0.3">
      <c r="A97" s="90" t="s">
        <v>144</v>
      </c>
      <c r="B97" s="91" t="s">
        <v>154</v>
      </c>
      <c r="C97" s="92">
        <v>4</v>
      </c>
      <c r="D97" s="96">
        <v>-0.25</v>
      </c>
      <c r="E97" s="94">
        <v>0</v>
      </c>
      <c r="F97" s="94">
        <v>0</v>
      </c>
      <c r="G97" s="95">
        <v>0</v>
      </c>
      <c r="H97" s="94">
        <v>1</v>
      </c>
      <c r="I97" s="90" t="s">
        <v>146</v>
      </c>
      <c r="J97" s="91" t="s">
        <v>155</v>
      </c>
      <c r="K97" s="92">
        <v>0</v>
      </c>
      <c r="L97" s="93" t="s">
        <v>80</v>
      </c>
      <c r="M97" s="94">
        <v>0</v>
      </c>
      <c r="N97" s="94">
        <v>0</v>
      </c>
      <c r="O97" s="95">
        <v>0</v>
      </c>
      <c r="P97" s="94">
        <v>0</v>
      </c>
      <c r="Q97" s="90" t="s">
        <v>87</v>
      </c>
      <c r="R97" s="97" t="s">
        <v>155</v>
      </c>
      <c r="S97" s="98">
        <v>0</v>
      </c>
      <c r="T97" s="93" t="s">
        <v>80</v>
      </c>
      <c r="U97" s="99">
        <v>0</v>
      </c>
      <c r="V97" s="99">
        <v>0</v>
      </c>
      <c r="W97" s="99">
        <v>0</v>
      </c>
      <c r="X97" s="100">
        <v>0</v>
      </c>
      <c r="Y97" s="90" t="s">
        <v>85</v>
      </c>
      <c r="Z97" s="91" t="s">
        <v>155</v>
      </c>
      <c r="AA97" s="92">
        <v>4</v>
      </c>
      <c r="AB97" s="94">
        <v>0</v>
      </c>
      <c r="AC97" s="94">
        <v>2</v>
      </c>
      <c r="AD97" s="94">
        <v>0</v>
      </c>
      <c r="AE97" s="95">
        <v>0</v>
      </c>
      <c r="AF97" s="94">
        <v>2</v>
      </c>
      <c r="AG97" s="90" t="s">
        <v>86</v>
      </c>
      <c r="AH97" s="97" t="s">
        <v>155</v>
      </c>
      <c r="AI97" s="98">
        <v>5</v>
      </c>
      <c r="AJ97" s="96">
        <v>0.5</v>
      </c>
      <c r="AK97" s="99">
        <v>1</v>
      </c>
      <c r="AL97" s="99">
        <v>3</v>
      </c>
      <c r="AM97" s="99">
        <v>0</v>
      </c>
      <c r="AN97" s="100">
        <v>0</v>
      </c>
      <c r="AO97" s="90" t="s">
        <v>88</v>
      </c>
      <c r="AP97" s="97" t="s">
        <v>155</v>
      </c>
      <c r="AQ97" s="98">
        <v>0</v>
      </c>
      <c r="AR97" s="93" t="s">
        <v>80</v>
      </c>
      <c r="AS97" s="99">
        <v>0</v>
      </c>
      <c r="AT97" s="99">
        <v>0</v>
      </c>
      <c r="AU97" s="99">
        <v>0</v>
      </c>
      <c r="AV97" s="100">
        <v>0</v>
      </c>
    </row>
    <row r="98" spans="1:48" ht="14.2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1"/>
      <c r="AJ98" s="10"/>
      <c r="AK98" s="10"/>
      <c r="AL98" s="10"/>
      <c r="AM98" s="26"/>
      <c r="AN98" s="32"/>
      <c r="AO98" s="10"/>
      <c r="AP98" s="10"/>
      <c r="AQ98" s="101"/>
      <c r="AR98" s="10"/>
      <c r="AS98" s="10"/>
      <c r="AT98" s="10"/>
      <c r="AU98" s="26"/>
      <c r="AV98" s="32"/>
    </row>
    <row r="99" spans="1:48" ht="14.25" customHeight="1" x14ac:dyDescent="0.3">
      <c r="A99" s="102"/>
      <c r="B99" s="103" t="s">
        <v>156</v>
      </c>
      <c r="C99" s="104" t="s">
        <v>102</v>
      </c>
      <c r="D99" s="104" t="s">
        <v>143</v>
      </c>
      <c r="E99" s="104" t="s">
        <v>26</v>
      </c>
      <c r="F99" s="104" t="s">
        <v>103</v>
      </c>
      <c r="G99" s="104" t="s">
        <v>104</v>
      </c>
      <c r="H99" s="104" t="s">
        <v>105</v>
      </c>
      <c r="I99" s="102"/>
      <c r="J99" s="103" t="s">
        <v>156</v>
      </c>
      <c r="K99" s="104" t="s">
        <v>102</v>
      </c>
      <c r="L99" s="104" t="s">
        <v>143</v>
      </c>
      <c r="M99" s="104" t="s">
        <v>26</v>
      </c>
      <c r="N99" s="104" t="s">
        <v>103</v>
      </c>
      <c r="O99" s="104" t="s">
        <v>104</v>
      </c>
      <c r="P99" s="104" t="s">
        <v>105</v>
      </c>
      <c r="Q99" s="10"/>
      <c r="R99" s="103" t="s">
        <v>156</v>
      </c>
      <c r="S99" s="104" t="s">
        <v>102</v>
      </c>
      <c r="T99" s="104" t="s">
        <v>143</v>
      </c>
      <c r="U99" s="104" t="s">
        <v>26</v>
      </c>
      <c r="V99" s="104" t="s">
        <v>103</v>
      </c>
      <c r="W99" s="104" t="s">
        <v>104</v>
      </c>
      <c r="X99" s="105" t="s">
        <v>105</v>
      </c>
      <c r="Y99" s="10"/>
      <c r="Z99" s="103" t="s">
        <v>156</v>
      </c>
      <c r="AA99" s="104" t="s">
        <v>102</v>
      </c>
      <c r="AB99" s="104" t="s">
        <v>143</v>
      </c>
      <c r="AC99" s="104" t="s">
        <v>26</v>
      </c>
      <c r="AD99" s="104" t="s">
        <v>103</v>
      </c>
      <c r="AE99" s="104" t="s">
        <v>104</v>
      </c>
      <c r="AF99" s="104" t="s">
        <v>105</v>
      </c>
      <c r="AG99" s="10"/>
      <c r="AH99" s="103" t="s">
        <v>156</v>
      </c>
      <c r="AI99" s="104" t="s">
        <v>102</v>
      </c>
      <c r="AJ99" s="104" t="s">
        <v>143</v>
      </c>
      <c r="AK99" s="104" t="s">
        <v>26</v>
      </c>
      <c r="AL99" s="104" t="s">
        <v>103</v>
      </c>
      <c r="AM99" s="104" t="s">
        <v>104</v>
      </c>
      <c r="AN99" s="105" t="s">
        <v>105</v>
      </c>
      <c r="AO99" s="10"/>
      <c r="AP99" s="103" t="s">
        <v>156</v>
      </c>
      <c r="AQ99" s="104" t="s">
        <v>102</v>
      </c>
      <c r="AR99" s="104" t="s">
        <v>143</v>
      </c>
      <c r="AS99" s="104" t="s">
        <v>26</v>
      </c>
      <c r="AT99" s="104" t="s">
        <v>103</v>
      </c>
      <c r="AU99" s="104" t="s">
        <v>104</v>
      </c>
      <c r="AV99" s="105" t="s">
        <v>105</v>
      </c>
    </row>
    <row r="100" spans="1:48" ht="14.25" customHeight="1" x14ac:dyDescent="0.3">
      <c r="A100" s="76" t="s">
        <v>144</v>
      </c>
      <c r="B100" s="106" t="s">
        <v>157</v>
      </c>
      <c r="C100" s="107">
        <v>15</v>
      </c>
      <c r="D100" s="111">
        <v>0.43330000000000002</v>
      </c>
      <c r="E100" s="107">
        <v>3</v>
      </c>
      <c r="F100" s="107">
        <v>8</v>
      </c>
      <c r="G100" s="107">
        <v>1</v>
      </c>
      <c r="H100" s="109">
        <v>0</v>
      </c>
      <c r="I100" s="76" t="s">
        <v>146</v>
      </c>
      <c r="J100" s="110" t="s">
        <v>157</v>
      </c>
      <c r="K100" s="92">
        <v>0</v>
      </c>
      <c r="L100" s="108" t="s">
        <v>80</v>
      </c>
      <c r="M100" s="92">
        <v>0</v>
      </c>
      <c r="N100" s="92">
        <v>0</v>
      </c>
      <c r="O100" s="92">
        <v>0</v>
      </c>
      <c r="P100" s="92">
        <v>0</v>
      </c>
      <c r="Q100" s="76" t="s">
        <v>87</v>
      </c>
      <c r="R100" s="110" t="s">
        <v>157</v>
      </c>
      <c r="S100" s="92">
        <v>0</v>
      </c>
      <c r="T100" s="108" t="s">
        <v>80</v>
      </c>
      <c r="U100" s="92">
        <v>0</v>
      </c>
      <c r="V100" s="92">
        <v>0</v>
      </c>
      <c r="W100" s="92">
        <v>0</v>
      </c>
      <c r="X100" s="112">
        <v>0</v>
      </c>
      <c r="Y100" s="76" t="s">
        <v>85</v>
      </c>
      <c r="Z100" s="110" t="s">
        <v>157</v>
      </c>
      <c r="AA100" s="92">
        <v>3</v>
      </c>
      <c r="AB100" s="111">
        <v>0.83330000000000004</v>
      </c>
      <c r="AC100" s="92">
        <v>2</v>
      </c>
      <c r="AD100" s="92">
        <v>1</v>
      </c>
      <c r="AE100" s="92">
        <v>0</v>
      </c>
      <c r="AF100" s="92">
        <v>0</v>
      </c>
      <c r="AG100" s="76" t="s">
        <v>86</v>
      </c>
      <c r="AH100" s="110" t="s">
        <v>157</v>
      </c>
      <c r="AI100" s="92">
        <v>9</v>
      </c>
      <c r="AJ100" s="111">
        <v>0.44440000000000002</v>
      </c>
      <c r="AK100" s="92">
        <v>4</v>
      </c>
      <c r="AL100" s="92">
        <v>3</v>
      </c>
      <c r="AM100" s="92">
        <v>1</v>
      </c>
      <c r="AN100" s="112">
        <v>1</v>
      </c>
      <c r="AO100" s="76" t="s">
        <v>88</v>
      </c>
      <c r="AP100" s="110" t="s">
        <v>157</v>
      </c>
      <c r="AQ100" s="92">
        <v>0</v>
      </c>
      <c r="AR100" s="108" t="s">
        <v>80</v>
      </c>
      <c r="AS100" s="92">
        <v>0</v>
      </c>
      <c r="AT100" s="92">
        <v>0</v>
      </c>
      <c r="AU100" s="92">
        <v>0</v>
      </c>
      <c r="AV100" s="112">
        <v>0</v>
      </c>
    </row>
    <row r="101" spans="1:48" ht="14.25" customHeight="1" x14ac:dyDescent="0.3">
      <c r="A101" s="76" t="s">
        <v>144</v>
      </c>
      <c r="B101" s="76" t="s">
        <v>158</v>
      </c>
      <c r="C101" s="77">
        <v>11</v>
      </c>
      <c r="D101" s="79">
        <v>0.2727</v>
      </c>
      <c r="E101" s="77">
        <v>3</v>
      </c>
      <c r="F101" s="77">
        <v>0</v>
      </c>
      <c r="G101" s="77">
        <v>0</v>
      </c>
      <c r="H101" s="78">
        <v>0</v>
      </c>
      <c r="I101" s="76" t="s">
        <v>146</v>
      </c>
      <c r="J101" s="76" t="s">
        <v>158</v>
      </c>
      <c r="K101" s="77">
        <v>0</v>
      </c>
      <c r="L101" s="10" t="s">
        <v>80</v>
      </c>
      <c r="M101" s="77">
        <v>0</v>
      </c>
      <c r="N101" s="77">
        <v>0</v>
      </c>
      <c r="O101" s="77">
        <v>0</v>
      </c>
      <c r="P101" s="77">
        <v>0</v>
      </c>
      <c r="Q101" s="76" t="s">
        <v>87</v>
      </c>
      <c r="R101" s="76" t="s">
        <v>158</v>
      </c>
      <c r="S101" s="77">
        <v>0</v>
      </c>
      <c r="T101" s="10" t="s">
        <v>80</v>
      </c>
      <c r="U101" s="77">
        <v>0</v>
      </c>
      <c r="V101" s="77">
        <v>0</v>
      </c>
      <c r="W101" s="77">
        <v>0</v>
      </c>
      <c r="X101" s="78">
        <v>0</v>
      </c>
      <c r="Y101" s="76" t="s">
        <v>85</v>
      </c>
      <c r="Z101" s="76" t="s">
        <v>158</v>
      </c>
      <c r="AA101" s="77">
        <v>0</v>
      </c>
      <c r="AB101" s="10" t="s">
        <v>80</v>
      </c>
      <c r="AC101" s="77">
        <v>0</v>
      </c>
      <c r="AD101" s="77">
        <v>0</v>
      </c>
      <c r="AE101" s="77">
        <v>0</v>
      </c>
      <c r="AF101" s="77">
        <v>0</v>
      </c>
      <c r="AG101" s="76" t="s">
        <v>86</v>
      </c>
      <c r="AH101" s="76" t="s">
        <v>158</v>
      </c>
      <c r="AI101" s="77">
        <v>1</v>
      </c>
      <c r="AJ101" s="77">
        <v>0</v>
      </c>
      <c r="AK101" s="77">
        <v>0</v>
      </c>
      <c r="AL101" s="77">
        <v>0</v>
      </c>
      <c r="AM101" s="77">
        <v>0</v>
      </c>
      <c r="AN101" s="78">
        <v>0</v>
      </c>
      <c r="AO101" s="76" t="s">
        <v>88</v>
      </c>
      <c r="AP101" s="76" t="s">
        <v>158</v>
      </c>
      <c r="AQ101" s="77">
        <v>0</v>
      </c>
      <c r="AR101" s="10" t="s">
        <v>80</v>
      </c>
      <c r="AS101" s="77">
        <v>0</v>
      </c>
      <c r="AT101" s="77">
        <v>0</v>
      </c>
      <c r="AU101" s="77">
        <v>0</v>
      </c>
      <c r="AV101" s="78">
        <v>0</v>
      </c>
    </row>
    <row r="102" spans="1:48" ht="14.25" customHeight="1" x14ac:dyDescent="0.3">
      <c r="A102" s="76" t="s">
        <v>144</v>
      </c>
      <c r="B102" s="76" t="s">
        <v>159</v>
      </c>
      <c r="C102" s="77">
        <v>4</v>
      </c>
      <c r="D102" s="77">
        <v>0</v>
      </c>
      <c r="E102" s="77">
        <v>0</v>
      </c>
      <c r="F102" s="77">
        <v>2</v>
      </c>
      <c r="G102" s="77">
        <v>1</v>
      </c>
      <c r="H102" s="78">
        <v>0</v>
      </c>
      <c r="I102" s="76" t="s">
        <v>146</v>
      </c>
      <c r="J102" s="76" t="s">
        <v>159</v>
      </c>
      <c r="K102" s="77">
        <v>0</v>
      </c>
      <c r="L102" s="10" t="s">
        <v>80</v>
      </c>
      <c r="M102" s="77">
        <v>0</v>
      </c>
      <c r="N102" s="77">
        <v>0</v>
      </c>
      <c r="O102" s="77">
        <v>0</v>
      </c>
      <c r="P102" s="77">
        <v>0</v>
      </c>
      <c r="Q102" s="76" t="s">
        <v>87</v>
      </c>
      <c r="R102" s="76" t="s">
        <v>159</v>
      </c>
      <c r="S102" s="77">
        <v>0</v>
      </c>
      <c r="T102" s="10" t="s">
        <v>80</v>
      </c>
      <c r="U102" s="77">
        <v>0</v>
      </c>
      <c r="V102" s="77">
        <v>0</v>
      </c>
      <c r="W102" s="77">
        <v>0</v>
      </c>
      <c r="X102" s="78">
        <v>0</v>
      </c>
      <c r="Y102" s="76" t="s">
        <v>85</v>
      </c>
      <c r="Z102" s="76" t="s">
        <v>159</v>
      </c>
      <c r="AA102" s="77">
        <v>2</v>
      </c>
      <c r="AB102" s="79">
        <v>0.5</v>
      </c>
      <c r="AC102" s="77">
        <v>1</v>
      </c>
      <c r="AD102" s="77">
        <v>1</v>
      </c>
      <c r="AE102" s="77">
        <v>0</v>
      </c>
      <c r="AF102" s="77">
        <v>0</v>
      </c>
      <c r="AG102" s="76" t="s">
        <v>86</v>
      </c>
      <c r="AH102" s="76" t="s">
        <v>159</v>
      </c>
      <c r="AI102" s="77">
        <v>6</v>
      </c>
      <c r="AJ102" s="79">
        <v>0.5</v>
      </c>
      <c r="AK102" s="77">
        <v>4</v>
      </c>
      <c r="AL102" s="77">
        <v>1</v>
      </c>
      <c r="AM102" s="77">
        <v>0</v>
      </c>
      <c r="AN102" s="78">
        <v>1</v>
      </c>
      <c r="AO102" s="76" t="s">
        <v>88</v>
      </c>
      <c r="AP102" s="76" t="s">
        <v>159</v>
      </c>
      <c r="AQ102" s="77">
        <v>0</v>
      </c>
      <c r="AR102" s="10" t="s">
        <v>80</v>
      </c>
      <c r="AS102" s="77">
        <v>0</v>
      </c>
      <c r="AT102" s="77">
        <v>0</v>
      </c>
      <c r="AU102" s="77">
        <v>0</v>
      </c>
      <c r="AV102" s="78">
        <v>0</v>
      </c>
    </row>
    <row r="103" spans="1:48" ht="14.25" customHeight="1" x14ac:dyDescent="0.3">
      <c r="A103" s="76" t="s">
        <v>144</v>
      </c>
      <c r="B103" s="76" t="s">
        <v>160</v>
      </c>
      <c r="C103" s="77">
        <v>0</v>
      </c>
      <c r="D103" s="10" t="s">
        <v>80</v>
      </c>
      <c r="E103" s="77">
        <v>0</v>
      </c>
      <c r="F103" s="77">
        <v>0</v>
      </c>
      <c r="G103" s="77">
        <v>0</v>
      </c>
      <c r="H103" s="78">
        <v>0</v>
      </c>
      <c r="I103" s="76" t="s">
        <v>146</v>
      </c>
      <c r="J103" s="76" t="s">
        <v>160</v>
      </c>
      <c r="K103" s="77">
        <v>0</v>
      </c>
      <c r="L103" s="10" t="s">
        <v>80</v>
      </c>
      <c r="M103" s="77">
        <v>0</v>
      </c>
      <c r="N103" s="77">
        <v>0</v>
      </c>
      <c r="O103" s="77">
        <v>0</v>
      </c>
      <c r="P103" s="77">
        <v>0</v>
      </c>
      <c r="Q103" s="76" t="s">
        <v>87</v>
      </c>
      <c r="R103" s="76" t="s">
        <v>160</v>
      </c>
      <c r="S103" s="77">
        <v>0</v>
      </c>
      <c r="T103" s="10" t="s">
        <v>80</v>
      </c>
      <c r="U103" s="77">
        <v>0</v>
      </c>
      <c r="V103" s="77">
        <v>0</v>
      </c>
      <c r="W103" s="77">
        <v>0</v>
      </c>
      <c r="X103" s="78">
        <v>0</v>
      </c>
      <c r="Y103" s="76" t="s">
        <v>85</v>
      </c>
      <c r="Z103" s="76" t="s">
        <v>160</v>
      </c>
      <c r="AA103" s="77">
        <v>1</v>
      </c>
      <c r="AB103" s="77">
        <v>1</v>
      </c>
      <c r="AC103" s="77">
        <v>1</v>
      </c>
      <c r="AD103" s="77">
        <v>0</v>
      </c>
      <c r="AE103" s="77">
        <v>0</v>
      </c>
      <c r="AF103" s="77">
        <v>0</v>
      </c>
      <c r="AG103" s="76" t="s">
        <v>86</v>
      </c>
      <c r="AH103" s="76" t="s">
        <v>160</v>
      </c>
      <c r="AI103" s="77">
        <v>2</v>
      </c>
      <c r="AJ103" s="77">
        <v>0</v>
      </c>
      <c r="AK103" s="77">
        <v>0</v>
      </c>
      <c r="AL103" s="77">
        <v>1</v>
      </c>
      <c r="AM103" s="77">
        <v>1</v>
      </c>
      <c r="AN103" s="78">
        <v>0</v>
      </c>
      <c r="AO103" s="76" t="s">
        <v>88</v>
      </c>
      <c r="AP103" s="76" t="s">
        <v>160</v>
      </c>
      <c r="AQ103" s="77">
        <v>0</v>
      </c>
      <c r="AR103" s="10" t="s">
        <v>80</v>
      </c>
      <c r="AS103" s="77">
        <v>0</v>
      </c>
      <c r="AT103" s="77">
        <v>0</v>
      </c>
      <c r="AU103" s="77">
        <v>0</v>
      </c>
      <c r="AV103" s="78">
        <v>0</v>
      </c>
    </row>
    <row r="104" spans="1:48" ht="14.25" customHeight="1" x14ac:dyDescent="0.3">
      <c r="A104" s="76" t="s">
        <v>144</v>
      </c>
      <c r="B104" s="110" t="s">
        <v>161</v>
      </c>
      <c r="C104" s="92">
        <v>10</v>
      </c>
      <c r="D104" s="113">
        <v>0.65</v>
      </c>
      <c r="E104" s="92">
        <v>5</v>
      </c>
      <c r="F104" s="92">
        <v>3</v>
      </c>
      <c r="G104" s="92">
        <v>0</v>
      </c>
      <c r="H104" s="112">
        <v>1</v>
      </c>
      <c r="I104" s="76" t="s">
        <v>146</v>
      </c>
      <c r="J104" s="110" t="s">
        <v>161</v>
      </c>
      <c r="K104" s="92">
        <v>0</v>
      </c>
      <c r="L104" s="91" t="s">
        <v>80</v>
      </c>
      <c r="M104" s="92">
        <v>0</v>
      </c>
      <c r="N104" s="92">
        <v>0</v>
      </c>
      <c r="O104" s="92">
        <v>0</v>
      </c>
      <c r="P104" s="92">
        <v>0</v>
      </c>
      <c r="Q104" s="76" t="s">
        <v>87</v>
      </c>
      <c r="R104" s="110" t="s">
        <v>161</v>
      </c>
      <c r="S104" s="92">
        <v>0</v>
      </c>
      <c r="T104" s="91" t="s">
        <v>80</v>
      </c>
      <c r="U104" s="92">
        <v>0</v>
      </c>
      <c r="V104" s="92">
        <v>0</v>
      </c>
      <c r="W104" s="92">
        <v>0</v>
      </c>
      <c r="X104" s="112">
        <v>0</v>
      </c>
      <c r="Y104" s="76" t="s">
        <v>85</v>
      </c>
      <c r="Z104" s="110" t="s">
        <v>161</v>
      </c>
      <c r="AA104" s="92">
        <v>1</v>
      </c>
      <c r="AB104" s="92">
        <v>0</v>
      </c>
      <c r="AC104" s="92">
        <v>0</v>
      </c>
      <c r="AD104" s="92">
        <v>1</v>
      </c>
      <c r="AE104" s="92">
        <v>0</v>
      </c>
      <c r="AF104" s="92">
        <v>0</v>
      </c>
      <c r="AG104" s="76" t="s">
        <v>86</v>
      </c>
      <c r="AH104" s="110" t="s">
        <v>161</v>
      </c>
      <c r="AI104" s="92">
        <v>9</v>
      </c>
      <c r="AJ104" s="113">
        <v>0.5</v>
      </c>
      <c r="AK104" s="92">
        <v>3</v>
      </c>
      <c r="AL104" s="92">
        <v>3</v>
      </c>
      <c r="AM104" s="92">
        <v>0</v>
      </c>
      <c r="AN104" s="112">
        <v>0</v>
      </c>
      <c r="AO104" s="76" t="s">
        <v>88</v>
      </c>
      <c r="AP104" s="110" t="s">
        <v>161</v>
      </c>
      <c r="AQ104" s="92">
        <v>0</v>
      </c>
      <c r="AR104" s="91" t="s">
        <v>80</v>
      </c>
      <c r="AS104" s="92">
        <v>0</v>
      </c>
      <c r="AT104" s="92">
        <v>0</v>
      </c>
      <c r="AU104" s="92">
        <v>0</v>
      </c>
      <c r="AV104" s="112">
        <v>0</v>
      </c>
    </row>
    <row r="105" spans="1:48" ht="14.25" customHeight="1" x14ac:dyDescent="0.3">
      <c r="A105" s="76" t="s">
        <v>144</v>
      </c>
      <c r="B105" s="76" t="s">
        <v>162</v>
      </c>
      <c r="C105" s="77">
        <v>4</v>
      </c>
      <c r="D105" s="79">
        <v>0.75</v>
      </c>
      <c r="E105" s="77">
        <v>2</v>
      </c>
      <c r="F105" s="77">
        <v>2</v>
      </c>
      <c r="G105" s="77">
        <v>0</v>
      </c>
      <c r="H105" s="78">
        <v>0</v>
      </c>
      <c r="I105" s="76" t="s">
        <v>146</v>
      </c>
      <c r="J105" s="76" t="s">
        <v>162</v>
      </c>
      <c r="K105" s="77">
        <v>0</v>
      </c>
      <c r="L105" s="10" t="s">
        <v>80</v>
      </c>
      <c r="M105" s="77">
        <v>0</v>
      </c>
      <c r="N105" s="77">
        <v>0</v>
      </c>
      <c r="O105" s="77">
        <v>0</v>
      </c>
      <c r="P105" s="77">
        <v>0</v>
      </c>
      <c r="Q105" s="76" t="s">
        <v>87</v>
      </c>
      <c r="R105" s="76" t="s">
        <v>162</v>
      </c>
      <c r="S105" s="77">
        <v>0</v>
      </c>
      <c r="T105" s="10" t="s">
        <v>80</v>
      </c>
      <c r="U105" s="77">
        <v>0</v>
      </c>
      <c r="V105" s="77">
        <v>0</v>
      </c>
      <c r="W105" s="77">
        <v>0</v>
      </c>
      <c r="X105" s="78">
        <v>0</v>
      </c>
      <c r="Y105" s="76" t="s">
        <v>85</v>
      </c>
      <c r="Z105" s="76" t="s">
        <v>162</v>
      </c>
      <c r="AA105" s="77">
        <v>0</v>
      </c>
      <c r="AB105" s="10" t="s">
        <v>80</v>
      </c>
      <c r="AC105" s="77">
        <v>0</v>
      </c>
      <c r="AD105" s="77">
        <v>0</v>
      </c>
      <c r="AE105" s="77">
        <v>0</v>
      </c>
      <c r="AF105" s="77">
        <v>0</v>
      </c>
      <c r="AG105" s="76" t="s">
        <v>86</v>
      </c>
      <c r="AH105" s="76" t="s">
        <v>162</v>
      </c>
      <c r="AI105" s="77">
        <v>3</v>
      </c>
      <c r="AJ105" s="79">
        <v>0.33329999999999999</v>
      </c>
      <c r="AK105" s="77">
        <v>1</v>
      </c>
      <c r="AL105" s="77">
        <v>0</v>
      </c>
      <c r="AM105" s="77">
        <v>0</v>
      </c>
      <c r="AN105" s="78">
        <v>0</v>
      </c>
      <c r="AO105" s="76" t="s">
        <v>88</v>
      </c>
      <c r="AP105" s="76" t="s">
        <v>162</v>
      </c>
      <c r="AQ105" s="77">
        <v>0</v>
      </c>
      <c r="AR105" s="10" t="s">
        <v>80</v>
      </c>
      <c r="AS105" s="77">
        <v>0</v>
      </c>
      <c r="AT105" s="77">
        <v>0</v>
      </c>
      <c r="AU105" s="77">
        <v>0</v>
      </c>
      <c r="AV105" s="78">
        <v>0</v>
      </c>
    </row>
    <row r="106" spans="1:48" ht="14.25" customHeight="1" x14ac:dyDescent="0.3">
      <c r="A106" s="76" t="s">
        <v>144</v>
      </c>
      <c r="B106" s="76" t="s">
        <v>163</v>
      </c>
      <c r="C106" s="77">
        <v>5</v>
      </c>
      <c r="D106" s="79">
        <v>0.4</v>
      </c>
      <c r="E106" s="77">
        <v>3</v>
      </c>
      <c r="F106" s="77">
        <v>0</v>
      </c>
      <c r="G106" s="77">
        <v>0</v>
      </c>
      <c r="H106" s="78">
        <v>1</v>
      </c>
      <c r="I106" s="76" t="s">
        <v>146</v>
      </c>
      <c r="J106" s="76" t="s">
        <v>163</v>
      </c>
      <c r="K106" s="77">
        <v>0</v>
      </c>
      <c r="L106" s="10" t="s">
        <v>80</v>
      </c>
      <c r="M106" s="77">
        <v>0</v>
      </c>
      <c r="N106" s="77">
        <v>0</v>
      </c>
      <c r="O106" s="77">
        <v>0</v>
      </c>
      <c r="P106" s="77">
        <v>0</v>
      </c>
      <c r="Q106" s="76" t="s">
        <v>87</v>
      </c>
      <c r="R106" s="76" t="s">
        <v>163</v>
      </c>
      <c r="S106" s="77">
        <v>0</v>
      </c>
      <c r="T106" s="10" t="s">
        <v>80</v>
      </c>
      <c r="U106" s="77">
        <v>0</v>
      </c>
      <c r="V106" s="77">
        <v>0</v>
      </c>
      <c r="W106" s="77">
        <v>0</v>
      </c>
      <c r="X106" s="78">
        <v>0</v>
      </c>
      <c r="Y106" s="76" t="s">
        <v>85</v>
      </c>
      <c r="Z106" s="76" t="s">
        <v>163</v>
      </c>
      <c r="AA106" s="77">
        <v>0</v>
      </c>
      <c r="AB106" s="10" t="s">
        <v>80</v>
      </c>
      <c r="AC106" s="77">
        <v>0</v>
      </c>
      <c r="AD106" s="77">
        <v>0</v>
      </c>
      <c r="AE106" s="77">
        <v>0</v>
      </c>
      <c r="AF106" s="77">
        <v>0</v>
      </c>
      <c r="AG106" s="76" t="s">
        <v>86</v>
      </c>
      <c r="AH106" s="76" t="s">
        <v>163</v>
      </c>
      <c r="AI106" s="77">
        <v>5</v>
      </c>
      <c r="AJ106" s="79">
        <v>0.6</v>
      </c>
      <c r="AK106" s="77">
        <v>2</v>
      </c>
      <c r="AL106" s="77">
        <v>2</v>
      </c>
      <c r="AM106" s="77">
        <v>0</v>
      </c>
      <c r="AN106" s="78">
        <v>0</v>
      </c>
      <c r="AO106" s="76" t="s">
        <v>88</v>
      </c>
      <c r="AP106" s="76" t="s">
        <v>163</v>
      </c>
      <c r="AQ106" s="77">
        <v>0</v>
      </c>
      <c r="AR106" s="10" t="s">
        <v>80</v>
      </c>
      <c r="AS106" s="77">
        <v>0</v>
      </c>
      <c r="AT106" s="77">
        <v>0</v>
      </c>
      <c r="AU106" s="77">
        <v>0</v>
      </c>
      <c r="AV106" s="78">
        <v>0</v>
      </c>
    </row>
    <row r="107" spans="1:48" ht="14.25" customHeight="1" x14ac:dyDescent="0.3">
      <c r="A107" s="76" t="s">
        <v>144</v>
      </c>
      <c r="B107" s="76" t="s">
        <v>164</v>
      </c>
      <c r="C107" s="77">
        <v>1</v>
      </c>
      <c r="D107" s="79">
        <v>0.5</v>
      </c>
      <c r="E107" s="77">
        <v>0</v>
      </c>
      <c r="F107" s="77">
        <v>1</v>
      </c>
      <c r="G107" s="77">
        <v>0</v>
      </c>
      <c r="H107" s="78">
        <v>0</v>
      </c>
      <c r="I107" s="76" t="s">
        <v>146</v>
      </c>
      <c r="J107" s="76" t="s">
        <v>164</v>
      </c>
      <c r="K107" s="77">
        <v>0</v>
      </c>
      <c r="L107" s="10" t="s">
        <v>80</v>
      </c>
      <c r="M107" s="77">
        <v>0</v>
      </c>
      <c r="N107" s="77">
        <v>0</v>
      </c>
      <c r="O107" s="77">
        <v>0</v>
      </c>
      <c r="P107" s="77">
        <v>0</v>
      </c>
      <c r="Q107" s="76" t="s">
        <v>87</v>
      </c>
      <c r="R107" s="76" t="s">
        <v>164</v>
      </c>
      <c r="S107" s="77">
        <v>0</v>
      </c>
      <c r="T107" s="10" t="s">
        <v>80</v>
      </c>
      <c r="U107" s="77">
        <v>0</v>
      </c>
      <c r="V107" s="77">
        <v>0</v>
      </c>
      <c r="W107" s="77">
        <v>0</v>
      </c>
      <c r="X107" s="78">
        <v>0</v>
      </c>
      <c r="Y107" s="76" t="s">
        <v>85</v>
      </c>
      <c r="Z107" s="76" t="s">
        <v>164</v>
      </c>
      <c r="AA107" s="77">
        <v>1</v>
      </c>
      <c r="AB107" s="79">
        <v>0.5</v>
      </c>
      <c r="AC107" s="77">
        <v>0</v>
      </c>
      <c r="AD107" s="77">
        <v>1</v>
      </c>
      <c r="AE107" s="77">
        <v>0</v>
      </c>
      <c r="AF107" s="77">
        <v>0</v>
      </c>
      <c r="AG107" s="76" t="s">
        <v>86</v>
      </c>
      <c r="AH107" s="76" t="s">
        <v>164</v>
      </c>
      <c r="AI107" s="77">
        <v>1</v>
      </c>
      <c r="AJ107" s="79">
        <v>0.5</v>
      </c>
      <c r="AK107" s="77">
        <v>0</v>
      </c>
      <c r="AL107" s="77">
        <v>1</v>
      </c>
      <c r="AM107" s="77">
        <v>0</v>
      </c>
      <c r="AN107" s="78">
        <v>0</v>
      </c>
      <c r="AO107" s="76" t="s">
        <v>88</v>
      </c>
      <c r="AP107" s="76" t="s">
        <v>164</v>
      </c>
      <c r="AQ107" s="77">
        <v>0</v>
      </c>
      <c r="AR107" s="10" t="s">
        <v>80</v>
      </c>
      <c r="AS107" s="77">
        <v>0</v>
      </c>
      <c r="AT107" s="77">
        <v>0</v>
      </c>
      <c r="AU107" s="77">
        <v>0</v>
      </c>
      <c r="AV107" s="78">
        <v>0</v>
      </c>
    </row>
    <row r="108" spans="1:48" ht="14.25" customHeight="1" x14ac:dyDescent="0.3">
      <c r="A108" s="76" t="s">
        <v>144</v>
      </c>
      <c r="B108" s="110" t="s">
        <v>165</v>
      </c>
      <c r="C108" s="92">
        <v>9</v>
      </c>
      <c r="D108" s="113">
        <v>0.27779999999999999</v>
      </c>
      <c r="E108" s="92">
        <v>3</v>
      </c>
      <c r="F108" s="92">
        <v>2</v>
      </c>
      <c r="G108" s="92">
        <v>1</v>
      </c>
      <c r="H108" s="112">
        <v>1</v>
      </c>
      <c r="I108" s="76" t="s">
        <v>146</v>
      </c>
      <c r="J108" s="110" t="s">
        <v>165</v>
      </c>
      <c r="K108" s="92">
        <v>0</v>
      </c>
      <c r="L108" s="91" t="s">
        <v>80</v>
      </c>
      <c r="M108" s="92">
        <v>0</v>
      </c>
      <c r="N108" s="92">
        <v>0</v>
      </c>
      <c r="O108" s="92">
        <v>0</v>
      </c>
      <c r="P108" s="92">
        <v>0</v>
      </c>
      <c r="Q108" s="76" t="s">
        <v>87</v>
      </c>
      <c r="R108" s="110" t="s">
        <v>165</v>
      </c>
      <c r="S108" s="92">
        <v>0</v>
      </c>
      <c r="T108" s="91" t="s">
        <v>80</v>
      </c>
      <c r="U108" s="92">
        <v>0</v>
      </c>
      <c r="V108" s="92">
        <v>0</v>
      </c>
      <c r="W108" s="92">
        <v>0</v>
      </c>
      <c r="X108" s="112">
        <v>0</v>
      </c>
      <c r="Y108" s="76" t="s">
        <v>85</v>
      </c>
      <c r="Z108" s="110" t="s">
        <v>165</v>
      </c>
      <c r="AA108" s="92">
        <v>4</v>
      </c>
      <c r="AB108" s="113">
        <v>0.5</v>
      </c>
      <c r="AC108" s="92">
        <v>2</v>
      </c>
      <c r="AD108" s="92">
        <v>1</v>
      </c>
      <c r="AE108" s="92">
        <v>1</v>
      </c>
      <c r="AF108" s="92">
        <v>0</v>
      </c>
      <c r="AG108" s="76" t="s">
        <v>86</v>
      </c>
      <c r="AH108" s="110" t="s">
        <v>165</v>
      </c>
      <c r="AI108" s="92">
        <v>5</v>
      </c>
      <c r="AJ108" s="113">
        <v>0.7</v>
      </c>
      <c r="AK108" s="92">
        <v>2</v>
      </c>
      <c r="AL108" s="92">
        <v>3</v>
      </c>
      <c r="AM108" s="92">
        <v>0</v>
      </c>
      <c r="AN108" s="112">
        <v>0</v>
      </c>
      <c r="AO108" s="76" t="s">
        <v>88</v>
      </c>
      <c r="AP108" s="110" t="s">
        <v>165</v>
      </c>
      <c r="AQ108" s="92">
        <v>0</v>
      </c>
      <c r="AR108" s="91" t="s">
        <v>80</v>
      </c>
      <c r="AS108" s="92">
        <v>0</v>
      </c>
      <c r="AT108" s="92">
        <v>0</v>
      </c>
      <c r="AU108" s="92">
        <v>0</v>
      </c>
      <c r="AV108" s="112">
        <v>0</v>
      </c>
    </row>
    <row r="109" spans="1:48" ht="14.25" customHeight="1" x14ac:dyDescent="0.3">
      <c r="A109" s="76" t="s">
        <v>144</v>
      </c>
      <c r="B109" s="76" t="s">
        <v>166</v>
      </c>
      <c r="C109" s="77">
        <v>2</v>
      </c>
      <c r="D109" s="79">
        <v>-0.5</v>
      </c>
      <c r="E109" s="77">
        <v>0</v>
      </c>
      <c r="F109" s="77">
        <v>1</v>
      </c>
      <c r="G109" s="77">
        <v>0</v>
      </c>
      <c r="H109" s="78">
        <v>1</v>
      </c>
      <c r="I109" s="76" t="s">
        <v>146</v>
      </c>
      <c r="J109" s="76" t="s">
        <v>166</v>
      </c>
      <c r="K109" s="77">
        <v>0</v>
      </c>
      <c r="L109" s="10" t="s">
        <v>80</v>
      </c>
      <c r="M109" s="77">
        <v>0</v>
      </c>
      <c r="N109" s="77">
        <v>0</v>
      </c>
      <c r="O109" s="77">
        <v>0</v>
      </c>
      <c r="P109" s="77">
        <v>0</v>
      </c>
      <c r="Q109" s="76" t="s">
        <v>87</v>
      </c>
      <c r="R109" s="76" t="s">
        <v>166</v>
      </c>
      <c r="S109" s="77">
        <v>0</v>
      </c>
      <c r="T109" s="10" t="s">
        <v>80</v>
      </c>
      <c r="U109" s="77">
        <v>0</v>
      </c>
      <c r="V109" s="77">
        <v>0</v>
      </c>
      <c r="W109" s="77">
        <v>0</v>
      </c>
      <c r="X109" s="78">
        <v>0</v>
      </c>
      <c r="Y109" s="76" t="s">
        <v>85</v>
      </c>
      <c r="Z109" s="76" t="s">
        <v>166</v>
      </c>
      <c r="AA109" s="77">
        <v>0</v>
      </c>
      <c r="AB109" s="10" t="s">
        <v>80</v>
      </c>
      <c r="AC109" s="77">
        <v>0</v>
      </c>
      <c r="AD109" s="77">
        <v>0</v>
      </c>
      <c r="AE109" s="77">
        <v>0</v>
      </c>
      <c r="AF109" s="77">
        <v>0</v>
      </c>
      <c r="AG109" s="76" t="s">
        <v>86</v>
      </c>
      <c r="AH109" s="76" t="s">
        <v>166</v>
      </c>
      <c r="AI109" s="77">
        <v>0</v>
      </c>
      <c r="AJ109" s="10" t="s">
        <v>80</v>
      </c>
      <c r="AK109" s="77">
        <v>0</v>
      </c>
      <c r="AL109" s="77">
        <v>0</v>
      </c>
      <c r="AM109" s="77">
        <v>0</v>
      </c>
      <c r="AN109" s="78">
        <v>0</v>
      </c>
      <c r="AO109" s="76" t="s">
        <v>88</v>
      </c>
      <c r="AP109" s="76" t="s">
        <v>166</v>
      </c>
      <c r="AQ109" s="77">
        <v>0</v>
      </c>
      <c r="AR109" s="10" t="s">
        <v>80</v>
      </c>
      <c r="AS109" s="77">
        <v>0</v>
      </c>
      <c r="AT109" s="77">
        <v>0</v>
      </c>
      <c r="AU109" s="77">
        <v>0</v>
      </c>
      <c r="AV109" s="78">
        <v>0</v>
      </c>
    </row>
    <row r="110" spans="1:48" ht="14.25" customHeight="1" x14ac:dyDescent="0.3">
      <c r="A110" s="76" t="s">
        <v>144</v>
      </c>
      <c r="B110" s="76" t="s">
        <v>167</v>
      </c>
      <c r="C110" s="77">
        <v>4</v>
      </c>
      <c r="D110" s="79">
        <v>0.625</v>
      </c>
      <c r="E110" s="77">
        <v>3</v>
      </c>
      <c r="F110" s="77">
        <v>0</v>
      </c>
      <c r="G110" s="77">
        <v>1</v>
      </c>
      <c r="H110" s="78">
        <v>0</v>
      </c>
      <c r="I110" s="76" t="s">
        <v>146</v>
      </c>
      <c r="J110" s="76" t="s">
        <v>167</v>
      </c>
      <c r="K110" s="77">
        <v>0</v>
      </c>
      <c r="L110" s="10" t="s">
        <v>80</v>
      </c>
      <c r="M110" s="77">
        <v>0</v>
      </c>
      <c r="N110" s="77">
        <v>0</v>
      </c>
      <c r="O110" s="77">
        <v>0</v>
      </c>
      <c r="P110" s="77">
        <v>0</v>
      </c>
      <c r="Q110" s="76" t="s">
        <v>87</v>
      </c>
      <c r="R110" s="76" t="s">
        <v>167</v>
      </c>
      <c r="S110" s="77">
        <v>0</v>
      </c>
      <c r="T110" s="10" t="s">
        <v>80</v>
      </c>
      <c r="U110" s="77">
        <v>0</v>
      </c>
      <c r="V110" s="77">
        <v>0</v>
      </c>
      <c r="W110" s="77">
        <v>0</v>
      </c>
      <c r="X110" s="78">
        <v>0</v>
      </c>
      <c r="Y110" s="76" t="s">
        <v>85</v>
      </c>
      <c r="Z110" s="76" t="s">
        <v>167</v>
      </c>
      <c r="AA110" s="77">
        <v>4</v>
      </c>
      <c r="AB110" s="79">
        <v>0.5</v>
      </c>
      <c r="AC110" s="77">
        <v>2</v>
      </c>
      <c r="AD110" s="77">
        <v>1</v>
      </c>
      <c r="AE110" s="77">
        <v>1</v>
      </c>
      <c r="AF110" s="77">
        <v>0</v>
      </c>
      <c r="AG110" s="76" t="s">
        <v>86</v>
      </c>
      <c r="AH110" s="76" t="s">
        <v>167</v>
      </c>
      <c r="AI110" s="77">
        <v>0</v>
      </c>
      <c r="AJ110" s="10" t="s">
        <v>80</v>
      </c>
      <c r="AK110" s="77">
        <v>0</v>
      </c>
      <c r="AL110" s="77">
        <v>0</v>
      </c>
      <c r="AM110" s="77">
        <v>0</v>
      </c>
      <c r="AN110" s="78">
        <v>0</v>
      </c>
      <c r="AO110" s="76" t="s">
        <v>88</v>
      </c>
      <c r="AP110" s="76" t="s">
        <v>167</v>
      </c>
      <c r="AQ110" s="77">
        <v>0</v>
      </c>
      <c r="AR110" s="10" t="s">
        <v>80</v>
      </c>
      <c r="AS110" s="77">
        <v>0</v>
      </c>
      <c r="AT110" s="77">
        <v>0</v>
      </c>
      <c r="AU110" s="77">
        <v>0</v>
      </c>
      <c r="AV110" s="78">
        <v>0</v>
      </c>
    </row>
    <row r="111" spans="1:48" ht="14.25" customHeight="1" x14ac:dyDescent="0.3">
      <c r="A111" s="76" t="s">
        <v>144</v>
      </c>
      <c r="B111" s="81" t="s">
        <v>168</v>
      </c>
      <c r="C111" s="83">
        <v>3</v>
      </c>
      <c r="D111" s="83">
        <v>0</v>
      </c>
      <c r="E111" s="83">
        <v>0</v>
      </c>
      <c r="F111" s="83">
        <v>1</v>
      </c>
      <c r="G111" s="83">
        <v>0</v>
      </c>
      <c r="H111" s="114">
        <v>0</v>
      </c>
      <c r="I111" s="76" t="s">
        <v>146</v>
      </c>
      <c r="J111" s="81" t="s">
        <v>168</v>
      </c>
      <c r="K111" s="83">
        <v>0</v>
      </c>
      <c r="L111" s="82" t="s">
        <v>80</v>
      </c>
      <c r="M111" s="83">
        <v>0</v>
      </c>
      <c r="N111" s="83">
        <v>0</v>
      </c>
      <c r="O111" s="83">
        <v>0</v>
      </c>
      <c r="P111" s="83">
        <v>0</v>
      </c>
      <c r="Q111" s="76" t="s">
        <v>87</v>
      </c>
      <c r="R111" s="81" t="s">
        <v>168</v>
      </c>
      <c r="S111" s="83">
        <v>0</v>
      </c>
      <c r="T111" s="82" t="s">
        <v>80</v>
      </c>
      <c r="U111" s="83">
        <v>0</v>
      </c>
      <c r="V111" s="83">
        <v>0</v>
      </c>
      <c r="W111" s="83">
        <v>0</v>
      </c>
      <c r="X111" s="114">
        <v>0</v>
      </c>
      <c r="Y111" s="76" t="s">
        <v>85</v>
      </c>
      <c r="Z111" s="81" t="s">
        <v>168</v>
      </c>
      <c r="AA111" s="83">
        <v>0</v>
      </c>
      <c r="AB111" s="82" t="s">
        <v>80</v>
      </c>
      <c r="AC111" s="83">
        <v>0</v>
      </c>
      <c r="AD111" s="83">
        <v>0</v>
      </c>
      <c r="AE111" s="83">
        <v>0</v>
      </c>
      <c r="AF111" s="83">
        <v>0</v>
      </c>
      <c r="AG111" s="76" t="s">
        <v>86</v>
      </c>
      <c r="AH111" s="81" t="s">
        <v>168</v>
      </c>
      <c r="AI111" s="83">
        <v>5</v>
      </c>
      <c r="AJ111" s="115">
        <v>0.4</v>
      </c>
      <c r="AK111" s="83">
        <v>2</v>
      </c>
      <c r="AL111" s="83">
        <v>3</v>
      </c>
      <c r="AM111" s="83">
        <v>0</v>
      </c>
      <c r="AN111" s="114">
        <v>0</v>
      </c>
      <c r="AO111" s="76" t="s">
        <v>88</v>
      </c>
      <c r="AP111" s="81" t="s">
        <v>168</v>
      </c>
      <c r="AQ111" s="83">
        <v>0</v>
      </c>
      <c r="AR111" s="82" t="s">
        <v>80</v>
      </c>
      <c r="AS111" s="83">
        <v>0</v>
      </c>
      <c r="AT111" s="83">
        <v>0</v>
      </c>
      <c r="AU111" s="83">
        <v>0</v>
      </c>
      <c r="AV111" s="114">
        <v>0</v>
      </c>
    </row>
    <row r="112" spans="1:48" ht="14.25" customHeight="1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</row>
    <row r="113" spans="1:55" ht="14.25" customHeight="1" x14ac:dyDescent="0.3">
      <c r="A113" s="26"/>
      <c r="B113" s="103" t="s">
        <v>169</v>
      </c>
      <c r="C113" s="104" t="s">
        <v>102</v>
      </c>
      <c r="D113" s="104" t="s">
        <v>143</v>
      </c>
      <c r="E113" s="104" t="s">
        <v>26</v>
      </c>
      <c r="F113" s="104" t="s">
        <v>103</v>
      </c>
      <c r="G113" s="104" t="s">
        <v>104</v>
      </c>
      <c r="H113" s="104" t="s">
        <v>105</v>
      </c>
      <c r="I113" s="26"/>
      <c r="J113" s="103" t="s">
        <v>169</v>
      </c>
      <c r="K113" s="104" t="s">
        <v>102</v>
      </c>
      <c r="L113" s="104" t="s">
        <v>143</v>
      </c>
      <c r="M113" s="104" t="s">
        <v>26</v>
      </c>
      <c r="N113" s="104" t="s">
        <v>103</v>
      </c>
      <c r="O113" s="104" t="s">
        <v>104</v>
      </c>
      <c r="P113" s="104" t="s">
        <v>105</v>
      </c>
      <c r="Q113" s="26"/>
      <c r="R113" s="103" t="s">
        <v>169</v>
      </c>
      <c r="S113" s="104" t="s">
        <v>102</v>
      </c>
      <c r="T113" s="104" t="s">
        <v>143</v>
      </c>
      <c r="U113" s="104" t="s">
        <v>26</v>
      </c>
      <c r="V113" s="104" t="s">
        <v>103</v>
      </c>
      <c r="W113" s="104" t="s">
        <v>104</v>
      </c>
      <c r="X113" s="105" t="s">
        <v>105</v>
      </c>
      <c r="Y113" s="26"/>
      <c r="Z113" s="103" t="s">
        <v>169</v>
      </c>
      <c r="AA113" s="104" t="s">
        <v>102</v>
      </c>
      <c r="AB113" s="104" t="s">
        <v>143</v>
      </c>
      <c r="AC113" s="104" t="s">
        <v>26</v>
      </c>
      <c r="AD113" s="104" t="s">
        <v>103</v>
      </c>
      <c r="AE113" s="104" t="s">
        <v>104</v>
      </c>
      <c r="AF113" s="104" t="s">
        <v>105</v>
      </c>
      <c r="AG113" s="26"/>
      <c r="AH113" s="103" t="s">
        <v>169</v>
      </c>
      <c r="AI113" s="104" t="s">
        <v>102</v>
      </c>
      <c r="AJ113" s="104" t="s">
        <v>143</v>
      </c>
      <c r="AK113" s="104" t="s">
        <v>26</v>
      </c>
      <c r="AL113" s="104" t="s">
        <v>103</v>
      </c>
      <c r="AM113" s="104" t="s">
        <v>104</v>
      </c>
      <c r="AN113" s="105" t="s">
        <v>105</v>
      </c>
      <c r="AO113" s="26"/>
      <c r="AP113" s="103" t="s">
        <v>169</v>
      </c>
      <c r="AQ113" s="104" t="s">
        <v>102</v>
      </c>
      <c r="AR113" s="104" t="s">
        <v>143</v>
      </c>
      <c r="AS113" s="104" t="s">
        <v>26</v>
      </c>
      <c r="AT113" s="104" t="s">
        <v>103</v>
      </c>
      <c r="AU113" s="104" t="s">
        <v>104</v>
      </c>
      <c r="AV113" s="105" t="s">
        <v>105</v>
      </c>
    </row>
    <row r="114" spans="1:55" ht="14.25" customHeight="1" x14ac:dyDescent="0.3">
      <c r="A114" s="76" t="s">
        <v>144</v>
      </c>
      <c r="B114" s="110" t="s">
        <v>170</v>
      </c>
      <c r="C114" s="92">
        <v>3</v>
      </c>
      <c r="D114" s="107">
        <v>0</v>
      </c>
      <c r="E114" s="92">
        <v>0</v>
      </c>
      <c r="F114" s="92">
        <v>0</v>
      </c>
      <c r="G114" s="92">
        <v>0</v>
      </c>
      <c r="H114" s="92">
        <v>0</v>
      </c>
      <c r="I114" s="76" t="s">
        <v>146</v>
      </c>
      <c r="J114" s="110" t="s">
        <v>170</v>
      </c>
      <c r="K114" s="92">
        <v>0</v>
      </c>
      <c r="L114" s="108" t="s">
        <v>80</v>
      </c>
      <c r="M114" s="92">
        <v>0</v>
      </c>
      <c r="N114" s="92">
        <v>0</v>
      </c>
      <c r="O114" s="92">
        <v>0</v>
      </c>
      <c r="P114" s="92">
        <v>0</v>
      </c>
      <c r="Q114" s="76" t="s">
        <v>87</v>
      </c>
      <c r="R114" s="110" t="s">
        <v>170</v>
      </c>
      <c r="S114" s="92">
        <v>0</v>
      </c>
      <c r="T114" s="108" t="s">
        <v>80</v>
      </c>
      <c r="U114" s="92">
        <v>0</v>
      </c>
      <c r="V114" s="92">
        <v>0</v>
      </c>
      <c r="W114" s="92">
        <v>0</v>
      </c>
      <c r="X114" s="112">
        <v>0</v>
      </c>
      <c r="Y114" s="76" t="s">
        <v>85</v>
      </c>
      <c r="Z114" s="110" t="s">
        <v>170</v>
      </c>
      <c r="AA114" s="92">
        <v>3</v>
      </c>
      <c r="AB114" s="111">
        <v>0.33329999999999999</v>
      </c>
      <c r="AC114" s="92">
        <v>2</v>
      </c>
      <c r="AD114" s="92">
        <v>0</v>
      </c>
      <c r="AE114" s="92">
        <v>0</v>
      </c>
      <c r="AF114" s="92">
        <v>1</v>
      </c>
      <c r="AG114" s="76" t="s">
        <v>86</v>
      </c>
      <c r="AH114" s="110" t="s">
        <v>170</v>
      </c>
      <c r="AI114" s="92">
        <v>3</v>
      </c>
      <c r="AJ114" s="111">
        <v>0.66669999999999996</v>
      </c>
      <c r="AK114" s="92">
        <v>1</v>
      </c>
      <c r="AL114" s="92">
        <v>2</v>
      </c>
      <c r="AM114" s="92">
        <v>0</v>
      </c>
      <c r="AN114" s="112">
        <v>0</v>
      </c>
      <c r="AO114" s="76" t="s">
        <v>88</v>
      </c>
      <c r="AP114" s="110" t="s">
        <v>170</v>
      </c>
      <c r="AQ114" s="92">
        <v>0</v>
      </c>
      <c r="AR114" s="108" t="s">
        <v>80</v>
      </c>
      <c r="AS114" s="92">
        <v>0</v>
      </c>
      <c r="AT114" s="92">
        <v>0</v>
      </c>
      <c r="AU114" s="92">
        <v>0</v>
      </c>
      <c r="AV114" s="112">
        <v>0</v>
      </c>
    </row>
    <row r="115" spans="1:55" ht="14.25" customHeight="1" x14ac:dyDescent="0.3">
      <c r="A115" s="76" t="s">
        <v>144</v>
      </c>
      <c r="B115" s="76" t="s">
        <v>171</v>
      </c>
      <c r="C115" s="77">
        <v>2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6" t="s">
        <v>146</v>
      </c>
      <c r="J115" s="76" t="s">
        <v>171</v>
      </c>
      <c r="K115" s="77">
        <v>0</v>
      </c>
      <c r="L115" s="10" t="s">
        <v>80</v>
      </c>
      <c r="M115" s="77">
        <v>0</v>
      </c>
      <c r="N115" s="77">
        <v>0</v>
      </c>
      <c r="O115" s="77">
        <v>0</v>
      </c>
      <c r="P115" s="77">
        <v>0</v>
      </c>
      <c r="Q115" s="76" t="s">
        <v>87</v>
      </c>
      <c r="R115" s="76" t="s">
        <v>171</v>
      </c>
      <c r="S115" s="77">
        <v>0</v>
      </c>
      <c r="T115" s="10" t="s">
        <v>80</v>
      </c>
      <c r="U115" s="77">
        <v>0</v>
      </c>
      <c r="V115" s="77">
        <v>0</v>
      </c>
      <c r="W115" s="77">
        <v>0</v>
      </c>
      <c r="X115" s="78">
        <v>0</v>
      </c>
      <c r="Y115" s="76" t="s">
        <v>85</v>
      </c>
      <c r="Z115" s="76" t="s">
        <v>171</v>
      </c>
      <c r="AA115" s="77">
        <v>0</v>
      </c>
      <c r="AB115" s="10" t="s">
        <v>80</v>
      </c>
      <c r="AC115" s="77">
        <v>0</v>
      </c>
      <c r="AD115" s="77">
        <v>0</v>
      </c>
      <c r="AE115" s="77">
        <v>0</v>
      </c>
      <c r="AF115" s="77">
        <v>0</v>
      </c>
      <c r="AG115" s="76" t="s">
        <v>86</v>
      </c>
      <c r="AH115" s="76" t="s">
        <v>171</v>
      </c>
      <c r="AI115" s="77">
        <v>1</v>
      </c>
      <c r="AJ115" s="77">
        <v>0</v>
      </c>
      <c r="AK115" s="77">
        <v>0</v>
      </c>
      <c r="AL115" s="77">
        <v>0</v>
      </c>
      <c r="AM115" s="77">
        <v>0</v>
      </c>
      <c r="AN115" s="78">
        <v>0</v>
      </c>
      <c r="AO115" s="76" t="s">
        <v>88</v>
      </c>
      <c r="AP115" s="76" t="s">
        <v>171</v>
      </c>
      <c r="AQ115" s="77">
        <v>0</v>
      </c>
      <c r="AR115" s="10" t="s">
        <v>80</v>
      </c>
      <c r="AS115" s="77">
        <v>0</v>
      </c>
      <c r="AT115" s="77">
        <v>0</v>
      </c>
      <c r="AU115" s="77">
        <v>0</v>
      </c>
      <c r="AV115" s="78">
        <v>0</v>
      </c>
    </row>
    <row r="116" spans="1:55" ht="14.25" customHeight="1" x14ac:dyDescent="0.3">
      <c r="A116" s="76" t="s">
        <v>144</v>
      </c>
      <c r="B116" s="76" t="s">
        <v>172</v>
      </c>
      <c r="C116" s="77">
        <v>1</v>
      </c>
      <c r="D116" s="77">
        <v>0</v>
      </c>
      <c r="E116" s="77">
        <v>0</v>
      </c>
      <c r="F116" s="77">
        <v>0</v>
      </c>
      <c r="G116" s="77">
        <v>0</v>
      </c>
      <c r="H116" s="77">
        <v>0</v>
      </c>
      <c r="I116" s="76" t="s">
        <v>146</v>
      </c>
      <c r="J116" s="76" t="s">
        <v>172</v>
      </c>
      <c r="K116" s="77">
        <v>0</v>
      </c>
      <c r="L116" s="10" t="s">
        <v>80</v>
      </c>
      <c r="M116" s="77">
        <v>0</v>
      </c>
      <c r="N116" s="77">
        <v>0</v>
      </c>
      <c r="O116" s="77">
        <v>0</v>
      </c>
      <c r="P116" s="77">
        <v>0</v>
      </c>
      <c r="Q116" s="76" t="s">
        <v>87</v>
      </c>
      <c r="R116" s="76" t="s">
        <v>172</v>
      </c>
      <c r="S116" s="77">
        <v>0</v>
      </c>
      <c r="T116" s="10" t="s">
        <v>80</v>
      </c>
      <c r="U116" s="77">
        <v>0</v>
      </c>
      <c r="V116" s="77">
        <v>0</v>
      </c>
      <c r="W116" s="77">
        <v>0</v>
      </c>
      <c r="X116" s="78">
        <v>0</v>
      </c>
      <c r="Y116" s="76" t="s">
        <v>85</v>
      </c>
      <c r="Z116" s="76" t="s">
        <v>172</v>
      </c>
      <c r="AA116" s="77">
        <v>1</v>
      </c>
      <c r="AB116" s="77">
        <v>1</v>
      </c>
      <c r="AC116" s="77">
        <v>1</v>
      </c>
      <c r="AD116" s="77">
        <v>0</v>
      </c>
      <c r="AE116" s="77">
        <v>0</v>
      </c>
      <c r="AF116" s="77">
        <v>0</v>
      </c>
      <c r="AG116" s="76" t="s">
        <v>86</v>
      </c>
      <c r="AH116" s="76" t="s">
        <v>172</v>
      </c>
      <c r="AI116" s="77">
        <v>1</v>
      </c>
      <c r="AJ116" s="77">
        <v>1</v>
      </c>
      <c r="AK116" s="77">
        <v>1</v>
      </c>
      <c r="AL116" s="77">
        <v>0</v>
      </c>
      <c r="AM116" s="77">
        <v>0</v>
      </c>
      <c r="AN116" s="78">
        <v>0</v>
      </c>
      <c r="AO116" s="76" t="s">
        <v>88</v>
      </c>
      <c r="AP116" s="76" t="s">
        <v>172</v>
      </c>
      <c r="AQ116" s="77">
        <v>0</v>
      </c>
      <c r="AR116" s="10" t="s">
        <v>80</v>
      </c>
      <c r="AS116" s="77">
        <v>0</v>
      </c>
      <c r="AT116" s="77">
        <v>0</v>
      </c>
      <c r="AU116" s="77">
        <v>0</v>
      </c>
      <c r="AV116" s="78">
        <v>0</v>
      </c>
    </row>
    <row r="117" spans="1:55" ht="14.25" customHeight="1" x14ac:dyDescent="0.3">
      <c r="A117" s="76" t="s">
        <v>144</v>
      </c>
      <c r="B117" s="76" t="s">
        <v>173</v>
      </c>
      <c r="C117" s="77">
        <v>0</v>
      </c>
      <c r="D117" s="10" t="s">
        <v>80</v>
      </c>
      <c r="E117" s="77">
        <v>0</v>
      </c>
      <c r="F117" s="77">
        <v>0</v>
      </c>
      <c r="G117" s="77">
        <v>0</v>
      </c>
      <c r="H117" s="77">
        <v>0</v>
      </c>
      <c r="I117" s="76" t="s">
        <v>146</v>
      </c>
      <c r="J117" s="76" t="s">
        <v>173</v>
      </c>
      <c r="K117" s="77">
        <v>0</v>
      </c>
      <c r="L117" s="10" t="s">
        <v>80</v>
      </c>
      <c r="M117" s="77">
        <v>0</v>
      </c>
      <c r="N117" s="77">
        <v>0</v>
      </c>
      <c r="O117" s="77">
        <v>0</v>
      </c>
      <c r="P117" s="77">
        <v>0</v>
      </c>
      <c r="Q117" s="76" t="s">
        <v>87</v>
      </c>
      <c r="R117" s="76" t="s">
        <v>173</v>
      </c>
      <c r="S117" s="77">
        <v>0</v>
      </c>
      <c r="T117" s="10" t="s">
        <v>80</v>
      </c>
      <c r="U117" s="77">
        <v>0</v>
      </c>
      <c r="V117" s="77">
        <v>0</v>
      </c>
      <c r="W117" s="77">
        <v>0</v>
      </c>
      <c r="X117" s="78">
        <v>0</v>
      </c>
      <c r="Y117" s="76" t="s">
        <v>85</v>
      </c>
      <c r="Z117" s="76" t="s">
        <v>173</v>
      </c>
      <c r="AA117" s="77">
        <v>2</v>
      </c>
      <c r="AB117" s="77">
        <v>0</v>
      </c>
      <c r="AC117" s="77">
        <v>1</v>
      </c>
      <c r="AD117" s="77">
        <v>0</v>
      </c>
      <c r="AE117" s="77">
        <v>0</v>
      </c>
      <c r="AF117" s="77">
        <v>1</v>
      </c>
      <c r="AG117" s="76" t="s">
        <v>86</v>
      </c>
      <c r="AH117" s="76" t="s">
        <v>173</v>
      </c>
      <c r="AI117" s="77">
        <v>1</v>
      </c>
      <c r="AJ117" s="77">
        <v>0</v>
      </c>
      <c r="AK117" s="77">
        <v>0</v>
      </c>
      <c r="AL117" s="77">
        <v>1</v>
      </c>
      <c r="AM117" s="77">
        <v>0</v>
      </c>
      <c r="AN117" s="78">
        <v>0</v>
      </c>
      <c r="AO117" s="76" t="s">
        <v>88</v>
      </c>
      <c r="AP117" s="76" t="s">
        <v>173</v>
      </c>
      <c r="AQ117" s="77">
        <v>0</v>
      </c>
      <c r="AR117" s="10" t="s">
        <v>80</v>
      </c>
      <c r="AS117" s="77">
        <v>0</v>
      </c>
      <c r="AT117" s="77">
        <v>0</v>
      </c>
      <c r="AU117" s="77">
        <v>0</v>
      </c>
      <c r="AV117" s="78">
        <v>0</v>
      </c>
    </row>
    <row r="118" spans="1:55" ht="14.25" customHeight="1" x14ac:dyDescent="0.3">
      <c r="A118" s="76" t="s">
        <v>144</v>
      </c>
      <c r="B118" s="110" t="s">
        <v>174</v>
      </c>
      <c r="C118" s="92">
        <v>1</v>
      </c>
      <c r="D118" s="92">
        <v>-1</v>
      </c>
      <c r="E118" s="92">
        <v>0</v>
      </c>
      <c r="F118" s="92">
        <v>0</v>
      </c>
      <c r="G118" s="92">
        <v>0</v>
      </c>
      <c r="H118" s="92">
        <v>1</v>
      </c>
      <c r="I118" s="76" t="s">
        <v>146</v>
      </c>
      <c r="J118" s="110" t="s">
        <v>174</v>
      </c>
      <c r="K118" s="92">
        <v>0</v>
      </c>
      <c r="L118" s="91" t="s">
        <v>80</v>
      </c>
      <c r="M118" s="92">
        <v>0</v>
      </c>
      <c r="N118" s="92">
        <v>0</v>
      </c>
      <c r="O118" s="92">
        <v>0</v>
      </c>
      <c r="P118" s="92">
        <v>0</v>
      </c>
      <c r="Q118" s="76" t="s">
        <v>87</v>
      </c>
      <c r="R118" s="110" t="s">
        <v>174</v>
      </c>
      <c r="S118" s="92">
        <v>0</v>
      </c>
      <c r="T118" s="91" t="s">
        <v>80</v>
      </c>
      <c r="U118" s="92">
        <v>0</v>
      </c>
      <c r="V118" s="92">
        <v>0</v>
      </c>
      <c r="W118" s="92">
        <v>0</v>
      </c>
      <c r="X118" s="112">
        <v>0</v>
      </c>
      <c r="Y118" s="76" t="s">
        <v>85</v>
      </c>
      <c r="Z118" s="110" t="s">
        <v>174</v>
      </c>
      <c r="AA118" s="92">
        <v>1</v>
      </c>
      <c r="AB118" s="92">
        <v>-1</v>
      </c>
      <c r="AC118" s="92">
        <v>0</v>
      </c>
      <c r="AD118" s="92">
        <v>0</v>
      </c>
      <c r="AE118" s="92">
        <v>0</v>
      </c>
      <c r="AF118" s="92">
        <v>1</v>
      </c>
      <c r="AG118" s="76" t="s">
        <v>86</v>
      </c>
      <c r="AH118" s="110" t="s">
        <v>174</v>
      </c>
      <c r="AI118" s="92">
        <v>2</v>
      </c>
      <c r="AJ118" s="92">
        <v>0</v>
      </c>
      <c r="AK118" s="92">
        <v>0</v>
      </c>
      <c r="AL118" s="92">
        <v>1</v>
      </c>
      <c r="AM118" s="92">
        <v>0</v>
      </c>
      <c r="AN118" s="112">
        <v>0</v>
      </c>
      <c r="AO118" s="76" t="s">
        <v>88</v>
      </c>
      <c r="AP118" s="110" t="s">
        <v>174</v>
      </c>
      <c r="AQ118" s="92">
        <v>0</v>
      </c>
      <c r="AR118" s="91" t="s">
        <v>80</v>
      </c>
      <c r="AS118" s="92">
        <v>0</v>
      </c>
      <c r="AT118" s="92">
        <v>0</v>
      </c>
      <c r="AU118" s="92">
        <v>0</v>
      </c>
      <c r="AV118" s="112">
        <v>0</v>
      </c>
    </row>
    <row r="119" spans="1:55" ht="14.25" customHeight="1" x14ac:dyDescent="0.3">
      <c r="A119" s="76" t="s">
        <v>144</v>
      </c>
      <c r="B119" s="76" t="s">
        <v>175</v>
      </c>
      <c r="C119" s="77">
        <v>0</v>
      </c>
      <c r="D119" s="10" t="s">
        <v>80</v>
      </c>
      <c r="E119" s="77">
        <v>0</v>
      </c>
      <c r="F119" s="77">
        <v>0</v>
      </c>
      <c r="G119" s="77">
        <v>0</v>
      </c>
      <c r="H119" s="77">
        <v>0</v>
      </c>
      <c r="I119" s="76" t="s">
        <v>146</v>
      </c>
      <c r="J119" s="76" t="s">
        <v>175</v>
      </c>
      <c r="K119" s="77">
        <v>0</v>
      </c>
      <c r="L119" s="10" t="s">
        <v>80</v>
      </c>
      <c r="M119" s="77">
        <v>0</v>
      </c>
      <c r="N119" s="77">
        <v>0</v>
      </c>
      <c r="O119" s="77">
        <v>0</v>
      </c>
      <c r="P119" s="77">
        <v>0</v>
      </c>
      <c r="Q119" s="76" t="s">
        <v>87</v>
      </c>
      <c r="R119" s="76" t="s">
        <v>175</v>
      </c>
      <c r="S119" s="77">
        <v>0</v>
      </c>
      <c r="T119" s="10" t="s">
        <v>80</v>
      </c>
      <c r="U119" s="77">
        <v>0</v>
      </c>
      <c r="V119" s="77">
        <v>0</v>
      </c>
      <c r="W119" s="77">
        <v>0</v>
      </c>
      <c r="X119" s="78">
        <v>0</v>
      </c>
      <c r="Y119" s="76" t="s">
        <v>85</v>
      </c>
      <c r="Z119" s="76" t="s">
        <v>175</v>
      </c>
      <c r="AA119" s="77">
        <v>0</v>
      </c>
      <c r="AB119" s="10" t="s">
        <v>80</v>
      </c>
      <c r="AC119" s="77">
        <v>0</v>
      </c>
      <c r="AD119" s="77">
        <v>0</v>
      </c>
      <c r="AE119" s="77">
        <v>0</v>
      </c>
      <c r="AF119" s="77">
        <v>0</v>
      </c>
      <c r="AG119" s="76" t="s">
        <v>86</v>
      </c>
      <c r="AH119" s="76" t="s">
        <v>175</v>
      </c>
      <c r="AI119" s="77">
        <v>1</v>
      </c>
      <c r="AJ119" s="79">
        <v>0.5</v>
      </c>
      <c r="AK119" s="77">
        <v>0</v>
      </c>
      <c r="AL119" s="77">
        <v>1</v>
      </c>
      <c r="AM119" s="77">
        <v>0</v>
      </c>
      <c r="AN119" s="78">
        <v>0</v>
      </c>
      <c r="AO119" s="76" t="s">
        <v>88</v>
      </c>
      <c r="AP119" s="76" t="s">
        <v>175</v>
      </c>
      <c r="AQ119" s="77">
        <v>0</v>
      </c>
      <c r="AR119" s="10" t="s">
        <v>80</v>
      </c>
      <c r="AS119" s="77">
        <v>0</v>
      </c>
      <c r="AT119" s="77">
        <v>0</v>
      </c>
      <c r="AU119" s="77">
        <v>0</v>
      </c>
      <c r="AV119" s="78">
        <v>0</v>
      </c>
    </row>
    <row r="120" spans="1:55" ht="14.25" customHeight="1" x14ac:dyDescent="0.3">
      <c r="A120" s="76" t="s">
        <v>144</v>
      </c>
      <c r="B120" s="76" t="s">
        <v>176</v>
      </c>
      <c r="C120" s="77">
        <v>1</v>
      </c>
      <c r="D120" s="77">
        <v>-1</v>
      </c>
      <c r="E120" s="77">
        <v>0</v>
      </c>
      <c r="F120" s="77">
        <v>0</v>
      </c>
      <c r="G120" s="77">
        <v>0</v>
      </c>
      <c r="H120" s="77">
        <v>1</v>
      </c>
      <c r="I120" s="76" t="s">
        <v>146</v>
      </c>
      <c r="J120" s="76" t="s">
        <v>176</v>
      </c>
      <c r="K120" s="77">
        <v>0</v>
      </c>
      <c r="L120" s="10" t="s">
        <v>80</v>
      </c>
      <c r="M120" s="77">
        <v>0</v>
      </c>
      <c r="N120" s="77">
        <v>0</v>
      </c>
      <c r="O120" s="77">
        <v>0</v>
      </c>
      <c r="P120" s="77">
        <v>0</v>
      </c>
      <c r="Q120" s="76" t="s">
        <v>87</v>
      </c>
      <c r="R120" s="76" t="s">
        <v>176</v>
      </c>
      <c r="S120" s="77">
        <v>0</v>
      </c>
      <c r="T120" s="10" t="s">
        <v>80</v>
      </c>
      <c r="U120" s="77">
        <v>0</v>
      </c>
      <c r="V120" s="77">
        <v>0</v>
      </c>
      <c r="W120" s="77">
        <v>0</v>
      </c>
      <c r="X120" s="78">
        <v>0</v>
      </c>
      <c r="Y120" s="76" t="s">
        <v>85</v>
      </c>
      <c r="Z120" s="76" t="s">
        <v>176</v>
      </c>
      <c r="AA120" s="77">
        <v>1</v>
      </c>
      <c r="AB120" s="77">
        <v>-1</v>
      </c>
      <c r="AC120" s="77">
        <v>0</v>
      </c>
      <c r="AD120" s="77">
        <v>0</v>
      </c>
      <c r="AE120" s="77">
        <v>0</v>
      </c>
      <c r="AF120" s="77">
        <v>1</v>
      </c>
      <c r="AG120" s="76" t="s">
        <v>86</v>
      </c>
      <c r="AH120" s="76" t="s">
        <v>176</v>
      </c>
      <c r="AI120" s="77">
        <v>0</v>
      </c>
      <c r="AJ120" s="10" t="s">
        <v>80</v>
      </c>
      <c r="AK120" s="77">
        <v>0</v>
      </c>
      <c r="AL120" s="77">
        <v>0</v>
      </c>
      <c r="AM120" s="77">
        <v>0</v>
      </c>
      <c r="AN120" s="78">
        <v>0</v>
      </c>
      <c r="AO120" s="76" t="s">
        <v>88</v>
      </c>
      <c r="AP120" s="76" t="s">
        <v>176</v>
      </c>
      <c r="AQ120" s="77">
        <v>0</v>
      </c>
      <c r="AR120" s="10" t="s">
        <v>80</v>
      </c>
      <c r="AS120" s="77">
        <v>0</v>
      </c>
      <c r="AT120" s="77">
        <v>0</v>
      </c>
      <c r="AU120" s="77">
        <v>0</v>
      </c>
      <c r="AV120" s="78">
        <v>0</v>
      </c>
    </row>
    <row r="121" spans="1:55" ht="14.25" customHeight="1" x14ac:dyDescent="0.3">
      <c r="A121" s="76" t="s">
        <v>144</v>
      </c>
      <c r="B121" s="76" t="s">
        <v>177</v>
      </c>
      <c r="C121" s="77">
        <v>0</v>
      </c>
      <c r="D121" s="10" t="s">
        <v>80</v>
      </c>
      <c r="E121" s="77">
        <v>0</v>
      </c>
      <c r="F121" s="77">
        <v>0</v>
      </c>
      <c r="G121" s="77">
        <v>0</v>
      </c>
      <c r="H121" s="77">
        <v>0</v>
      </c>
      <c r="I121" s="76" t="s">
        <v>146</v>
      </c>
      <c r="J121" s="76" t="s">
        <v>177</v>
      </c>
      <c r="K121" s="77">
        <v>0</v>
      </c>
      <c r="L121" s="10" t="s">
        <v>80</v>
      </c>
      <c r="M121" s="77">
        <v>0</v>
      </c>
      <c r="N121" s="77">
        <v>0</v>
      </c>
      <c r="O121" s="77">
        <v>0</v>
      </c>
      <c r="P121" s="77">
        <v>0</v>
      </c>
      <c r="Q121" s="76" t="s">
        <v>87</v>
      </c>
      <c r="R121" s="76" t="s">
        <v>177</v>
      </c>
      <c r="S121" s="77">
        <v>0</v>
      </c>
      <c r="T121" s="10" t="s">
        <v>80</v>
      </c>
      <c r="U121" s="77">
        <v>0</v>
      </c>
      <c r="V121" s="77">
        <v>0</v>
      </c>
      <c r="W121" s="77">
        <v>0</v>
      </c>
      <c r="X121" s="78">
        <v>0</v>
      </c>
      <c r="Y121" s="76" t="s">
        <v>85</v>
      </c>
      <c r="Z121" s="76" t="s">
        <v>177</v>
      </c>
      <c r="AA121" s="77">
        <v>0</v>
      </c>
      <c r="AB121" s="10" t="s">
        <v>80</v>
      </c>
      <c r="AC121" s="77">
        <v>0</v>
      </c>
      <c r="AD121" s="77">
        <v>0</v>
      </c>
      <c r="AE121" s="77">
        <v>0</v>
      </c>
      <c r="AF121" s="77">
        <v>0</v>
      </c>
      <c r="AG121" s="76" t="s">
        <v>86</v>
      </c>
      <c r="AH121" s="76" t="s">
        <v>177</v>
      </c>
      <c r="AI121" s="77">
        <v>1</v>
      </c>
      <c r="AJ121" s="77">
        <v>0</v>
      </c>
      <c r="AK121" s="77">
        <v>0</v>
      </c>
      <c r="AL121" s="77">
        <v>0</v>
      </c>
      <c r="AM121" s="77">
        <v>0</v>
      </c>
      <c r="AN121" s="78">
        <v>0</v>
      </c>
      <c r="AO121" s="76" t="s">
        <v>88</v>
      </c>
      <c r="AP121" s="76" t="s">
        <v>177</v>
      </c>
      <c r="AQ121" s="77">
        <v>0</v>
      </c>
      <c r="AR121" s="10" t="s">
        <v>80</v>
      </c>
      <c r="AS121" s="77">
        <v>0</v>
      </c>
      <c r="AT121" s="77">
        <v>0</v>
      </c>
      <c r="AU121" s="77">
        <v>0</v>
      </c>
      <c r="AV121" s="78">
        <v>0</v>
      </c>
    </row>
    <row r="122" spans="1:55" ht="14.25" customHeight="1" x14ac:dyDescent="0.3">
      <c r="A122" s="76" t="s">
        <v>144</v>
      </c>
      <c r="B122" s="110" t="s">
        <v>178</v>
      </c>
      <c r="C122" s="92">
        <v>0</v>
      </c>
      <c r="D122" s="91" t="s">
        <v>80</v>
      </c>
      <c r="E122" s="92">
        <v>0</v>
      </c>
      <c r="F122" s="92">
        <v>0</v>
      </c>
      <c r="G122" s="92">
        <v>0</v>
      </c>
      <c r="H122" s="92">
        <v>0</v>
      </c>
      <c r="I122" s="76" t="s">
        <v>146</v>
      </c>
      <c r="J122" s="110" t="s">
        <v>178</v>
      </c>
      <c r="K122" s="92">
        <v>0</v>
      </c>
      <c r="L122" s="91" t="s">
        <v>80</v>
      </c>
      <c r="M122" s="92">
        <v>0</v>
      </c>
      <c r="N122" s="92">
        <v>0</v>
      </c>
      <c r="O122" s="92">
        <v>0</v>
      </c>
      <c r="P122" s="92">
        <v>0</v>
      </c>
      <c r="Q122" s="76" t="s">
        <v>87</v>
      </c>
      <c r="R122" s="110" t="s">
        <v>178</v>
      </c>
      <c r="S122" s="92">
        <v>0</v>
      </c>
      <c r="T122" s="91" t="s">
        <v>80</v>
      </c>
      <c r="U122" s="92">
        <v>0</v>
      </c>
      <c r="V122" s="92">
        <v>0</v>
      </c>
      <c r="W122" s="92">
        <v>0</v>
      </c>
      <c r="X122" s="112">
        <v>0</v>
      </c>
      <c r="Y122" s="76" t="s">
        <v>85</v>
      </c>
      <c r="Z122" s="110" t="s">
        <v>178</v>
      </c>
      <c r="AA122" s="92">
        <v>0</v>
      </c>
      <c r="AB122" s="91" t="s">
        <v>80</v>
      </c>
      <c r="AC122" s="92">
        <v>0</v>
      </c>
      <c r="AD122" s="92">
        <v>0</v>
      </c>
      <c r="AE122" s="92">
        <v>0</v>
      </c>
      <c r="AF122" s="92">
        <v>0</v>
      </c>
      <c r="AG122" s="76" t="s">
        <v>86</v>
      </c>
      <c r="AH122" s="110" t="s">
        <v>178</v>
      </c>
      <c r="AI122" s="92">
        <v>0</v>
      </c>
      <c r="AJ122" s="91" t="s">
        <v>80</v>
      </c>
      <c r="AK122" s="92">
        <v>0</v>
      </c>
      <c r="AL122" s="92">
        <v>0</v>
      </c>
      <c r="AM122" s="92">
        <v>0</v>
      </c>
      <c r="AN122" s="112">
        <v>0</v>
      </c>
      <c r="AO122" s="76" t="s">
        <v>88</v>
      </c>
      <c r="AP122" s="110" t="s">
        <v>178</v>
      </c>
      <c r="AQ122" s="92">
        <v>0</v>
      </c>
      <c r="AR122" s="91" t="s">
        <v>80</v>
      </c>
      <c r="AS122" s="92">
        <v>0</v>
      </c>
      <c r="AT122" s="92">
        <v>0</v>
      </c>
      <c r="AU122" s="92">
        <v>0</v>
      </c>
      <c r="AV122" s="112">
        <v>0</v>
      </c>
    </row>
    <row r="123" spans="1:55" ht="14.25" customHeight="1" x14ac:dyDescent="0.3">
      <c r="A123" s="76" t="s">
        <v>144</v>
      </c>
      <c r="B123" s="76" t="s">
        <v>179</v>
      </c>
      <c r="C123" s="77">
        <v>0</v>
      </c>
      <c r="D123" s="10" t="s">
        <v>80</v>
      </c>
      <c r="E123" s="77">
        <v>0</v>
      </c>
      <c r="F123" s="77">
        <v>0</v>
      </c>
      <c r="G123" s="77">
        <v>0</v>
      </c>
      <c r="H123" s="77">
        <v>0</v>
      </c>
      <c r="I123" s="76" t="s">
        <v>146</v>
      </c>
      <c r="J123" s="76" t="s">
        <v>179</v>
      </c>
      <c r="K123" s="77">
        <v>0</v>
      </c>
      <c r="L123" s="10" t="s">
        <v>80</v>
      </c>
      <c r="M123" s="77">
        <v>0</v>
      </c>
      <c r="N123" s="77">
        <v>0</v>
      </c>
      <c r="O123" s="77">
        <v>0</v>
      </c>
      <c r="P123" s="77">
        <v>0</v>
      </c>
      <c r="Q123" s="76" t="s">
        <v>87</v>
      </c>
      <c r="R123" s="76" t="s">
        <v>179</v>
      </c>
      <c r="S123" s="77">
        <v>0</v>
      </c>
      <c r="T123" s="10" t="s">
        <v>80</v>
      </c>
      <c r="U123" s="77">
        <v>0</v>
      </c>
      <c r="V123" s="77">
        <v>0</v>
      </c>
      <c r="W123" s="77">
        <v>0</v>
      </c>
      <c r="X123" s="78">
        <v>0</v>
      </c>
      <c r="Y123" s="76" t="s">
        <v>85</v>
      </c>
      <c r="Z123" s="76" t="s">
        <v>179</v>
      </c>
      <c r="AA123" s="77">
        <v>0</v>
      </c>
      <c r="AB123" s="10" t="s">
        <v>80</v>
      </c>
      <c r="AC123" s="77">
        <v>0</v>
      </c>
      <c r="AD123" s="77">
        <v>0</v>
      </c>
      <c r="AE123" s="77">
        <v>0</v>
      </c>
      <c r="AF123" s="77">
        <v>0</v>
      </c>
      <c r="AG123" s="76" t="s">
        <v>86</v>
      </c>
      <c r="AH123" s="76" t="s">
        <v>179</v>
      </c>
      <c r="AI123" s="77">
        <v>0</v>
      </c>
      <c r="AJ123" s="10" t="s">
        <v>80</v>
      </c>
      <c r="AK123" s="77">
        <v>0</v>
      </c>
      <c r="AL123" s="77">
        <v>0</v>
      </c>
      <c r="AM123" s="77">
        <v>0</v>
      </c>
      <c r="AN123" s="78">
        <v>0</v>
      </c>
      <c r="AO123" s="76" t="s">
        <v>88</v>
      </c>
      <c r="AP123" s="76" t="s">
        <v>179</v>
      </c>
      <c r="AQ123" s="77">
        <v>0</v>
      </c>
      <c r="AR123" s="10" t="s">
        <v>80</v>
      </c>
      <c r="AS123" s="77">
        <v>0</v>
      </c>
      <c r="AT123" s="77">
        <v>0</v>
      </c>
      <c r="AU123" s="77">
        <v>0</v>
      </c>
      <c r="AV123" s="78">
        <v>0</v>
      </c>
    </row>
    <row r="124" spans="1:55" ht="14.25" customHeight="1" x14ac:dyDescent="0.3">
      <c r="A124" s="76" t="s">
        <v>144</v>
      </c>
      <c r="B124" s="76" t="s">
        <v>180</v>
      </c>
      <c r="C124" s="77">
        <v>0</v>
      </c>
      <c r="D124" s="10" t="s">
        <v>80</v>
      </c>
      <c r="E124" s="77">
        <v>0</v>
      </c>
      <c r="F124" s="77">
        <v>0</v>
      </c>
      <c r="G124" s="77">
        <v>0</v>
      </c>
      <c r="H124" s="77">
        <v>0</v>
      </c>
      <c r="I124" s="76" t="s">
        <v>146</v>
      </c>
      <c r="J124" s="76" t="s">
        <v>180</v>
      </c>
      <c r="K124" s="77">
        <v>0</v>
      </c>
      <c r="L124" s="10" t="s">
        <v>80</v>
      </c>
      <c r="M124" s="77">
        <v>0</v>
      </c>
      <c r="N124" s="77">
        <v>0</v>
      </c>
      <c r="O124" s="77">
        <v>0</v>
      </c>
      <c r="P124" s="77">
        <v>0</v>
      </c>
      <c r="Q124" s="76" t="s">
        <v>87</v>
      </c>
      <c r="R124" s="76" t="s">
        <v>180</v>
      </c>
      <c r="S124" s="77">
        <v>0</v>
      </c>
      <c r="T124" s="10" t="s">
        <v>80</v>
      </c>
      <c r="U124" s="77">
        <v>0</v>
      </c>
      <c r="V124" s="77">
        <v>0</v>
      </c>
      <c r="W124" s="77">
        <v>0</v>
      </c>
      <c r="X124" s="78">
        <v>0</v>
      </c>
      <c r="Y124" s="76" t="s">
        <v>85</v>
      </c>
      <c r="Z124" s="76" t="s">
        <v>180</v>
      </c>
      <c r="AA124" s="77">
        <v>0</v>
      </c>
      <c r="AB124" s="10" t="s">
        <v>80</v>
      </c>
      <c r="AC124" s="77">
        <v>0</v>
      </c>
      <c r="AD124" s="77">
        <v>0</v>
      </c>
      <c r="AE124" s="77">
        <v>0</v>
      </c>
      <c r="AF124" s="77">
        <v>0</v>
      </c>
      <c r="AG124" s="76" t="s">
        <v>86</v>
      </c>
      <c r="AH124" s="76" t="s">
        <v>180</v>
      </c>
      <c r="AI124" s="77">
        <v>0</v>
      </c>
      <c r="AJ124" s="10" t="s">
        <v>80</v>
      </c>
      <c r="AK124" s="77">
        <v>0</v>
      </c>
      <c r="AL124" s="77">
        <v>0</v>
      </c>
      <c r="AM124" s="77">
        <v>0</v>
      </c>
      <c r="AN124" s="78">
        <v>0</v>
      </c>
      <c r="AO124" s="76" t="s">
        <v>88</v>
      </c>
      <c r="AP124" s="76" t="s">
        <v>180</v>
      </c>
      <c r="AQ124" s="77">
        <v>0</v>
      </c>
      <c r="AR124" s="10" t="s">
        <v>80</v>
      </c>
      <c r="AS124" s="77">
        <v>0</v>
      </c>
      <c r="AT124" s="77">
        <v>0</v>
      </c>
      <c r="AU124" s="77">
        <v>0</v>
      </c>
      <c r="AV124" s="78">
        <v>0</v>
      </c>
    </row>
    <row r="125" spans="1:55" ht="14.25" customHeight="1" x14ac:dyDescent="0.3">
      <c r="A125" s="76" t="s">
        <v>144</v>
      </c>
      <c r="B125" s="81" t="s">
        <v>181</v>
      </c>
      <c r="C125" s="83">
        <v>0</v>
      </c>
      <c r="D125" s="82" t="s">
        <v>80</v>
      </c>
      <c r="E125" s="83">
        <v>0</v>
      </c>
      <c r="F125" s="83">
        <v>0</v>
      </c>
      <c r="G125" s="83">
        <v>0</v>
      </c>
      <c r="H125" s="83">
        <v>0</v>
      </c>
      <c r="I125" s="76" t="s">
        <v>146</v>
      </c>
      <c r="J125" s="81" t="s">
        <v>181</v>
      </c>
      <c r="K125" s="83">
        <v>0</v>
      </c>
      <c r="L125" s="82" t="s">
        <v>80</v>
      </c>
      <c r="M125" s="83">
        <v>0</v>
      </c>
      <c r="N125" s="83">
        <v>0</v>
      </c>
      <c r="O125" s="83">
        <v>0</v>
      </c>
      <c r="P125" s="83">
        <v>0</v>
      </c>
      <c r="Q125" s="76" t="s">
        <v>87</v>
      </c>
      <c r="R125" s="81" t="s">
        <v>181</v>
      </c>
      <c r="S125" s="83">
        <v>0</v>
      </c>
      <c r="T125" s="82" t="s">
        <v>80</v>
      </c>
      <c r="U125" s="83">
        <v>0</v>
      </c>
      <c r="V125" s="83">
        <v>0</v>
      </c>
      <c r="W125" s="83">
        <v>0</v>
      </c>
      <c r="X125" s="114">
        <v>0</v>
      </c>
      <c r="Y125" s="76" t="s">
        <v>85</v>
      </c>
      <c r="Z125" s="81" t="s">
        <v>181</v>
      </c>
      <c r="AA125" s="83">
        <v>0</v>
      </c>
      <c r="AB125" s="82" t="s">
        <v>80</v>
      </c>
      <c r="AC125" s="83">
        <v>0</v>
      </c>
      <c r="AD125" s="83">
        <v>0</v>
      </c>
      <c r="AE125" s="83">
        <v>0</v>
      </c>
      <c r="AF125" s="83">
        <v>0</v>
      </c>
      <c r="AG125" s="76" t="s">
        <v>86</v>
      </c>
      <c r="AH125" s="81" t="s">
        <v>181</v>
      </c>
      <c r="AI125" s="83">
        <v>0</v>
      </c>
      <c r="AJ125" s="82" t="s">
        <v>80</v>
      </c>
      <c r="AK125" s="83">
        <v>0</v>
      </c>
      <c r="AL125" s="83">
        <v>0</v>
      </c>
      <c r="AM125" s="83">
        <v>0</v>
      </c>
      <c r="AN125" s="114">
        <v>0</v>
      </c>
      <c r="AO125" s="76" t="s">
        <v>88</v>
      </c>
      <c r="AP125" s="81" t="s">
        <v>181</v>
      </c>
      <c r="AQ125" s="83">
        <v>0</v>
      </c>
      <c r="AR125" s="82" t="s">
        <v>80</v>
      </c>
      <c r="AS125" s="83">
        <v>0</v>
      </c>
      <c r="AT125" s="83">
        <v>0</v>
      </c>
      <c r="AU125" s="83">
        <v>0</v>
      </c>
      <c r="AV125" s="114">
        <v>0</v>
      </c>
    </row>
    <row r="127" spans="1:55" ht="14.25" customHeight="1" x14ac:dyDescent="0.3">
      <c r="A127" s="155" t="s">
        <v>182</v>
      </c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</row>
    <row r="128" spans="1:55" ht="14.25" customHeight="1" x14ac:dyDescent="0.3">
      <c r="A128" s="116">
        <f t="shared" ref="A128:F137" si="0">A147</f>
        <v>0</v>
      </c>
      <c r="B128" s="116" t="str">
        <f t="shared" si="0"/>
        <v>SQ #</v>
      </c>
      <c r="C128" s="116" t="str">
        <f t="shared" si="0"/>
        <v>SQ +</v>
      </c>
      <c r="D128" s="116" t="str">
        <f t="shared" si="0"/>
        <v>SQ /</v>
      </c>
      <c r="E128" s="116" t="str">
        <f t="shared" si="0"/>
        <v>SQ =</v>
      </c>
      <c r="F128" s="116" t="str">
        <f t="shared" si="0"/>
        <v>SQ TOT</v>
      </c>
      <c r="G128" s="116" t="s">
        <v>183</v>
      </c>
      <c r="H128" s="116" t="str">
        <f t="shared" ref="H128:L137" si="1">G147</f>
        <v>REC #</v>
      </c>
      <c r="I128" s="116" t="str">
        <f t="shared" si="1"/>
        <v>REC +</v>
      </c>
      <c r="J128" s="116" t="str">
        <f t="shared" si="1"/>
        <v>REC /</v>
      </c>
      <c r="K128" s="116" t="str">
        <f t="shared" si="1"/>
        <v>REC =</v>
      </c>
      <c r="L128" s="116" t="str">
        <f t="shared" si="1"/>
        <v>REC TOT</v>
      </c>
      <c r="M128" s="116" t="s">
        <v>184</v>
      </c>
      <c r="N128" s="116" t="str">
        <f t="shared" ref="N128:N144" si="2">L147</f>
        <v>BLQ #</v>
      </c>
      <c r="O128" s="116" t="str">
        <f t="shared" ref="O128:O144" si="3">M147</f>
        <v>BLQ +</v>
      </c>
      <c r="P128" s="116" t="s">
        <v>185</v>
      </c>
      <c r="Q128" s="116" t="str">
        <f t="shared" ref="Q128:Q144" si="4">N147</f>
        <v>BLQ =</v>
      </c>
      <c r="R128" s="116" t="str">
        <f t="shared" ref="R128:R144" si="5">O147</f>
        <v>BLQ /</v>
      </c>
      <c r="S128" s="116" t="str">
        <f t="shared" ref="S128:S144" si="6">P147</f>
        <v>BLQ TOT</v>
      </c>
      <c r="T128" s="116" t="s">
        <v>186</v>
      </c>
      <c r="U128" s="116" t="str">
        <f t="shared" ref="U128:U144" si="7">Q147</f>
        <v>ATQ Q #</v>
      </c>
      <c r="V128" s="116" t="str">
        <f t="shared" ref="V128:V144" si="8">R147</f>
        <v>ATQ Q /</v>
      </c>
      <c r="W128" s="116" t="str">
        <f t="shared" ref="W128:W144" si="9">S147</f>
        <v>ATQ Q =</v>
      </c>
      <c r="X128" s="116" t="str">
        <f t="shared" ref="X128:X144" si="10">T147</f>
        <v>ATQ Q TOT</v>
      </c>
      <c r="Y128" s="116" t="s">
        <v>187</v>
      </c>
      <c r="Z128" s="116" t="str">
        <f t="shared" ref="Z128:Z144" si="11">U147</f>
        <v>ATQ V #</v>
      </c>
      <c r="AA128" s="116" t="str">
        <f t="shared" ref="AA128:AA144" si="12">V147</f>
        <v>ATQ V /</v>
      </c>
      <c r="AB128" s="116" t="str">
        <f t="shared" ref="AB128:AB144" si="13">W147</f>
        <v>ATQ V =</v>
      </c>
      <c r="AC128" s="116" t="str">
        <f t="shared" ref="AC128:AC144" si="14">X147</f>
        <v>ATQ V TOT</v>
      </c>
      <c r="AD128" s="116" t="s">
        <v>188</v>
      </c>
      <c r="AE128" s="116" t="str">
        <f t="shared" ref="AE128:AE144" si="15">Y147</f>
        <v>ATQ X #</v>
      </c>
      <c r="AF128" s="116" t="str">
        <f t="shared" ref="AF128:AF144" si="16">Z147</f>
        <v>ATQ X /</v>
      </c>
      <c r="AG128" s="116" t="str">
        <f t="shared" ref="AG128:AG144" si="17">AA147</f>
        <v>ATQ X =</v>
      </c>
      <c r="AH128" s="116" t="str">
        <f t="shared" ref="AH128:AH144" si="18">AB147</f>
        <v>ATQ X TOT</v>
      </c>
      <c r="AI128" s="116" t="s">
        <v>189</v>
      </c>
      <c r="AJ128" s="116" t="str">
        <f t="shared" ref="AJ128:AJ144" si="19">AC147</f>
        <v>ATQ R# #</v>
      </c>
      <c r="AK128" s="116" t="str">
        <f t="shared" ref="AK128:AK144" si="20">AD147</f>
        <v>ATQ R# /</v>
      </c>
      <c r="AL128" s="116" t="str">
        <f t="shared" ref="AL128:AL144" si="21">AE147</f>
        <v>ATQ R# =</v>
      </c>
      <c r="AM128" s="116" t="str">
        <f t="shared" ref="AM128:AM144" si="22">AF147</f>
        <v>ATQ R# TOT</v>
      </c>
      <c r="AN128" s="116" t="s">
        <v>190</v>
      </c>
      <c r="AO128" s="116" t="str">
        <f t="shared" ref="AO128:AO144" si="23">AG147</f>
        <v>ATQ R! #</v>
      </c>
      <c r="AP128" s="116" t="str">
        <f t="shared" ref="AP128:AP144" si="24">AH147</f>
        <v>ATQ R! /</v>
      </c>
      <c r="AQ128" s="116" t="str">
        <f t="shared" ref="AQ128:AQ144" si="25">AI147</f>
        <v>ATQ R! =</v>
      </c>
      <c r="AR128" s="116" t="str">
        <f t="shared" ref="AR128:AR144" si="26">AJ147</f>
        <v>ATQ R! TOT</v>
      </c>
      <c r="AS128" s="116" t="s">
        <v>191</v>
      </c>
      <c r="AT128" s="116" t="str">
        <f t="shared" ref="AT128:AT144" si="27">AK147</f>
        <v>ATQ R- #</v>
      </c>
      <c r="AU128" s="116" t="str">
        <f t="shared" ref="AU128:AU144" si="28">AL147</f>
        <v>ATQ R- /</v>
      </c>
      <c r="AV128" s="116" t="str">
        <f t="shared" ref="AV128:AV144" si="29">AM147</f>
        <v>ATQ R- =</v>
      </c>
      <c r="AW128" s="116" t="str">
        <f t="shared" ref="AW128:AW144" si="30">AN147</f>
        <v>ATQ R- TOT</v>
      </c>
      <c r="AX128" s="116" t="s">
        <v>192</v>
      </c>
      <c r="AY128" s="116" t="str">
        <f t="shared" ref="AY128:AY144" si="31">AO147</f>
        <v>ATQ TR #</v>
      </c>
      <c r="AZ128" s="116" t="str">
        <f t="shared" ref="AZ128:AZ144" si="32">AP147</f>
        <v>ATQ TR /</v>
      </c>
      <c r="BA128" s="116" t="str">
        <f t="shared" ref="BA128:BA144" si="33">AQ147</f>
        <v>ATQ TR =</v>
      </c>
      <c r="BB128" s="116" t="str">
        <f t="shared" ref="BB128:BB144" si="34">AR147</f>
        <v>ATQ TR TOT</v>
      </c>
      <c r="BC128" s="116" t="s">
        <v>193</v>
      </c>
    </row>
    <row r="129" spans="1:55" ht="14.25" customHeight="1" x14ac:dyDescent="0.3">
      <c r="A129" s="116" t="str">
        <f t="shared" si="0"/>
        <v>Club Atlético San L</v>
      </c>
      <c r="B129" s="117">
        <f t="shared" si="0"/>
        <v>3</v>
      </c>
      <c r="C129" s="117">
        <f t="shared" si="0"/>
        <v>13</v>
      </c>
      <c r="D129" s="117">
        <f t="shared" si="0"/>
        <v>1</v>
      </c>
      <c r="E129" s="117">
        <f t="shared" si="0"/>
        <v>11</v>
      </c>
      <c r="F129" s="117">
        <f t="shared" si="0"/>
        <v>88</v>
      </c>
      <c r="G129" s="118">
        <f t="shared" ref="G129:G144" si="35">IFERROR((1*B129+0.5*D129+0.25*C129-1*E129)/F129,"")</f>
        <v>-4.8295454545454544E-2</v>
      </c>
      <c r="H129" s="117">
        <f t="shared" si="1"/>
        <v>29</v>
      </c>
      <c r="I129" s="117">
        <f t="shared" si="1"/>
        <v>28</v>
      </c>
      <c r="J129" s="117">
        <f t="shared" si="1"/>
        <v>4</v>
      </c>
      <c r="K129" s="117">
        <f t="shared" si="1"/>
        <v>6</v>
      </c>
      <c r="L129" s="117">
        <f t="shared" si="1"/>
        <v>81</v>
      </c>
      <c r="M129" s="118">
        <f t="shared" ref="M129:M144" si="36">IFERROR(((1*H129+0.5*I129-0.5*J129-1*K129)/L129),"")</f>
        <v>0.43209876543209874</v>
      </c>
      <c r="N129" s="117">
        <f t="shared" si="2"/>
        <v>18</v>
      </c>
      <c r="O129" s="117">
        <f t="shared" si="3"/>
        <v>5</v>
      </c>
      <c r="P129" s="118">
        <f t="shared" ref="P129:P144" si="37">IFERROR((N129+O129)/S129,"")</f>
        <v>0.38333333333333336</v>
      </c>
      <c r="Q129" s="117">
        <f t="shared" si="4"/>
        <v>18</v>
      </c>
      <c r="R129" s="117">
        <f t="shared" si="5"/>
        <v>2</v>
      </c>
      <c r="S129" s="117">
        <f t="shared" si="6"/>
        <v>60</v>
      </c>
      <c r="T129" s="118">
        <f t="shared" ref="T129:T144" si="38">IFERROR((N129)/S129,"")</f>
        <v>0.3</v>
      </c>
      <c r="U129" s="117">
        <f t="shared" si="7"/>
        <v>15</v>
      </c>
      <c r="V129" s="117">
        <f t="shared" si="8"/>
        <v>3</v>
      </c>
      <c r="W129" s="117">
        <f t="shared" si="9"/>
        <v>2</v>
      </c>
      <c r="X129" s="117">
        <f t="shared" si="10"/>
        <v>28</v>
      </c>
      <c r="Y129" s="118">
        <f t="shared" ref="Y129:Y144" si="39">IFERROR((U129-V129-W129)/X129,"")</f>
        <v>0.35714285714285715</v>
      </c>
      <c r="Z129" s="117">
        <f t="shared" si="11"/>
        <v>9</v>
      </c>
      <c r="AA129" s="117">
        <f t="shared" si="12"/>
        <v>6</v>
      </c>
      <c r="AB129" s="117">
        <f t="shared" si="13"/>
        <v>3</v>
      </c>
      <c r="AC129" s="117">
        <f t="shared" si="14"/>
        <v>28</v>
      </c>
      <c r="AD129" s="118">
        <f t="shared" ref="AD129:AD144" si="40">IFERROR(((Z129-AA129-AB129)/AC129),"")</f>
        <v>0</v>
      </c>
      <c r="AE129" s="117">
        <f t="shared" si="15"/>
        <v>17</v>
      </c>
      <c r="AF129" s="117">
        <f t="shared" si="16"/>
        <v>3</v>
      </c>
      <c r="AG129" s="117">
        <f t="shared" si="17"/>
        <v>6</v>
      </c>
      <c r="AH129" s="117">
        <f t="shared" si="18"/>
        <v>54</v>
      </c>
      <c r="AI129" s="118">
        <f t="shared" ref="AI129:AI144" si="41">IFERROR(((AE129-AF129-AG129)/AH129),"")</f>
        <v>0.14814814814814814</v>
      </c>
      <c r="AJ129" s="117">
        <f t="shared" si="19"/>
        <v>22</v>
      </c>
      <c r="AK129" s="117">
        <f t="shared" si="20"/>
        <v>2</v>
      </c>
      <c r="AL129" s="117">
        <f t="shared" si="21"/>
        <v>8</v>
      </c>
      <c r="AM129" s="117">
        <f t="shared" si="22"/>
        <v>57</v>
      </c>
      <c r="AN129" s="118">
        <f t="shared" ref="AN129:AN144" si="42">IFERROR((AJ129-AK129-AL129)/AM129,"")</f>
        <v>0.21052631578947367</v>
      </c>
      <c r="AO129" s="117">
        <f t="shared" si="23"/>
        <v>3</v>
      </c>
      <c r="AP129" s="117">
        <f t="shared" si="24"/>
        <v>3</v>
      </c>
      <c r="AQ129" s="117">
        <f t="shared" si="25"/>
        <v>0</v>
      </c>
      <c r="AR129" s="117">
        <f t="shared" si="26"/>
        <v>8</v>
      </c>
      <c r="AS129" s="118">
        <f t="shared" ref="AS129:AS144" si="43">IFERROR((AO129-AP129-AQ129)/AR129,"")</f>
        <v>0</v>
      </c>
      <c r="AT129" s="117">
        <f t="shared" si="27"/>
        <v>0</v>
      </c>
      <c r="AU129" s="117">
        <f t="shared" si="28"/>
        <v>3</v>
      </c>
      <c r="AV129" s="117">
        <f t="shared" si="29"/>
        <v>0</v>
      </c>
      <c r="AW129" s="117">
        <f t="shared" si="30"/>
        <v>6</v>
      </c>
      <c r="AX129" s="118">
        <f t="shared" ref="AX129:AX144" si="44">IFERROR((AT129-AU129-AV129)/AW129,"")</f>
        <v>-0.5</v>
      </c>
      <c r="AY129" s="117">
        <f t="shared" si="31"/>
        <v>20</v>
      </c>
      <c r="AZ129" s="117">
        <f t="shared" si="32"/>
        <v>5</v>
      </c>
      <c r="BA129" s="117">
        <f t="shared" si="33"/>
        <v>5</v>
      </c>
      <c r="BB129" s="117">
        <f t="shared" si="34"/>
        <v>49</v>
      </c>
      <c r="BC129" s="118">
        <f t="shared" ref="BC129:BC144" si="45">IFERROR((AY129-AZ129-BA129)/BB129,"")</f>
        <v>0.20408163265306123</v>
      </c>
    </row>
    <row r="130" spans="1:55" ht="14.25" customHeight="1" x14ac:dyDescent="0.3">
      <c r="A130" s="116" t="str">
        <f t="shared" si="0"/>
        <v>2 Ojuez A.</v>
      </c>
      <c r="B130" s="119">
        <f t="shared" si="0"/>
        <v>0</v>
      </c>
      <c r="C130" s="119">
        <f t="shared" si="0"/>
        <v>0</v>
      </c>
      <c r="D130" s="119">
        <f t="shared" si="0"/>
        <v>0</v>
      </c>
      <c r="E130" s="119">
        <f t="shared" si="0"/>
        <v>1</v>
      </c>
      <c r="F130" s="119">
        <f t="shared" si="0"/>
        <v>3</v>
      </c>
      <c r="G130" s="120">
        <f t="shared" si="35"/>
        <v>-0.33333333333333331</v>
      </c>
      <c r="H130" s="121">
        <f t="shared" si="1"/>
        <v>1</v>
      </c>
      <c r="I130" s="121">
        <f t="shared" si="1"/>
        <v>0</v>
      </c>
      <c r="J130" s="121">
        <f t="shared" si="1"/>
        <v>0</v>
      </c>
      <c r="K130" s="121">
        <f t="shared" si="1"/>
        <v>0</v>
      </c>
      <c r="L130" s="121">
        <f t="shared" si="1"/>
        <v>1</v>
      </c>
      <c r="M130" s="120">
        <f t="shared" si="36"/>
        <v>1</v>
      </c>
      <c r="N130" s="121">
        <f t="shared" si="2"/>
        <v>5</v>
      </c>
      <c r="O130" s="121">
        <f t="shared" si="3"/>
        <v>0</v>
      </c>
      <c r="P130" s="120">
        <f t="shared" si="37"/>
        <v>1</v>
      </c>
      <c r="Q130" s="121">
        <f t="shared" si="4"/>
        <v>0</v>
      </c>
      <c r="R130" s="121">
        <f t="shared" si="5"/>
        <v>0</v>
      </c>
      <c r="S130" s="121">
        <f t="shared" si="6"/>
        <v>5</v>
      </c>
      <c r="T130" s="120">
        <f t="shared" si="38"/>
        <v>1</v>
      </c>
      <c r="U130" s="121">
        <f t="shared" si="7"/>
        <v>4</v>
      </c>
      <c r="V130" s="121">
        <f t="shared" si="8"/>
        <v>0</v>
      </c>
      <c r="W130" s="121">
        <f t="shared" si="9"/>
        <v>0</v>
      </c>
      <c r="X130" s="121">
        <f t="shared" si="10"/>
        <v>5</v>
      </c>
      <c r="Y130" s="120">
        <f t="shared" si="39"/>
        <v>0.8</v>
      </c>
      <c r="Z130" s="121">
        <f t="shared" si="11"/>
        <v>0</v>
      </c>
      <c r="AA130" s="121">
        <f t="shared" si="12"/>
        <v>0</v>
      </c>
      <c r="AB130" s="121">
        <f t="shared" si="13"/>
        <v>0</v>
      </c>
      <c r="AC130" s="121">
        <f t="shared" si="14"/>
        <v>0</v>
      </c>
      <c r="AD130" s="120" t="str">
        <f t="shared" si="40"/>
        <v/>
      </c>
      <c r="AE130" s="121">
        <f t="shared" si="15"/>
        <v>0</v>
      </c>
      <c r="AF130" s="121">
        <f t="shared" si="16"/>
        <v>0</v>
      </c>
      <c r="AG130" s="121">
        <f t="shared" si="17"/>
        <v>0</v>
      </c>
      <c r="AH130" s="121">
        <f t="shared" si="18"/>
        <v>0</v>
      </c>
      <c r="AI130" s="120" t="str">
        <f t="shared" si="41"/>
        <v/>
      </c>
      <c r="AJ130" s="121">
        <f t="shared" si="19"/>
        <v>4</v>
      </c>
      <c r="AK130" s="121">
        <f t="shared" si="20"/>
        <v>0</v>
      </c>
      <c r="AL130" s="121">
        <f t="shared" si="21"/>
        <v>0</v>
      </c>
      <c r="AM130" s="121">
        <f t="shared" si="22"/>
        <v>5</v>
      </c>
      <c r="AN130" s="120">
        <f t="shared" si="42"/>
        <v>0.8</v>
      </c>
      <c r="AO130" s="121">
        <f t="shared" si="23"/>
        <v>0</v>
      </c>
      <c r="AP130" s="121">
        <f t="shared" si="24"/>
        <v>0</v>
      </c>
      <c r="AQ130" s="121">
        <f t="shared" si="25"/>
        <v>0</v>
      </c>
      <c r="AR130" s="121">
        <f t="shared" si="26"/>
        <v>0</v>
      </c>
      <c r="AS130" s="120" t="str">
        <f t="shared" si="43"/>
        <v/>
      </c>
      <c r="AT130" s="121">
        <f t="shared" si="27"/>
        <v>0</v>
      </c>
      <c r="AU130" s="121">
        <f t="shared" si="28"/>
        <v>0</v>
      </c>
      <c r="AV130" s="121">
        <f t="shared" si="29"/>
        <v>0</v>
      </c>
      <c r="AW130" s="121">
        <f t="shared" si="30"/>
        <v>0</v>
      </c>
      <c r="AX130" s="120" t="str">
        <f t="shared" si="44"/>
        <v/>
      </c>
      <c r="AY130" s="121">
        <f t="shared" si="31"/>
        <v>0</v>
      </c>
      <c r="AZ130" s="121">
        <f t="shared" si="32"/>
        <v>0</v>
      </c>
      <c r="BA130" s="121">
        <f t="shared" si="33"/>
        <v>0</v>
      </c>
      <c r="BB130" s="121">
        <f t="shared" si="34"/>
        <v>0</v>
      </c>
      <c r="BC130" s="120" t="str">
        <f t="shared" si="45"/>
        <v/>
      </c>
    </row>
    <row r="131" spans="1:55" ht="14.25" customHeight="1" x14ac:dyDescent="0.3">
      <c r="A131" s="116" t="str">
        <f t="shared" si="0"/>
        <v>3 Romeo Winer A.</v>
      </c>
      <c r="B131" s="119">
        <f t="shared" si="0"/>
        <v>0</v>
      </c>
      <c r="C131" s="119">
        <f t="shared" si="0"/>
        <v>0</v>
      </c>
      <c r="D131" s="119">
        <f t="shared" si="0"/>
        <v>0</v>
      </c>
      <c r="E131" s="119">
        <f t="shared" si="0"/>
        <v>0</v>
      </c>
      <c r="F131" s="119">
        <f t="shared" si="0"/>
        <v>0</v>
      </c>
      <c r="G131" s="120" t="str">
        <f t="shared" si="35"/>
        <v/>
      </c>
      <c r="H131" s="121">
        <f t="shared" si="1"/>
        <v>0</v>
      </c>
      <c r="I131" s="121">
        <f t="shared" si="1"/>
        <v>0</v>
      </c>
      <c r="J131" s="121">
        <f t="shared" si="1"/>
        <v>0</v>
      </c>
      <c r="K131" s="121">
        <f t="shared" si="1"/>
        <v>0</v>
      </c>
      <c r="L131" s="121">
        <f t="shared" si="1"/>
        <v>0</v>
      </c>
      <c r="M131" s="120" t="str">
        <f t="shared" si="36"/>
        <v/>
      </c>
      <c r="N131" s="121">
        <f t="shared" si="2"/>
        <v>0</v>
      </c>
      <c r="O131" s="121">
        <f t="shared" si="3"/>
        <v>0</v>
      </c>
      <c r="P131" s="120" t="str">
        <f t="shared" si="37"/>
        <v/>
      </c>
      <c r="Q131" s="121">
        <f t="shared" si="4"/>
        <v>0</v>
      </c>
      <c r="R131" s="121">
        <f t="shared" si="5"/>
        <v>0</v>
      </c>
      <c r="S131" s="121">
        <f t="shared" si="6"/>
        <v>0</v>
      </c>
      <c r="T131" s="120" t="str">
        <f t="shared" si="38"/>
        <v/>
      </c>
      <c r="U131" s="121">
        <f t="shared" si="7"/>
        <v>0</v>
      </c>
      <c r="V131" s="121">
        <f t="shared" si="8"/>
        <v>0</v>
      </c>
      <c r="W131" s="121">
        <f t="shared" si="9"/>
        <v>0</v>
      </c>
      <c r="X131" s="121">
        <f t="shared" si="10"/>
        <v>0</v>
      </c>
      <c r="Y131" s="120" t="str">
        <f t="shared" si="39"/>
        <v/>
      </c>
      <c r="Z131" s="121">
        <f t="shared" si="11"/>
        <v>0</v>
      </c>
      <c r="AA131" s="121">
        <f t="shared" si="12"/>
        <v>0</v>
      </c>
      <c r="AB131" s="121">
        <f t="shared" si="13"/>
        <v>0</v>
      </c>
      <c r="AC131" s="121">
        <f t="shared" si="14"/>
        <v>0</v>
      </c>
      <c r="AD131" s="120" t="str">
        <f t="shared" si="40"/>
        <v/>
      </c>
      <c r="AE131" s="121">
        <f t="shared" si="15"/>
        <v>0</v>
      </c>
      <c r="AF131" s="121">
        <f t="shared" si="16"/>
        <v>0</v>
      </c>
      <c r="AG131" s="121">
        <f t="shared" si="17"/>
        <v>0</v>
      </c>
      <c r="AH131" s="121">
        <f t="shared" si="18"/>
        <v>0</v>
      </c>
      <c r="AI131" s="120" t="str">
        <f t="shared" si="41"/>
        <v/>
      </c>
      <c r="AJ131" s="121">
        <f t="shared" si="19"/>
        <v>0</v>
      </c>
      <c r="AK131" s="121">
        <f t="shared" si="20"/>
        <v>0</v>
      </c>
      <c r="AL131" s="121">
        <f t="shared" si="21"/>
        <v>0</v>
      </c>
      <c r="AM131" s="121">
        <f t="shared" si="22"/>
        <v>0</v>
      </c>
      <c r="AN131" s="120" t="str">
        <f t="shared" si="42"/>
        <v/>
      </c>
      <c r="AO131" s="121">
        <f t="shared" si="23"/>
        <v>0</v>
      </c>
      <c r="AP131" s="121">
        <f t="shared" si="24"/>
        <v>0</v>
      </c>
      <c r="AQ131" s="121">
        <f t="shared" si="25"/>
        <v>0</v>
      </c>
      <c r="AR131" s="121">
        <f t="shared" si="26"/>
        <v>0</v>
      </c>
      <c r="AS131" s="120" t="str">
        <f t="shared" si="43"/>
        <v/>
      </c>
      <c r="AT131" s="121">
        <f t="shared" si="27"/>
        <v>0</v>
      </c>
      <c r="AU131" s="121">
        <f t="shared" si="28"/>
        <v>0</v>
      </c>
      <c r="AV131" s="121">
        <f t="shared" si="29"/>
        <v>0</v>
      </c>
      <c r="AW131" s="121">
        <f t="shared" si="30"/>
        <v>0</v>
      </c>
      <c r="AX131" s="120" t="str">
        <f t="shared" si="44"/>
        <v/>
      </c>
      <c r="AY131" s="121">
        <f t="shared" si="31"/>
        <v>0</v>
      </c>
      <c r="AZ131" s="121">
        <f t="shared" si="32"/>
        <v>0</v>
      </c>
      <c r="BA131" s="121">
        <f t="shared" si="33"/>
        <v>0</v>
      </c>
      <c r="BB131" s="121">
        <f t="shared" si="34"/>
        <v>0</v>
      </c>
      <c r="BC131" s="120" t="str">
        <f t="shared" si="45"/>
        <v/>
      </c>
    </row>
    <row r="132" spans="1:55" ht="14.25" customHeight="1" x14ac:dyDescent="0.3">
      <c r="A132" s="116" t="str">
        <f t="shared" si="0"/>
        <v>4 Vazquez E.</v>
      </c>
      <c r="B132" s="119">
        <f t="shared" si="0"/>
        <v>0</v>
      </c>
      <c r="C132" s="119">
        <f t="shared" si="0"/>
        <v>0</v>
      </c>
      <c r="D132" s="119">
        <f t="shared" si="0"/>
        <v>0</v>
      </c>
      <c r="E132" s="119">
        <f t="shared" si="0"/>
        <v>0</v>
      </c>
      <c r="F132" s="119">
        <f t="shared" si="0"/>
        <v>6</v>
      </c>
      <c r="G132" s="120">
        <f t="shared" si="35"/>
        <v>0</v>
      </c>
      <c r="H132" s="121">
        <f t="shared" si="1"/>
        <v>0</v>
      </c>
      <c r="I132" s="121">
        <f t="shared" si="1"/>
        <v>0</v>
      </c>
      <c r="J132" s="121">
        <f t="shared" si="1"/>
        <v>0</v>
      </c>
      <c r="K132" s="121">
        <f t="shared" si="1"/>
        <v>0</v>
      </c>
      <c r="L132" s="121">
        <f t="shared" si="1"/>
        <v>0</v>
      </c>
      <c r="M132" s="120" t="str">
        <f t="shared" si="36"/>
        <v/>
      </c>
      <c r="N132" s="121">
        <f t="shared" si="2"/>
        <v>0</v>
      </c>
      <c r="O132" s="121">
        <f t="shared" si="3"/>
        <v>1</v>
      </c>
      <c r="P132" s="120">
        <f t="shared" si="37"/>
        <v>0.5</v>
      </c>
      <c r="Q132" s="121">
        <f t="shared" si="4"/>
        <v>0</v>
      </c>
      <c r="R132" s="121">
        <f t="shared" si="5"/>
        <v>1</v>
      </c>
      <c r="S132" s="121">
        <f t="shared" si="6"/>
        <v>2</v>
      </c>
      <c r="T132" s="120">
        <f t="shared" si="38"/>
        <v>0</v>
      </c>
      <c r="U132" s="121">
        <f t="shared" si="7"/>
        <v>0</v>
      </c>
      <c r="V132" s="121">
        <f t="shared" si="8"/>
        <v>0</v>
      </c>
      <c r="W132" s="121">
        <f t="shared" si="9"/>
        <v>0</v>
      </c>
      <c r="X132" s="121">
        <f t="shared" si="10"/>
        <v>0</v>
      </c>
      <c r="Y132" s="120" t="str">
        <f t="shared" si="39"/>
        <v/>
      </c>
      <c r="Z132" s="121">
        <f t="shared" si="11"/>
        <v>0</v>
      </c>
      <c r="AA132" s="121">
        <f t="shared" si="12"/>
        <v>0</v>
      </c>
      <c r="AB132" s="121">
        <f t="shared" si="13"/>
        <v>0</v>
      </c>
      <c r="AC132" s="121">
        <f t="shared" si="14"/>
        <v>0</v>
      </c>
      <c r="AD132" s="120" t="str">
        <f t="shared" si="40"/>
        <v/>
      </c>
      <c r="AE132" s="121">
        <f t="shared" si="15"/>
        <v>0</v>
      </c>
      <c r="AF132" s="121">
        <f t="shared" si="16"/>
        <v>0</v>
      </c>
      <c r="AG132" s="121">
        <f t="shared" si="17"/>
        <v>0</v>
      </c>
      <c r="AH132" s="121">
        <f t="shared" si="18"/>
        <v>0</v>
      </c>
      <c r="AI132" s="120" t="str">
        <f t="shared" si="41"/>
        <v/>
      </c>
      <c r="AJ132" s="121">
        <f t="shared" si="19"/>
        <v>0</v>
      </c>
      <c r="AK132" s="121">
        <f t="shared" si="20"/>
        <v>0</v>
      </c>
      <c r="AL132" s="121">
        <f t="shared" si="21"/>
        <v>0</v>
      </c>
      <c r="AM132" s="121">
        <f t="shared" si="22"/>
        <v>0</v>
      </c>
      <c r="AN132" s="120" t="str">
        <f t="shared" si="42"/>
        <v/>
      </c>
      <c r="AO132" s="121">
        <f t="shared" si="23"/>
        <v>0</v>
      </c>
      <c r="AP132" s="121">
        <f t="shared" si="24"/>
        <v>0</v>
      </c>
      <c r="AQ132" s="121">
        <f t="shared" si="25"/>
        <v>0</v>
      </c>
      <c r="AR132" s="121">
        <f t="shared" si="26"/>
        <v>0</v>
      </c>
      <c r="AS132" s="120" t="str">
        <f t="shared" si="43"/>
        <v/>
      </c>
      <c r="AT132" s="121">
        <f t="shared" si="27"/>
        <v>0</v>
      </c>
      <c r="AU132" s="121">
        <f t="shared" si="28"/>
        <v>0</v>
      </c>
      <c r="AV132" s="121">
        <f t="shared" si="29"/>
        <v>0</v>
      </c>
      <c r="AW132" s="121">
        <f t="shared" si="30"/>
        <v>0</v>
      </c>
      <c r="AX132" s="120" t="str">
        <f t="shared" si="44"/>
        <v/>
      </c>
      <c r="AY132" s="121">
        <f t="shared" si="31"/>
        <v>2</v>
      </c>
      <c r="AZ132" s="121">
        <f t="shared" si="32"/>
        <v>0</v>
      </c>
      <c r="BA132" s="121">
        <f t="shared" si="33"/>
        <v>0</v>
      </c>
      <c r="BB132" s="121">
        <f t="shared" si="34"/>
        <v>2</v>
      </c>
      <c r="BC132" s="120">
        <f t="shared" si="45"/>
        <v>1</v>
      </c>
    </row>
    <row r="133" spans="1:55" ht="14.25" customHeight="1" x14ac:dyDescent="0.3">
      <c r="A133" s="116" t="str">
        <f t="shared" si="0"/>
        <v>5 Ramos I.</v>
      </c>
      <c r="B133" s="119">
        <f t="shared" si="0"/>
        <v>1</v>
      </c>
      <c r="C133" s="119">
        <f t="shared" si="0"/>
        <v>1</v>
      </c>
      <c r="D133" s="119">
        <f t="shared" si="0"/>
        <v>0</v>
      </c>
      <c r="E133" s="119">
        <f t="shared" si="0"/>
        <v>5</v>
      </c>
      <c r="F133" s="119">
        <f t="shared" si="0"/>
        <v>10</v>
      </c>
      <c r="G133" s="120">
        <f t="shared" si="35"/>
        <v>-0.375</v>
      </c>
      <c r="H133" s="121">
        <f t="shared" si="1"/>
        <v>0</v>
      </c>
      <c r="I133" s="121">
        <f t="shared" si="1"/>
        <v>0</v>
      </c>
      <c r="J133" s="121">
        <f t="shared" si="1"/>
        <v>0</v>
      </c>
      <c r="K133" s="121">
        <f t="shared" si="1"/>
        <v>0</v>
      </c>
      <c r="L133" s="121">
        <f t="shared" si="1"/>
        <v>0</v>
      </c>
      <c r="M133" s="120" t="str">
        <f t="shared" si="36"/>
        <v/>
      </c>
      <c r="N133" s="121">
        <f t="shared" si="2"/>
        <v>0</v>
      </c>
      <c r="O133" s="121">
        <f t="shared" si="3"/>
        <v>1</v>
      </c>
      <c r="P133" s="120">
        <f t="shared" si="37"/>
        <v>0.125</v>
      </c>
      <c r="Q133" s="121">
        <f t="shared" si="4"/>
        <v>4</v>
      </c>
      <c r="R133" s="121">
        <f t="shared" si="5"/>
        <v>0</v>
      </c>
      <c r="S133" s="121">
        <f t="shared" si="6"/>
        <v>8</v>
      </c>
      <c r="T133" s="120">
        <f t="shared" si="38"/>
        <v>0</v>
      </c>
      <c r="U133" s="121">
        <f t="shared" si="7"/>
        <v>0</v>
      </c>
      <c r="V133" s="121">
        <f t="shared" si="8"/>
        <v>0</v>
      </c>
      <c r="W133" s="121">
        <f t="shared" si="9"/>
        <v>0</v>
      </c>
      <c r="X133" s="121">
        <f t="shared" si="10"/>
        <v>0</v>
      </c>
      <c r="Y133" s="120" t="str">
        <f t="shared" si="39"/>
        <v/>
      </c>
      <c r="Z133" s="121">
        <f t="shared" si="11"/>
        <v>2</v>
      </c>
      <c r="AA133" s="121">
        <f t="shared" si="12"/>
        <v>3</v>
      </c>
      <c r="AB133" s="121">
        <f t="shared" si="13"/>
        <v>2</v>
      </c>
      <c r="AC133" s="121">
        <f t="shared" si="14"/>
        <v>10</v>
      </c>
      <c r="AD133" s="120">
        <f t="shared" si="40"/>
        <v>-0.3</v>
      </c>
      <c r="AE133" s="121">
        <f t="shared" si="15"/>
        <v>5</v>
      </c>
      <c r="AF133" s="121">
        <f t="shared" si="16"/>
        <v>2</v>
      </c>
      <c r="AG133" s="121">
        <f t="shared" si="17"/>
        <v>2</v>
      </c>
      <c r="AH133" s="121">
        <f t="shared" si="18"/>
        <v>16</v>
      </c>
      <c r="AI133" s="120">
        <f t="shared" si="41"/>
        <v>6.25E-2</v>
      </c>
      <c r="AJ133" s="121">
        <f t="shared" si="19"/>
        <v>3</v>
      </c>
      <c r="AK133" s="121">
        <f t="shared" si="20"/>
        <v>1</v>
      </c>
      <c r="AL133" s="121">
        <f t="shared" si="21"/>
        <v>2</v>
      </c>
      <c r="AM133" s="121">
        <f t="shared" si="22"/>
        <v>11</v>
      </c>
      <c r="AN133" s="120">
        <f t="shared" si="42"/>
        <v>0</v>
      </c>
      <c r="AO133" s="121">
        <f t="shared" si="23"/>
        <v>0</v>
      </c>
      <c r="AP133" s="121">
        <f t="shared" si="24"/>
        <v>1</v>
      </c>
      <c r="AQ133" s="121">
        <f t="shared" si="25"/>
        <v>0</v>
      </c>
      <c r="AR133" s="121">
        <f t="shared" si="26"/>
        <v>2</v>
      </c>
      <c r="AS133" s="120">
        <f t="shared" si="43"/>
        <v>-0.5</v>
      </c>
      <c r="AT133" s="121">
        <f t="shared" si="27"/>
        <v>0</v>
      </c>
      <c r="AU133" s="121">
        <f t="shared" si="28"/>
        <v>1</v>
      </c>
      <c r="AV133" s="121">
        <f t="shared" si="29"/>
        <v>0</v>
      </c>
      <c r="AW133" s="121">
        <f t="shared" si="30"/>
        <v>2</v>
      </c>
      <c r="AX133" s="120">
        <f t="shared" si="44"/>
        <v>-0.5</v>
      </c>
      <c r="AY133" s="121">
        <f t="shared" si="31"/>
        <v>5</v>
      </c>
      <c r="AZ133" s="121">
        <f t="shared" si="32"/>
        <v>2</v>
      </c>
      <c r="BA133" s="121">
        <f t="shared" si="33"/>
        <v>2</v>
      </c>
      <c r="BB133" s="121">
        <f t="shared" si="34"/>
        <v>12</v>
      </c>
      <c r="BC133" s="120">
        <f t="shared" si="45"/>
        <v>8.3333333333333329E-2</v>
      </c>
    </row>
    <row r="134" spans="1:55" ht="14.25" customHeight="1" x14ac:dyDescent="0.3">
      <c r="A134" s="116" t="str">
        <f t="shared" si="0"/>
        <v>6 Villarruel J.</v>
      </c>
      <c r="B134" s="119">
        <f t="shared" si="0"/>
        <v>0</v>
      </c>
      <c r="C134" s="119">
        <f t="shared" si="0"/>
        <v>0</v>
      </c>
      <c r="D134" s="119">
        <f t="shared" si="0"/>
        <v>0</v>
      </c>
      <c r="E134" s="119">
        <f t="shared" si="0"/>
        <v>0</v>
      </c>
      <c r="F134" s="119">
        <f t="shared" si="0"/>
        <v>0</v>
      </c>
      <c r="G134" s="120" t="str">
        <f t="shared" si="35"/>
        <v/>
      </c>
      <c r="H134" s="121">
        <f t="shared" si="1"/>
        <v>0</v>
      </c>
      <c r="I134" s="121">
        <f t="shared" si="1"/>
        <v>0</v>
      </c>
      <c r="J134" s="121">
        <f t="shared" si="1"/>
        <v>0</v>
      </c>
      <c r="K134" s="121">
        <f t="shared" si="1"/>
        <v>0</v>
      </c>
      <c r="L134" s="121">
        <f t="shared" si="1"/>
        <v>0</v>
      </c>
      <c r="M134" s="120" t="str">
        <f t="shared" si="36"/>
        <v/>
      </c>
      <c r="N134" s="121">
        <f t="shared" si="2"/>
        <v>0</v>
      </c>
      <c r="O134" s="121">
        <f t="shared" si="3"/>
        <v>0</v>
      </c>
      <c r="P134" s="120" t="str">
        <f t="shared" si="37"/>
        <v/>
      </c>
      <c r="Q134" s="121">
        <f t="shared" si="4"/>
        <v>0</v>
      </c>
      <c r="R134" s="121">
        <f t="shared" si="5"/>
        <v>0</v>
      </c>
      <c r="S134" s="121">
        <f t="shared" si="6"/>
        <v>0</v>
      </c>
      <c r="T134" s="120" t="str">
        <f t="shared" si="38"/>
        <v/>
      </c>
      <c r="U134" s="121">
        <f t="shared" si="7"/>
        <v>0</v>
      </c>
      <c r="V134" s="121">
        <f t="shared" si="8"/>
        <v>0</v>
      </c>
      <c r="W134" s="121">
        <f t="shared" si="9"/>
        <v>0</v>
      </c>
      <c r="X134" s="121">
        <f t="shared" si="10"/>
        <v>0</v>
      </c>
      <c r="Y134" s="120" t="str">
        <f t="shared" si="39"/>
        <v/>
      </c>
      <c r="Z134" s="121">
        <f t="shared" si="11"/>
        <v>0</v>
      </c>
      <c r="AA134" s="121">
        <f t="shared" si="12"/>
        <v>0</v>
      </c>
      <c r="AB134" s="121">
        <f t="shared" si="13"/>
        <v>0</v>
      </c>
      <c r="AC134" s="121">
        <f t="shared" si="14"/>
        <v>0</v>
      </c>
      <c r="AD134" s="120" t="str">
        <f t="shared" si="40"/>
        <v/>
      </c>
      <c r="AE134" s="121">
        <f t="shared" si="15"/>
        <v>0</v>
      </c>
      <c r="AF134" s="121">
        <f t="shared" si="16"/>
        <v>0</v>
      </c>
      <c r="AG134" s="121">
        <f t="shared" si="17"/>
        <v>0</v>
      </c>
      <c r="AH134" s="121">
        <f t="shared" si="18"/>
        <v>0</v>
      </c>
      <c r="AI134" s="120" t="str">
        <f t="shared" si="41"/>
        <v/>
      </c>
      <c r="AJ134" s="121">
        <f t="shared" si="19"/>
        <v>0</v>
      </c>
      <c r="AK134" s="121">
        <f t="shared" si="20"/>
        <v>0</v>
      </c>
      <c r="AL134" s="121">
        <f t="shared" si="21"/>
        <v>0</v>
      </c>
      <c r="AM134" s="121">
        <f t="shared" si="22"/>
        <v>0</v>
      </c>
      <c r="AN134" s="120" t="str">
        <f t="shared" si="42"/>
        <v/>
      </c>
      <c r="AO134" s="121">
        <f t="shared" si="23"/>
        <v>0</v>
      </c>
      <c r="AP134" s="121">
        <f t="shared" si="24"/>
        <v>0</v>
      </c>
      <c r="AQ134" s="121">
        <f t="shared" si="25"/>
        <v>0</v>
      </c>
      <c r="AR134" s="121">
        <f t="shared" si="26"/>
        <v>0</v>
      </c>
      <c r="AS134" s="120" t="str">
        <f t="shared" si="43"/>
        <v/>
      </c>
      <c r="AT134" s="121">
        <f t="shared" si="27"/>
        <v>0</v>
      </c>
      <c r="AU134" s="121">
        <f t="shared" si="28"/>
        <v>0</v>
      </c>
      <c r="AV134" s="121">
        <f t="shared" si="29"/>
        <v>0</v>
      </c>
      <c r="AW134" s="121">
        <f t="shared" si="30"/>
        <v>0</v>
      </c>
      <c r="AX134" s="120" t="str">
        <f t="shared" si="44"/>
        <v/>
      </c>
      <c r="AY134" s="121">
        <f t="shared" si="31"/>
        <v>0</v>
      </c>
      <c r="AZ134" s="121">
        <f t="shared" si="32"/>
        <v>0</v>
      </c>
      <c r="BA134" s="121">
        <f t="shared" si="33"/>
        <v>0</v>
      </c>
      <c r="BB134" s="121">
        <f t="shared" si="34"/>
        <v>0</v>
      </c>
      <c r="BC134" s="120" t="str">
        <f t="shared" si="45"/>
        <v/>
      </c>
    </row>
    <row r="135" spans="1:55" ht="14.25" customHeight="1" x14ac:dyDescent="0.3">
      <c r="A135" s="116" t="str">
        <f t="shared" si="0"/>
        <v>9 Godoy M.</v>
      </c>
      <c r="B135" s="119">
        <f t="shared" si="0"/>
        <v>1</v>
      </c>
      <c r="C135" s="119">
        <f t="shared" si="0"/>
        <v>3</v>
      </c>
      <c r="D135" s="119">
        <f t="shared" si="0"/>
        <v>0</v>
      </c>
      <c r="E135" s="119">
        <f t="shared" si="0"/>
        <v>0</v>
      </c>
      <c r="F135" s="119">
        <f t="shared" si="0"/>
        <v>13</v>
      </c>
      <c r="G135" s="120">
        <f t="shared" si="35"/>
        <v>0.13461538461538461</v>
      </c>
      <c r="H135" s="121">
        <f t="shared" si="1"/>
        <v>0</v>
      </c>
      <c r="I135" s="121">
        <f t="shared" si="1"/>
        <v>0</v>
      </c>
      <c r="J135" s="121">
        <f t="shared" si="1"/>
        <v>0</v>
      </c>
      <c r="K135" s="121">
        <f t="shared" si="1"/>
        <v>0</v>
      </c>
      <c r="L135" s="121">
        <f t="shared" si="1"/>
        <v>1</v>
      </c>
      <c r="M135" s="120">
        <f t="shared" si="36"/>
        <v>0</v>
      </c>
      <c r="N135" s="121">
        <f t="shared" si="2"/>
        <v>1</v>
      </c>
      <c r="O135" s="121">
        <f t="shared" si="3"/>
        <v>0</v>
      </c>
      <c r="P135" s="120">
        <f t="shared" si="37"/>
        <v>0.16666666666666666</v>
      </c>
      <c r="Q135" s="121">
        <f t="shared" si="4"/>
        <v>0</v>
      </c>
      <c r="R135" s="121">
        <f t="shared" si="5"/>
        <v>1</v>
      </c>
      <c r="S135" s="121">
        <f t="shared" si="6"/>
        <v>6</v>
      </c>
      <c r="T135" s="120">
        <f t="shared" si="38"/>
        <v>0.16666666666666666</v>
      </c>
      <c r="U135" s="121">
        <f t="shared" si="7"/>
        <v>0</v>
      </c>
      <c r="V135" s="121">
        <f t="shared" si="8"/>
        <v>0</v>
      </c>
      <c r="W135" s="121">
        <f t="shared" si="9"/>
        <v>0</v>
      </c>
      <c r="X135" s="121">
        <f t="shared" si="10"/>
        <v>0</v>
      </c>
      <c r="Y135" s="120" t="str">
        <f t="shared" si="39"/>
        <v/>
      </c>
      <c r="Z135" s="121">
        <f t="shared" si="11"/>
        <v>0</v>
      </c>
      <c r="AA135" s="121">
        <f t="shared" si="12"/>
        <v>0</v>
      </c>
      <c r="AB135" s="121">
        <f t="shared" si="13"/>
        <v>0</v>
      </c>
      <c r="AC135" s="121">
        <f t="shared" si="14"/>
        <v>0</v>
      </c>
      <c r="AD135" s="120" t="str">
        <f t="shared" si="40"/>
        <v/>
      </c>
      <c r="AE135" s="121">
        <f t="shared" si="15"/>
        <v>0</v>
      </c>
      <c r="AF135" s="121">
        <f t="shared" si="16"/>
        <v>0</v>
      </c>
      <c r="AG135" s="121">
        <f t="shared" si="17"/>
        <v>0</v>
      </c>
      <c r="AH135" s="121">
        <f t="shared" si="18"/>
        <v>0</v>
      </c>
      <c r="AI135" s="120" t="str">
        <f t="shared" si="41"/>
        <v/>
      </c>
      <c r="AJ135" s="121">
        <f t="shared" si="19"/>
        <v>0</v>
      </c>
      <c r="AK135" s="121">
        <f t="shared" si="20"/>
        <v>0</v>
      </c>
      <c r="AL135" s="121">
        <f t="shared" si="21"/>
        <v>0</v>
      </c>
      <c r="AM135" s="121">
        <f t="shared" si="22"/>
        <v>0</v>
      </c>
      <c r="AN135" s="120" t="str">
        <f t="shared" si="42"/>
        <v/>
      </c>
      <c r="AO135" s="121">
        <f t="shared" si="23"/>
        <v>0</v>
      </c>
      <c r="AP135" s="121">
        <f t="shared" si="24"/>
        <v>1</v>
      </c>
      <c r="AQ135" s="121">
        <f t="shared" si="25"/>
        <v>0</v>
      </c>
      <c r="AR135" s="121">
        <f t="shared" si="26"/>
        <v>1</v>
      </c>
      <c r="AS135" s="120">
        <f t="shared" si="43"/>
        <v>-1</v>
      </c>
      <c r="AT135" s="121">
        <f t="shared" si="27"/>
        <v>0</v>
      </c>
      <c r="AU135" s="121">
        <f t="shared" si="28"/>
        <v>0</v>
      </c>
      <c r="AV135" s="121">
        <f t="shared" si="29"/>
        <v>0</v>
      </c>
      <c r="AW135" s="121">
        <f t="shared" si="30"/>
        <v>0</v>
      </c>
      <c r="AX135" s="120" t="str">
        <f t="shared" si="44"/>
        <v/>
      </c>
      <c r="AY135" s="121">
        <f t="shared" si="31"/>
        <v>0</v>
      </c>
      <c r="AZ135" s="121">
        <f t="shared" si="32"/>
        <v>0</v>
      </c>
      <c r="BA135" s="121">
        <f t="shared" si="33"/>
        <v>1</v>
      </c>
      <c r="BB135" s="121">
        <f t="shared" si="34"/>
        <v>1</v>
      </c>
      <c r="BC135" s="120">
        <f t="shared" si="45"/>
        <v>-1</v>
      </c>
    </row>
    <row r="136" spans="1:55" ht="14.25" customHeight="1" x14ac:dyDescent="0.3">
      <c r="A136" s="116" t="str">
        <f t="shared" si="0"/>
        <v>10 Viera M.</v>
      </c>
      <c r="B136" s="119">
        <f t="shared" si="0"/>
        <v>0</v>
      </c>
      <c r="C136" s="119">
        <f t="shared" si="0"/>
        <v>0</v>
      </c>
      <c r="D136" s="119">
        <f t="shared" si="0"/>
        <v>0</v>
      </c>
      <c r="E136" s="119">
        <f t="shared" si="0"/>
        <v>0</v>
      </c>
      <c r="F136" s="119">
        <f t="shared" si="0"/>
        <v>0</v>
      </c>
      <c r="G136" s="120" t="str">
        <f t="shared" si="35"/>
        <v/>
      </c>
      <c r="H136" s="121">
        <f t="shared" si="1"/>
        <v>0</v>
      </c>
      <c r="I136" s="121">
        <f t="shared" si="1"/>
        <v>0</v>
      </c>
      <c r="J136" s="121">
        <f t="shared" si="1"/>
        <v>0</v>
      </c>
      <c r="K136" s="121">
        <f t="shared" si="1"/>
        <v>0</v>
      </c>
      <c r="L136" s="121">
        <f t="shared" si="1"/>
        <v>0</v>
      </c>
      <c r="M136" s="120" t="str">
        <f t="shared" si="36"/>
        <v/>
      </c>
      <c r="N136" s="121">
        <f t="shared" si="2"/>
        <v>0</v>
      </c>
      <c r="O136" s="121">
        <f t="shared" si="3"/>
        <v>0</v>
      </c>
      <c r="P136" s="120" t="str">
        <f t="shared" si="37"/>
        <v/>
      </c>
      <c r="Q136" s="121">
        <f t="shared" si="4"/>
        <v>0</v>
      </c>
      <c r="R136" s="121">
        <f t="shared" si="5"/>
        <v>0</v>
      </c>
      <c r="S136" s="121">
        <f t="shared" si="6"/>
        <v>0</v>
      </c>
      <c r="T136" s="120" t="str">
        <f t="shared" si="38"/>
        <v/>
      </c>
      <c r="U136" s="121">
        <f t="shared" si="7"/>
        <v>0</v>
      </c>
      <c r="V136" s="121">
        <f t="shared" si="8"/>
        <v>0</v>
      </c>
      <c r="W136" s="121">
        <f t="shared" si="9"/>
        <v>0</v>
      </c>
      <c r="X136" s="121">
        <f t="shared" si="10"/>
        <v>0</v>
      </c>
      <c r="Y136" s="120" t="str">
        <f t="shared" si="39"/>
        <v/>
      </c>
      <c r="Z136" s="121">
        <f t="shared" si="11"/>
        <v>0</v>
      </c>
      <c r="AA136" s="121">
        <f t="shared" si="12"/>
        <v>0</v>
      </c>
      <c r="AB136" s="121">
        <f t="shared" si="13"/>
        <v>0</v>
      </c>
      <c r="AC136" s="121">
        <f t="shared" si="14"/>
        <v>0</v>
      </c>
      <c r="AD136" s="120" t="str">
        <f t="shared" si="40"/>
        <v/>
      </c>
      <c r="AE136" s="121">
        <f t="shared" si="15"/>
        <v>0</v>
      </c>
      <c r="AF136" s="121">
        <f t="shared" si="16"/>
        <v>0</v>
      </c>
      <c r="AG136" s="121">
        <f t="shared" si="17"/>
        <v>0</v>
      </c>
      <c r="AH136" s="121">
        <f t="shared" si="18"/>
        <v>0</v>
      </c>
      <c r="AI136" s="120" t="str">
        <f t="shared" si="41"/>
        <v/>
      </c>
      <c r="AJ136" s="121">
        <f t="shared" si="19"/>
        <v>0</v>
      </c>
      <c r="AK136" s="121">
        <f t="shared" si="20"/>
        <v>0</v>
      </c>
      <c r="AL136" s="121">
        <f t="shared" si="21"/>
        <v>0</v>
      </c>
      <c r="AM136" s="121">
        <f t="shared" si="22"/>
        <v>0</v>
      </c>
      <c r="AN136" s="120" t="str">
        <f t="shared" si="42"/>
        <v/>
      </c>
      <c r="AO136" s="121">
        <f t="shared" si="23"/>
        <v>0</v>
      </c>
      <c r="AP136" s="121">
        <f t="shared" si="24"/>
        <v>0</v>
      </c>
      <c r="AQ136" s="121">
        <f t="shared" si="25"/>
        <v>0</v>
      </c>
      <c r="AR136" s="121">
        <f t="shared" si="26"/>
        <v>0</v>
      </c>
      <c r="AS136" s="120" t="str">
        <f t="shared" si="43"/>
        <v/>
      </c>
      <c r="AT136" s="121">
        <f t="shared" si="27"/>
        <v>0</v>
      </c>
      <c r="AU136" s="121">
        <f t="shared" si="28"/>
        <v>0</v>
      </c>
      <c r="AV136" s="121">
        <f t="shared" si="29"/>
        <v>0</v>
      </c>
      <c r="AW136" s="121">
        <f t="shared" si="30"/>
        <v>0</v>
      </c>
      <c r="AX136" s="120" t="str">
        <f t="shared" si="44"/>
        <v/>
      </c>
      <c r="AY136" s="121">
        <f t="shared" si="31"/>
        <v>0</v>
      </c>
      <c r="AZ136" s="121">
        <f t="shared" si="32"/>
        <v>0</v>
      </c>
      <c r="BA136" s="121">
        <f t="shared" si="33"/>
        <v>0</v>
      </c>
      <c r="BB136" s="121">
        <f t="shared" si="34"/>
        <v>0</v>
      </c>
      <c r="BC136" s="120" t="str">
        <f t="shared" si="45"/>
        <v/>
      </c>
    </row>
    <row r="137" spans="1:55" ht="14.25" customHeight="1" x14ac:dyDescent="0.3">
      <c r="A137" s="116" t="str">
        <f t="shared" si="0"/>
        <v>11 Durdos V.</v>
      </c>
      <c r="B137" s="119">
        <f t="shared" si="0"/>
        <v>0</v>
      </c>
      <c r="C137" s="119">
        <f t="shared" si="0"/>
        <v>3</v>
      </c>
      <c r="D137" s="119">
        <f t="shared" si="0"/>
        <v>0</v>
      </c>
      <c r="E137" s="119">
        <f t="shared" si="0"/>
        <v>4</v>
      </c>
      <c r="F137" s="119">
        <f t="shared" si="0"/>
        <v>10</v>
      </c>
      <c r="G137" s="120">
        <f t="shared" si="35"/>
        <v>-0.32500000000000001</v>
      </c>
      <c r="H137" s="121">
        <f t="shared" si="1"/>
        <v>10</v>
      </c>
      <c r="I137" s="121">
        <f t="shared" si="1"/>
        <v>12</v>
      </c>
      <c r="J137" s="121">
        <f t="shared" si="1"/>
        <v>1</v>
      </c>
      <c r="K137" s="121">
        <f t="shared" si="1"/>
        <v>1</v>
      </c>
      <c r="L137" s="121">
        <f t="shared" si="1"/>
        <v>28</v>
      </c>
      <c r="M137" s="120">
        <f t="shared" si="36"/>
        <v>0.5178571428571429</v>
      </c>
      <c r="N137" s="121">
        <f t="shared" si="2"/>
        <v>3</v>
      </c>
      <c r="O137" s="121">
        <f t="shared" si="3"/>
        <v>0</v>
      </c>
      <c r="P137" s="120">
        <f t="shared" si="37"/>
        <v>0.42857142857142855</v>
      </c>
      <c r="Q137" s="121">
        <f t="shared" si="4"/>
        <v>3</v>
      </c>
      <c r="R137" s="121">
        <f t="shared" si="5"/>
        <v>0</v>
      </c>
      <c r="S137" s="121">
        <f t="shared" si="6"/>
        <v>7</v>
      </c>
      <c r="T137" s="120">
        <f t="shared" si="38"/>
        <v>0.42857142857142855</v>
      </c>
      <c r="U137" s="121">
        <f t="shared" si="7"/>
        <v>0</v>
      </c>
      <c r="V137" s="121">
        <f t="shared" si="8"/>
        <v>0</v>
      </c>
      <c r="W137" s="121">
        <f t="shared" si="9"/>
        <v>0</v>
      </c>
      <c r="X137" s="121">
        <f t="shared" si="10"/>
        <v>0</v>
      </c>
      <c r="Y137" s="120" t="str">
        <f t="shared" si="39"/>
        <v/>
      </c>
      <c r="Z137" s="121">
        <f t="shared" si="11"/>
        <v>4</v>
      </c>
      <c r="AA137" s="121">
        <f t="shared" si="12"/>
        <v>1</v>
      </c>
      <c r="AB137" s="121">
        <f t="shared" si="13"/>
        <v>1</v>
      </c>
      <c r="AC137" s="121">
        <f t="shared" si="14"/>
        <v>9</v>
      </c>
      <c r="AD137" s="120">
        <f t="shared" si="40"/>
        <v>0.22222222222222221</v>
      </c>
      <c r="AE137" s="121">
        <f t="shared" si="15"/>
        <v>8</v>
      </c>
      <c r="AF137" s="121">
        <f t="shared" si="16"/>
        <v>1</v>
      </c>
      <c r="AG137" s="121">
        <f t="shared" si="17"/>
        <v>2</v>
      </c>
      <c r="AH137" s="121">
        <f t="shared" si="18"/>
        <v>24</v>
      </c>
      <c r="AI137" s="120">
        <f t="shared" si="41"/>
        <v>0.20833333333333334</v>
      </c>
      <c r="AJ137" s="121">
        <f t="shared" si="19"/>
        <v>5</v>
      </c>
      <c r="AK137" s="121">
        <f t="shared" si="20"/>
        <v>0</v>
      </c>
      <c r="AL137" s="121">
        <f t="shared" si="21"/>
        <v>2</v>
      </c>
      <c r="AM137" s="121">
        <f t="shared" si="22"/>
        <v>15</v>
      </c>
      <c r="AN137" s="120">
        <f t="shared" si="42"/>
        <v>0.2</v>
      </c>
      <c r="AO137" s="121">
        <f t="shared" si="23"/>
        <v>1</v>
      </c>
      <c r="AP137" s="121">
        <f t="shared" si="24"/>
        <v>0</v>
      </c>
      <c r="AQ137" s="121">
        <f t="shared" si="25"/>
        <v>0</v>
      </c>
      <c r="AR137" s="121">
        <f t="shared" si="26"/>
        <v>1</v>
      </c>
      <c r="AS137" s="120">
        <f t="shared" si="43"/>
        <v>1</v>
      </c>
      <c r="AT137" s="121">
        <f t="shared" si="27"/>
        <v>0</v>
      </c>
      <c r="AU137" s="121">
        <f t="shared" si="28"/>
        <v>0</v>
      </c>
      <c r="AV137" s="121">
        <f t="shared" si="29"/>
        <v>0</v>
      </c>
      <c r="AW137" s="121">
        <f t="shared" si="30"/>
        <v>1</v>
      </c>
      <c r="AX137" s="120">
        <f t="shared" si="44"/>
        <v>0</v>
      </c>
      <c r="AY137" s="121">
        <f t="shared" si="31"/>
        <v>7</v>
      </c>
      <c r="AZ137" s="121">
        <f t="shared" si="32"/>
        <v>2</v>
      </c>
      <c r="BA137" s="121">
        <f t="shared" si="33"/>
        <v>2</v>
      </c>
      <c r="BB137" s="121">
        <f t="shared" si="34"/>
        <v>19</v>
      </c>
      <c r="BC137" s="120">
        <f t="shared" si="45"/>
        <v>0.15789473684210525</v>
      </c>
    </row>
    <row r="138" spans="1:55" ht="14.25" customHeight="1" x14ac:dyDescent="0.3">
      <c r="A138" s="116" t="str">
        <f t="shared" ref="A138:F144" si="46">A157</f>
        <v>12 Zanotti J.</v>
      </c>
      <c r="B138" s="119">
        <f t="shared" si="46"/>
        <v>0</v>
      </c>
      <c r="C138" s="119">
        <f t="shared" si="46"/>
        <v>0</v>
      </c>
      <c r="D138" s="119">
        <f t="shared" si="46"/>
        <v>0</v>
      </c>
      <c r="E138" s="119">
        <f t="shared" si="46"/>
        <v>0</v>
      </c>
      <c r="F138" s="119">
        <f t="shared" si="46"/>
        <v>0</v>
      </c>
      <c r="G138" s="120" t="str">
        <f t="shared" si="35"/>
        <v/>
      </c>
      <c r="H138" s="121">
        <f t="shared" ref="H138:L144" si="47">G157</f>
        <v>11</v>
      </c>
      <c r="I138" s="121">
        <f t="shared" si="47"/>
        <v>13</v>
      </c>
      <c r="J138" s="121">
        <f t="shared" si="47"/>
        <v>2</v>
      </c>
      <c r="K138" s="121">
        <f t="shared" si="47"/>
        <v>3</v>
      </c>
      <c r="L138" s="121">
        <f t="shared" si="47"/>
        <v>38</v>
      </c>
      <c r="M138" s="120">
        <f t="shared" si="36"/>
        <v>0.35526315789473684</v>
      </c>
      <c r="N138" s="121">
        <f t="shared" si="2"/>
        <v>0</v>
      </c>
      <c r="O138" s="121">
        <f t="shared" si="3"/>
        <v>0</v>
      </c>
      <c r="P138" s="120" t="str">
        <f t="shared" si="37"/>
        <v/>
      </c>
      <c r="Q138" s="121">
        <f t="shared" si="4"/>
        <v>0</v>
      </c>
      <c r="R138" s="121">
        <f t="shared" si="5"/>
        <v>0</v>
      </c>
      <c r="S138" s="121">
        <f t="shared" si="6"/>
        <v>0</v>
      </c>
      <c r="T138" s="120" t="str">
        <f t="shared" si="38"/>
        <v/>
      </c>
      <c r="U138" s="121">
        <f t="shared" si="7"/>
        <v>0</v>
      </c>
      <c r="V138" s="121">
        <f t="shared" si="8"/>
        <v>0</v>
      </c>
      <c r="W138" s="121">
        <f t="shared" si="9"/>
        <v>0</v>
      </c>
      <c r="X138" s="121">
        <f t="shared" si="10"/>
        <v>0</v>
      </c>
      <c r="Y138" s="120" t="str">
        <f t="shared" si="39"/>
        <v/>
      </c>
      <c r="Z138" s="121">
        <f t="shared" si="11"/>
        <v>0</v>
      </c>
      <c r="AA138" s="121">
        <f t="shared" si="12"/>
        <v>0</v>
      </c>
      <c r="AB138" s="121">
        <f t="shared" si="13"/>
        <v>0</v>
      </c>
      <c r="AC138" s="121">
        <f t="shared" si="14"/>
        <v>0</v>
      </c>
      <c r="AD138" s="120" t="str">
        <f t="shared" si="40"/>
        <v/>
      </c>
      <c r="AE138" s="121">
        <f t="shared" si="15"/>
        <v>0</v>
      </c>
      <c r="AF138" s="121">
        <f t="shared" si="16"/>
        <v>0</v>
      </c>
      <c r="AG138" s="121">
        <f t="shared" si="17"/>
        <v>0</v>
      </c>
      <c r="AH138" s="121">
        <f t="shared" si="18"/>
        <v>0</v>
      </c>
      <c r="AI138" s="120" t="str">
        <f t="shared" si="41"/>
        <v/>
      </c>
      <c r="AJ138" s="121">
        <f t="shared" si="19"/>
        <v>0</v>
      </c>
      <c r="AK138" s="121">
        <f t="shared" si="20"/>
        <v>0</v>
      </c>
      <c r="AL138" s="121">
        <f t="shared" si="21"/>
        <v>0</v>
      </c>
      <c r="AM138" s="121">
        <f t="shared" si="22"/>
        <v>0</v>
      </c>
      <c r="AN138" s="120" t="str">
        <f t="shared" si="42"/>
        <v/>
      </c>
      <c r="AO138" s="121">
        <f t="shared" si="23"/>
        <v>0</v>
      </c>
      <c r="AP138" s="121">
        <f t="shared" si="24"/>
        <v>0</v>
      </c>
      <c r="AQ138" s="121">
        <f t="shared" si="25"/>
        <v>0</v>
      </c>
      <c r="AR138" s="121">
        <f t="shared" si="26"/>
        <v>0</v>
      </c>
      <c r="AS138" s="120" t="str">
        <f t="shared" si="43"/>
        <v/>
      </c>
      <c r="AT138" s="121">
        <f t="shared" si="27"/>
        <v>0</v>
      </c>
      <c r="AU138" s="121">
        <f t="shared" si="28"/>
        <v>0</v>
      </c>
      <c r="AV138" s="121">
        <f t="shared" si="29"/>
        <v>0</v>
      </c>
      <c r="AW138" s="121">
        <f t="shared" si="30"/>
        <v>0</v>
      </c>
      <c r="AX138" s="120" t="str">
        <f t="shared" si="44"/>
        <v/>
      </c>
      <c r="AY138" s="121">
        <f t="shared" si="31"/>
        <v>0</v>
      </c>
      <c r="AZ138" s="121">
        <f t="shared" si="32"/>
        <v>0</v>
      </c>
      <c r="BA138" s="121">
        <f t="shared" si="33"/>
        <v>0</v>
      </c>
      <c r="BB138" s="121">
        <f t="shared" si="34"/>
        <v>0</v>
      </c>
      <c r="BC138" s="120" t="str">
        <f t="shared" si="45"/>
        <v/>
      </c>
    </row>
    <row r="139" spans="1:55" ht="14.25" customHeight="1" x14ac:dyDescent="0.3">
      <c r="A139" s="116" t="str">
        <f t="shared" si="46"/>
        <v>13 Rojas Caruso M.</v>
      </c>
      <c r="B139" s="119">
        <f t="shared" si="46"/>
        <v>0</v>
      </c>
      <c r="C139" s="119">
        <f t="shared" si="46"/>
        <v>0</v>
      </c>
      <c r="D139" s="119">
        <f t="shared" si="46"/>
        <v>0</v>
      </c>
      <c r="E139" s="119">
        <f t="shared" si="46"/>
        <v>1</v>
      </c>
      <c r="F139" s="119">
        <f t="shared" si="46"/>
        <v>2</v>
      </c>
      <c r="G139" s="120">
        <f t="shared" si="35"/>
        <v>-0.5</v>
      </c>
      <c r="H139" s="121">
        <f t="shared" si="47"/>
        <v>0</v>
      </c>
      <c r="I139" s="121">
        <f t="shared" si="47"/>
        <v>0</v>
      </c>
      <c r="J139" s="121">
        <f t="shared" si="47"/>
        <v>0</v>
      </c>
      <c r="K139" s="121">
        <f t="shared" si="47"/>
        <v>0</v>
      </c>
      <c r="L139" s="121">
        <f t="shared" si="47"/>
        <v>0</v>
      </c>
      <c r="M139" s="120" t="str">
        <f t="shared" si="36"/>
        <v/>
      </c>
      <c r="N139" s="121">
        <f t="shared" si="2"/>
        <v>0</v>
      </c>
      <c r="O139" s="121">
        <f t="shared" si="3"/>
        <v>0</v>
      </c>
      <c r="P139" s="120" t="str">
        <f t="shared" si="37"/>
        <v/>
      </c>
      <c r="Q139" s="121">
        <f t="shared" si="4"/>
        <v>0</v>
      </c>
      <c r="R139" s="121">
        <f t="shared" si="5"/>
        <v>0</v>
      </c>
      <c r="S139" s="121">
        <f t="shared" si="6"/>
        <v>0</v>
      </c>
      <c r="T139" s="120" t="str">
        <f t="shared" si="38"/>
        <v/>
      </c>
      <c r="U139" s="121">
        <f t="shared" si="7"/>
        <v>0</v>
      </c>
      <c r="V139" s="121">
        <f t="shared" si="8"/>
        <v>0</v>
      </c>
      <c r="W139" s="121">
        <f t="shared" si="9"/>
        <v>0</v>
      </c>
      <c r="X139" s="121">
        <f t="shared" si="10"/>
        <v>0</v>
      </c>
      <c r="Y139" s="120" t="str">
        <f t="shared" si="39"/>
        <v/>
      </c>
      <c r="Z139" s="121">
        <f t="shared" si="11"/>
        <v>0</v>
      </c>
      <c r="AA139" s="121">
        <f t="shared" si="12"/>
        <v>0</v>
      </c>
      <c r="AB139" s="121">
        <f t="shared" si="13"/>
        <v>0</v>
      </c>
      <c r="AC139" s="121">
        <f t="shared" si="14"/>
        <v>0</v>
      </c>
      <c r="AD139" s="120" t="str">
        <f t="shared" si="40"/>
        <v/>
      </c>
      <c r="AE139" s="121">
        <f t="shared" si="15"/>
        <v>0</v>
      </c>
      <c r="AF139" s="121">
        <f t="shared" si="16"/>
        <v>0</v>
      </c>
      <c r="AG139" s="121">
        <f t="shared" si="17"/>
        <v>0</v>
      </c>
      <c r="AH139" s="121">
        <f t="shared" si="18"/>
        <v>0</v>
      </c>
      <c r="AI139" s="120" t="str">
        <f t="shared" si="41"/>
        <v/>
      </c>
      <c r="AJ139" s="121">
        <f t="shared" si="19"/>
        <v>0</v>
      </c>
      <c r="AK139" s="121">
        <f t="shared" si="20"/>
        <v>0</v>
      </c>
      <c r="AL139" s="121">
        <f t="shared" si="21"/>
        <v>0</v>
      </c>
      <c r="AM139" s="121">
        <f t="shared" si="22"/>
        <v>0</v>
      </c>
      <c r="AN139" s="120" t="str">
        <f t="shared" si="42"/>
        <v/>
      </c>
      <c r="AO139" s="121">
        <f t="shared" si="23"/>
        <v>0</v>
      </c>
      <c r="AP139" s="121">
        <f t="shared" si="24"/>
        <v>0</v>
      </c>
      <c r="AQ139" s="121">
        <f t="shared" si="25"/>
        <v>0</v>
      </c>
      <c r="AR139" s="121">
        <f t="shared" si="26"/>
        <v>0</v>
      </c>
      <c r="AS139" s="120" t="str">
        <f t="shared" si="43"/>
        <v/>
      </c>
      <c r="AT139" s="121">
        <f t="shared" si="27"/>
        <v>0</v>
      </c>
      <c r="AU139" s="121">
        <f t="shared" si="28"/>
        <v>0</v>
      </c>
      <c r="AV139" s="121">
        <f t="shared" si="29"/>
        <v>0</v>
      </c>
      <c r="AW139" s="121">
        <f t="shared" si="30"/>
        <v>0</v>
      </c>
      <c r="AX139" s="120" t="str">
        <f t="shared" si="44"/>
        <v/>
      </c>
      <c r="AY139" s="121">
        <f t="shared" si="31"/>
        <v>0</v>
      </c>
      <c r="AZ139" s="121">
        <f t="shared" si="32"/>
        <v>0</v>
      </c>
      <c r="BA139" s="121">
        <f t="shared" si="33"/>
        <v>0</v>
      </c>
      <c r="BB139" s="121">
        <f t="shared" si="34"/>
        <v>0</v>
      </c>
      <c r="BC139" s="120" t="str">
        <f t="shared" si="45"/>
        <v/>
      </c>
    </row>
    <row r="140" spans="1:55" ht="14.25" customHeight="1" x14ac:dyDescent="0.3">
      <c r="A140" s="116" t="str">
        <f t="shared" si="46"/>
        <v>14 Nielson R.</v>
      </c>
      <c r="B140" s="119">
        <f t="shared" si="46"/>
        <v>1</v>
      </c>
      <c r="C140" s="119">
        <f t="shared" si="46"/>
        <v>6</v>
      </c>
      <c r="D140" s="119">
        <f t="shared" si="46"/>
        <v>1</v>
      </c>
      <c r="E140" s="119">
        <f t="shared" si="46"/>
        <v>0</v>
      </c>
      <c r="F140" s="119">
        <f t="shared" si="46"/>
        <v>25</v>
      </c>
      <c r="G140" s="120">
        <f t="shared" si="35"/>
        <v>0.12</v>
      </c>
      <c r="H140" s="121">
        <f t="shared" si="47"/>
        <v>6</v>
      </c>
      <c r="I140" s="121">
        <f t="shared" si="47"/>
        <v>3</v>
      </c>
      <c r="J140" s="121">
        <f t="shared" si="47"/>
        <v>1</v>
      </c>
      <c r="K140" s="121">
        <f t="shared" si="47"/>
        <v>2</v>
      </c>
      <c r="L140" s="121">
        <f t="shared" si="47"/>
        <v>12</v>
      </c>
      <c r="M140" s="120">
        <f t="shared" si="36"/>
        <v>0.41666666666666669</v>
      </c>
      <c r="N140" s="121">
        <f t="shared" si="2"/>
        <v>1</v>
      </c>
      <c r="O140" s="121">
        <f t="shared" si="3"/>
        <v>1</v>
      </c>
      <c r="P140" s="120">
        <f t="shared" si="37"/>
        <v>0.33333333333333331</v>
      </c>
      <c r="Q140" s="121">
        <f t="shared" si="4"/>
        <v>1</v>
      </c>
      <c r="R140" s="121">
        <f t="shared" si="5"/>
        <v>0</v>
      </c>
      <c r="S140" s="121">
        <f t="shared" si="6"/>
        <v>6</v>
      </c>
      <c r="T140" s="120">
        <f t="shared" si="38"/>
        <v>0.16666666666666666</v>
      </c>
      <c r="U140" s="121">
        <f t="shared" si="7"/>
        <v>0</v>
      </c>
      <c r="V140" s="121">
        <f t="shared" si="8"/>
        <v>0</v>
      </c>
      <c r="W140" s="121">
        <f t="shared" si="9"/>
        <v>0</v>
      </c>
      <c r="X140" s="121">
        <f t="shared" si="10"/>
        <v>0</v>
      </c>
      <c r="Y140" s="120" t="str">
        <f t="shared" si="39"/>
        <v/>
      </c>
      <c r="Z140" s="121">
        <f t="shared" si="11"/>
        <v>3</v>
      </c>
      <c r="AA140" s="121">
        <f t="shared" si="12"/>
        <v>2</v>
      </c>
      <c r="AB140" s="121">
        <f t="shared" si="13"/>
        <v>0</v>
      </c>
      <c r="AC140" s="121">
        <f t="shared" si="14"/>
        <v>9</v>
      </c>
      <c r="AD140" s="120">
        <f t="shared" si="40"/>
        <v>0.1111111111111111</v>
      </c>
      <c r="AE140" s="121">
        <f t="shared" si="15"/>
        <v>4</v>
      </c>
      <c r="AF140" s="121">
        <f t="shared" si="16"/>
        <v>0</v>
      </c>
      <c r="AG140" s="121">
        <f t="shared" si="17"/>
        <v>2</v>
      </c>
      <c r="AH140" s="121">
        <f t="shared" si="18"/>
        <v>13</v>
      </c>
      <c r="AI140" s="120">
        <f t="shared" si="41"/>
        <v>0.15384615384615385</v>
      </c>
      <c r="AJ140" s="121">
        <f t="shared" si="19"/>
        <v>3</v>
      </c>
      <c r="AK140" s="121">
        <f t="shared" si="20"/>
        <v>0</v>
      </c>
      <c r="AL140" s="121">
        <f t="shared" si="21"/>
        <v>2</v>
      </c>
      <c r="AM140" s="121">
        <f t="shared" si="22"/>
        <v>9</v>
      </c>
      <c r="AN140" s="120">
        <f t="shared" si="42"/>
        <v>0.1111111111111111</v>
      </c>
      <c r="AO140" s="121">
        <f t="shared" si="23"/>
        <v>1</v>
      </c>
      <c r="AP140" s="121">
        <f t="shared" si="24"/>
        <v>0</v>
      </c>
      <c r="AQ140" s="121">
        <f t="shared" si="25"/>
        <v>0</v>
      </c>
      <c r="AR140" s="121">
        <f t="shared" si="26"/>
        <v>2</v>
      </c>
      <c r="AS140" s="120">
        <f t="shared" si="43"/>
        <v>0.5</v>
      </c>
      <c r="AT140" s="121">
        <f t="shared" si="27"/>
        <v>0</v>
      </c>
      <c r="AU140" s="121">
        <f t="shared" si="28"/>
        <v>2</v>
      </c>
      <c r="AV140" s="121">
        <f t="shared" si="29"/>
        <v>0</v>
      </c>
      <c r="AW140" s="121">
        <f t="shared" si="30"/>
        <v>3</v>
      </c>
      <c r="AX140" s="120">
        <f t="shared" si="44"/>
        <v>-0.66666666666666663</v>
      </c>
      <c r="AY140" s="121">
        <f t="shared" si="31"/>
        <v>3</v>
      </c>
      <c r="AZ140" s="121">
        <f t="shared" si="32"/>
        <v>0</v>
      </c>
      <c r="BA140" s="121">
        <f t="shared" si="33"/>
        <v>0</v>
      </c>
      <c r="BB140" s="121">
        <f t="shared" si="34"/>
        <v>8</v>
      </c>
      <c r="BC140" s="120">
        <f t="shared" si="45"/>
        <v>0.375</v>
      </c>
    </row>
    <row r="141" spans="1:55" ht="14.25" customHeight="1" x14ac:dyDescent="0.3">
      <c r="A141" s="116" t="str">
        <f t="shared" si="46"/>
        <v>15 Rotezzi R.</v>
      </c>
      <c r="B141" s="119">
        <f t="shared" si="46"/>
        <v>0</v>
      </c>
      <c r="C141" s="119">
        <f t="shared" si="46"/>
        <v>0</v>
      </c>
      <c r="D141" s="119">
        <f t="shared" si="46"/>
        <v>0</v>
      </c>
      <c r="E141" s="119">
        <f t="shared" si="46"/>
        <v>0</v>
      </c>
      <c r="F141" s="119">
        <f t="shared" si="46"/>
        <v>0</v>
      </c>
      <c r="G141" s="120" t="str">
        <f t="shared" si="35"/>
        <v/>
      </c>
      <c r="H141" s="121">
        <f t="shared" si="47"/>
        <v>0</v>
      </c>
      <c r="I141" s="121">
        <f t="shared" si="47"/>
        <v>0</v>
      </c>
      <c r="J141" s="121">
        <f t="shared" si="47"/>
        <v>0</v>
      </c>
      <c r="K141" s="121">
        <f t="shared" si="47"/>
        <v>0</v>
      </c>
      <c r="L141" s="121">
        <f t="shared" si="47"/>
        <v>0</v>
      </c>
      <c r="M141" s="120" t="str">
        <f t="shared" si="36"/>
        <v/>
      </c>
      <c r="N141" s="121">
        <f t="shared" si="2"/>
        <v>0</v>
      </c>
      <c r="O141" s="121">
        <f t="shared" si="3"/>
        <v>0</v>
      </c>
      <c r="P141" s="120" t="str">
        <f t="shared" si="37"/>
        <v/>
      </c>
      <c r="Q141" s="121">
        <f t="shared" si="4"/>
        <v>0</v>
      </c>
      <c r="R141" s="121">
        <f t="shared" si="5"/>
        <v>0</v>
      </c>
      <c r="S141" s="121">
        <f t="shared" si="6"/>
        <v>0</v>
      </c>
      <c r="T141" s="120" t="str">
        <f t="shared" si="38"/>
        <v/>
      </c>
      <c r="U141" s="121">
        <f t="shared" si="7"/>
        <v>0</v>
      </c>
      <c r="V141" s="121">
        <f t="shared" si="8"/>
        <v>0</v>
      </c>
      <c r="W141" s="121">
        <f t="shared" si="9"/>
        <v>0</v>
      </c>
      <c r="X141" s="121">
        <f t="shared" si="10"/>
        <v>0</v>
      </c>
      <c r="Y141" s="120" t="str">
        <f t="shared" si="39"/>
        <v/>
      </c>
      <c r="Z141" s="121">
        <f t="shared" si="11"/>
        <v>0</v>
      </c>
      <c r="AA141" s="121">
        <f t="shared" si="12"/>
        <v>0</v>
      </c>
      <c r="AB141" s="121">
        <f t="shared" si="13"/>
        <v>0</v>
      </c>
      <c r="AC141" s="121">
        <f t="shared" si="14"/>
        <v>0</v>
      </c>
      <c r="AD141" s="120" t="str">
        <f t="shared" si="40"/>
        <v/>
      </c>
      <c r="AE141" s="121">
        <f t="shared" si="15"/>
        <v>0</v>
      </c>
      <c r="AF141" s="121">
        <f t="shared" si="16"/>
        <v>0</v>
      </c>
      <c r="AG141" s="121">
        <f t="shared" si="17"/>
        <v>0</v>
      </c>
      <c r="AH141" s="121">
        <f t="shared" si="18"/>
        <v>0</v>
      </c>
      <c r="AI141" s="120" t="str">
        <f t="shared" si="41"/>
        <v/>
      </c>
      <c r="AJ141" s="121">
        <f t="shared" si="19"/>
        <v>0</v>
      </c>
      <c r="AK141" s="121">
        <f t="shared" si="20"/>
        <v>0</v>
      </c>
      <c r="AL141" s="121">
        <f t="shared" si="21"/>
        <v>0</v>
      </c>
      <c r="AM141" s="121">
        <f t="shared" si="22"/>
        <v>0</v>
      </c>
      <c r="AN141" s="120" t="str">
        <f t="shared" si="42"/>
        <v/>
      </c>
      <c r="AO141" s="121">
        <f t="shared" si="23"/>
        <v>0</v>
      </c>
      <c r="AP141" s="121">
        <f t="shared" si="24"/>
        <v>0</v>
      </c>
      <c r="AQ141" s="121">
        <f t="shared" si="25"/>
        <v>0</v>
      </c>
      <c r="AR141" s="121">
        <f t="shared" si="26"/>
        <v>0</v>
      </c>
      <c r="AS141" s="120" t="str">
        <f t="shared" si="43"/>
        <v/>
      </c>
      <c r="AT141" s="121">
        <f t="shared" si="27"/>
        <v>0</v>
      </c>
      <c r="AU141" s="121">
        <f t="shared" si="28"/>
        <v>0</v>
      </c>
      <c r="AV141" s="121">
        <f t="shared" si="29"/>
        <v>0</v>
      </c>
      <c r="AW141" s="121">
        <f t="shared" si="30"/>
        <v>0</v>
      </c>
      <c r="AX141" s="120" t="str">
        <f t="shared" si="44"/>
        <v/>
      </c>
      <c r="AY141" s="121">
        <f t="shared" si="31"/>
        <v>0</v>
      </c>
      <c r="AZ141" s="121">
        <f t="shared" si="32"/>
        <v>0</v>
      </c>
      <c r="BA141" s="121">
        <f t="shared" si="33"/>
        <v>0</v>
      </c>
      <c r="BB141" s="121">
        <f t="shared" si="34"/>
        <v>0</v>
      </c>
      <c r="BC141" s="120" t="str">
        <f t="shared" si="45"/>
        <v/>
      </c>
    </row>
    <row r="142" spans="1:55" ht="14.25" customHeight="1" x14ac:dyDescent="0.3">
      <c r="A142" s="116" t="str">
        <f t="shared" si="46"/>
        <v>17 Herbsommer L.</v>
      </c>
      <c r="B142" s="119">
        <f t="shared" si="46"/>
        <v>0</v>
      </c>
      <c r="C142" s="119">
        <f t="shared" si="46"/>
        <v>0</v>
      </c>
      <c r="D142" s="119">
        <f t="shared" si="46"/>
        <v>0</v>
      </c>
      <c r="E142" s="119">
        <f t="shared" si="46"/>
        <v>0</v>
      </c>
      <c r="F142" s="119">
        <f t="shared" si="46"/>
        <v>9</v>
      </c>
      <c r="G142" s="120">
        <f t="shared" si="35"/>
        <v>0</v>
      </c>
      <c r="H142" s="121">
        <f t="shared" si="47"/>
        <v>0</v>
      </c>
      <c r="I142" s="121">
        <f t="shared" si="47"/>
        <v>0</v>
      </c>
      <c r="J142" s="121">
        <f t="shared" si="47"/>
        <v>0</v>
      </c>
      <c r="K142" s="121">
        <f t="shared" si="47"/>
        <v>0</v>
      </c>
      <c r="L142" s="121">
        <f t="shared" si="47"/>
        <v>0</v>
      </c>
      <c r="M142" s="120" t="str">
        <f t="shared" si="36"/>
        <v/>
      </c>
      <c r="N142" s="121">
        <f t="shared" si="2"/>
        <v>2</v>
      </c>
      <c r="O142" s="121">
        <f t="shared" si="3"/>
        <v>0</v>
      </c>
      <c r="P142" s="120">
        <f t="shared" si="37"/>
        <v>0.25</v>
      </c>
      <c r="Q142" s="121">
        <f t="shared" si="4"/>
        <v>5</v>
      </c>
      <c r="R142" s="121">
        <f t="shared" si="5"/>
        <v>0</v>
      </c>
      <c r="S142" s="121">
        <f t="shared" si="6"/>
        <v>8</v>
      </c>
      <c r="T142" s="120">
        <f t="shared" si="38"/>
        <v>0.25</v>
      </c>
      <c r="U142" s="121">
        <f t="shared" si="7"/>
        <v>3</v>
      </c>
      <c r="V142" s="121">
        <f t="shared" si="8"/>
        <v>1</v>
      </c>
      <c r="W142" s="121">
        <f t="shared" si="9"/>
        <v>1</v>
      </c>
      <c r="X142" s="121">
        <f t="shared" si="10"/>
        <v>10</v>
      </c>
      <c r="Y142" s="120">
        <f t="shared" si="39"/>
        <v>0.1</v>
      </c>
      <c r="Z142" s="121">
        <f t="shared" si="11"/>
        <v>0</v>
      </c>
      <c r="AA142" s="121">
        <f t="shared" si="12"/>
        <v>0</v>
      </c>
      <c r="AB142" s="121">
        <f t="shared" si="13"/>
        <v>0</v>
      </c>
      <c r="AC142" s="121">
        <f t="shared" si="14"/>
        <v>0</v>
      </c>
      <c r="AD142" s="120" t="str">
        <f t="shared" si="40"/>
        <v/>
      </c>
      <c r="AE142" s="121">
        <f t="shared" si="15"/>
        <v>0</v>
      </c>
      <c r="AF142" s="121">
        <f t="shared" si="16"/>
        <v>0</v>
      </c>
      <c r="AG142" s="121">
        <f t="shared" si="17"/>
        <v>0</v>
      </c>
      <c r="AH142" s="121">
        <f t="shared" si="18"/>
        <v>0</v>
      </c>
      <c r="AI142" s="120" t="str">
        <f t="shared" si="41"/>
        <v/>
      </c>
      <c r="AJ142" s="121">
        <f t="shared" si="19"/>
        <v>3</v>
      </c>
      <c r="AK142" s="121">
        <f t="shared" si="20"/>
        <v>1</v>
      </c>
      <c r="AL142" s="121">
        <f t="shared" si="21"/>
        <v>1</v>
      </c>
      <c r="AM142" s="121">
        <f t="shared" si="22"/>
        <v>10</v>
      </c>
      <c r="AN142" s="120">
        <f t="shared" si="42"/>
        <v>0.1</v>
      </c>
      <c r="AO142" s="121">
        <f t="shared" si="23"/>
        <v>0</v>
      </c>
      <c r="AP142" s="121">
        <f t="shared" si="24"/>
        <v>0</v>
      </c>
      <c r="AQ142" s="121">
        <f t="shared" si="25"/>
        <v>0</v>
      </c>
      <c r="AR142" s="121">
        <f t="shared" si="26"/>
        <v>0</v>
      </c>
      <c r="AS142" s="120" t="str">
        <f t="shared" si="43"/>
        <v/>
      </c>
      <c r="AT142" s="121">
        <f t="shared" si="27"/>
        <v>0</v>
      </c>
      <c r="AU142" s="121">
        <f t="shared" si="28"/>
        <v>0</v>
      </c>
      <c r="AV142" s="121">
        <f t="shared" si="29"/>
        <v>0</v>
      </c>
      <c r="AW142" s="121">
        <f t="shared" si="30"/>
        <v>0</v>
      </c>
      <c r="AX142" s="120" t="str">
        <f t="shared" si="44"/>
        <v/>
      </c>
      <c r="AY142" s="121">
        <f t="shared" si="31"/>
        <v>0</v>
      </c>
      <c r="AZ142" s="121">
        <f t="shared" si="32"/>
        <v>0</v>
      </c>
      <c r="BA142" s="121">
        <f t="shared" si="33"/>
        <v>0</v>
      </c>
      <c r="BB142" s="121">
        <f t="shared" si="34"/>
        <v>0</v>
      </c>
      <c r="BC142" s="120" t="str">
        <f t="shared" si="45"/>
        <v/>
      </c>
    </row>
    <row r="143" spans="1:55" ht="14.25" customHeight="1" x14ac:dyDescent="0.3">
      <c r="A143" s="116" t="str">
        <f t="shared" si="46"/>
        <v>18 Acosta W.</v>
      </c>
      <c r="B143" s="119">
        <f t="shared" si="46"/>
        <v>0</v>
      </c>
      <c r="C143" s="119">
        <f t="shared" si="46"/>
        <v>0</v>
      </c>
      <c r="D143" s="119">
        <f t="shared" si="46"/>
        <v>0</v>
      </c>
      <c r="E143" s="119">
        <f t="shared" si="46"/>
        <v>0</v>
      </c>
      <c r="F143" s="119">
        <f t="shared" si="46"/>
        <v>0</v>
      </c>
      <c r="G143" s="120" t="str">
        <f t="shared" si="35"/>
        <v/>
      </c>
      <c r="H143" s="121">
        <f t="shared" si="47"/>
        <v>0</v>
      </c>
      <c r="I143" s="121">
        <f t="shared" si="47"/>
        <v>0</v>
      </c>
      <c r="J143" s="121">
        <f t="shared" si="47"/>
        <v>0</v>
      </c>
      <c r="K143" s="121">
        <f t="shared" si="47"/>
        <v>0</v>
      </c>
      <c r="L143" s="121">
        <f t="shared" si="47"/>
        <v>0</v>
      </c>
      <c r="M143" s="120" t="str">
        <f t="shared" si="36"/>
        <v/>
      </c>
      <c r="N143" s="121">
        <f t="shared" si="2"/>
        <v>0</v>
      </c>
      <c r="O143" s="121">
        <f t="shared" si="3"/>
        <v>0</v>
      </c>
      <c r="P143" s="120" t="str">
        <f t="shared" si="37"/>
        <v/>
      </c>
      <c r="Q143" s="121">
        <f t="shared" si="4"/>
        <v>0</v>
      </c>
      <c r="R143" s="121">
        <f t="shared" si="5"/>
        <v>0</v>
      </c>
      <c r="S143" s="121">
        <f t="shared" si="6"/>
        <v>0</v>
      </c>
      <c r="T143" s="120" t="str">
        <f t="shared" si="38"/>
        <v/>
      </c>
      <c r="U143" s="121">
        <f t="shared" si="7"/>
        <v>0</v>
      </c>
      <c r="V143" s="121">
        <f t="shared" si="8"/>
        <v>0</v>
      </c>
      <c r="W143" s="121">
        <f t="shared" si="9"/>
        <v>0</v>
      </c>
      <c r="X143" s="121">
        <f t="shared" si="10"/>
        <v>0</v>
      </c>
      <c r="Y143" s="120" t="str">
        <f t="shared" si="39"/>
        <v/>
      </c>
      <c r="Z143" s="121">
        <f t="shared" si="11"/>
        <v>0</v>
      </c>
      <c r="AA143" s="121">
        <f t="shared" si="12"/>
        <v>0</v>
      </c>
      <c r="AB143" s="121">
        <f t="shared" si="13"/>
        <v>0</v>
      </c>
      <c r="AC143" s="121">
        <f t="shared" si="14"/>
        <v>0</v>
      </c>
      <c r="AD143" s="120" t="str">
        <f t="shared" si="40"/>
        <v/>
      </c>
      <c r="AE143" s="121">
        <f t="shared" si="15"/>
        <v>0</v>
      </c>
      <c r="AF143" s="121">
        <f t="shared" si="16"/>
        <v>0</v>
      </c>
      <c r="AG143" s="121">
        <f t="shared" si="17"/>
        <v>0</v>
      </c>
      <c r="AH143" s="121">
        <f t="shared" si="18"/>
        <v>1</v>
      </c>
      <c r="AI143" s="120">
        <f t="shared" si="41"/>
        <v>0</v>
      </c>
      <c r="AJ143" s="121">
        <f t="shared" si="19"/>
        <v>0</v>
      </c>
      <c r="AK143" s="121">
        <f t="shared" si="20"/>
        <v>0</v>
      </c>
      <c r="AL143" s="121">
        <f t="shared" si="21"/>
        <v>0</v>
      </c>
      <c r="AM143" s="121">
        <f t="shared" si="22"/>
        <v>1</v>
      </c>
      <c r="AN143" s="120">
        <f t="shared" si="42"/>
        <v>0</v>
      </c>
      <c r="AO143" s="121">
        <f t="shared" si="23"/>
        <v>0</v>
      </c>
      <c r="AP143" s="121">
        <f t="shared" si="24"/>
        <v>0</v>
      </c>
      <c r="AQ143" s="121">
        <f t="shared" si="25"/>
        <v>0</v>
      </c>
      <c r="AR143" s="121">
        <f t="shared" si="26"/>
        <v>0</v>
      </c>
      <c r="AS143" s="120" t="str">
        <f t="shared" si="43"/>
        <v/>
      </c>
      <c r="AT143" s="121">
        <f t="shared" si="27"/>
        <v>0</v>
      </c>
      <c r="AU143" s="121">
        <f t="shared" si="28"/>
        <v>0</v>
      </c>
      <c r="AV143" s="121">
        <f t="shared" si="29"/>
        <v>0</v>
      </c>
      <c r="AW143" s="121">
        <f t="shared" si="30"/>
        <v>0</v>
      </c>
      <c r="AX143" s="120" t="str">
        <f t="shared" si="44"/>
        <v/>
      </c>
      <c r="AY143" s="121">
        <f t="shared" si="31"/>
        <v>0</v>
      </c>
      <c r="AZ143" s="121">
        <f t="shared" si="32"/>
        <v>0</v>
      </c>
      <c r="BA143" s="121">
        <f t="shared" si="33"/>
        <v>0</v>
      </c>
      <c r="BB143" s="121">
        <f t="shared" si="34"/>
        <v>0</v>
      </c>
      <c r="BC143" s="120" t="str">
        <f t="shared" si="45"/>
        <v/>
      </c>
    </row>
    <row r="144" spans="1:55" ht="14.25" customHeight="1" x14ac:dyDescent="0.3">
      <c r="A144" s="116" t="str">
        <f t="shared" si="46"/>
        <v>19 Diaz Bolli S.</v>
      </c>
      <c r="B144" s="119">
        <f t="shared" si="46"/>
        <v>0</v>
      </c>
      <c r="C144" s="119">
        <f t="shared" si="46"/>
        <v>0</v>
      </c>
      <c r="D144" s="119">
        <f t="shared" si="46"/>
        <v>0</v>
      </c>
      <c r="E144" s="119">
        <f t="shared" si="46"/>
        <v>0</v>
      </c>
      <c r="F144" s="119">
        <f t="shared" si="46"/>
        <v>0</v>
      </c>
      <c r="G144" s="120" t="str">
        <f t="shared" si="35"/>
        <v/>
      </c>
      <c r="H144" s="121">
        <f t="shared" si="47"/>
        <v>0</v>
      </c>
      <c r="I144" s="121">
        <f t="shared" si="47"/>
        <v>0</v>
      </c>
      <c r="J144" s="121">
        <f t="shared" si="47"/>
        <v>0</v>
      </c>
      <c r="K144" s="121">
        <f t="shared" si="47"/>
        <v>0</v>
      </c>
      <c r="L144" s="121">
        <f t="shared" si="47"/>
        <v>0</v>
      </c>
      <c r="M144" s="120" t="str">
        <f t="shared" si="36"/>
        <v/>
      </c>
      <c r="N144" s="121">
        <f t="shared" si="2"/>
        <v>0</v>
      </c>
      <c r="O144" s="121">
        <f t="shared" si="3"/>
        <v>0</v>
      </c>
      <c r="P144" s="120" t="str">
        <f t="shared" si="37"/>
        <v/>
      </c>
      <c r="Q144" s="121">
        <f t="shared" si="4"/>
        <v>0</v>
      </c>
      <c r="R144" s="121">
        <f t="shared" si="5"/>
        <v>0</v>
      </c>
      <c r="S144" s="121">
        <f t="shared" si="6"/>
        <v>0</v>
      </c>
      <c r="T144" s="120" t="str">
        <f t="shared" si="38"/>
        <v/>
      </c>
      <c r="U144" s="121">
        <f t="shared" si="7"/>
        <v>0</v>
      </c>
      <c r="V144" s="121">
        <f t="shared" si="8"/>
        <v>0</v>
      </c>
      <c r="W144" s="121">
        <f t="shared" si="9"/>
        <v>0</v>
      </c>
      <c r="X144" s="121">
        <f t="shared" si="10"/>
        <v>0</v>
      </c>
      <c r="Y144" s="120" t="str">
        <f t="shared" si="39"/>
        <v/>
      </c>
      <c r="Z144" s="121">
        <f t="shared" si="11"/>
        <v>0</v>
      </c>
      <c r="AA144" s="121">
        <f t="shared" si="12"/>
        <v>0</v>
      </c>
      <c r="AB144" s="121">
        <f t="shared" si="13"/>
        <v>0</v>
      </c>
      <c r="AC144" s="121">
        <f t="shared" si="14"/>
        <v>0</v>
      </c>
      <c r="AD144" s="120" t="str">
        <f t="shared" si="40"/>
        <v/>
      </c>
      <c r="AE144" s="121">
        <f t="shared" si="15"/>
        <v>0</v>
      </c>
      <c r="AF144" s="121">
        <f t="shared" si="16"/>
        <v>0</v>
      </c>
      <c r="AG144" s="121">
        <f t="shared" si="17"/>
        <v>0</v>
      </c>
      <c r="AH144" s="121">
        <f t="shared" si="18"/>
        <v>0</v>
      </c>
      <c r="AI144" s="120" t="str">
        <f t="shared" si="41"/>
        <v/>
      </c>
      <c r="AJ144" s="121">
        <f t="shared" si="19"/>
        <v>0</v>
      </c>
      <c r="AK144" s="121">
        <f t="shared" si="20"/>
        <v>0</v>
      </c>
      <c r="AL144" s="121">
        <f t="shared" si="21"/>
        <v>0</v>
      </c>
      <c r="AM144" s="121">
        <f t="shared" si="22"/>
        <v>0</v>
      </c>
      <c r="AN144" s="120" t="str">
        <f t="shared" si="42"/>
        <v/>
      </c>
      <c r="AO144" s="121">
        <f t="shared" si="23"/>
        <v>0</v>
      </c>
      <c r="AP144" s="121">
        <f t="shared" si="24"/>
        <v>0</v>
      </c>
      <c r="AQ144" s="121">
        <f t="shared" si="25"/>
        <v>0</v>
      </c>
      <c r="AR144" s="121">
        <f t="shared" si="26"/>
        <v>0</v>
      </c>
      <c r="AS144" s="120" t="str">
        <f t="shared" si="43"/>
        <v/>
      </c>
      <c r="AT144" s="121">
        <f t="shared" si="27"/>
        <v>0</v>
      </c>
      <c r="AU144" s="121">
        <f t="shared" si="28"/>
        <v>0</v>
      </c>
      <c r="AV144" s="121">
        <f t="shared" si="29"/>
        <v>0</v>
      </c>
      <c r="AW144" s="121">
        <f t="shared" si="30"/>
        <v>0</v>
      </c>
      <c r="AX144" s="120" t="str">
        <f t="shared" si="44"/>
        <v/>
      </c>
      <c r="AY144" s="121">
        <f t="shared" si="31"/>
        <v>0</v>
      </c>
      <c r="AZ144" s="121">
        <f t="shared" si="32"/>
        <v>0</v>
      </c>
      <c r="BA144" s="121">
        <f t="shared" si="33"/>
        <v>0</v>
      </c>
      <c r="BB144" s="121">
        <f t="shared" si="34"/>
        <v>0</v>
      </c>
      <c r="BC144" s="120" t="str">
        <f t="shared" si="45"/>
        <v/>
      </c>
    </row>
    <row r="146" spans="1:44" ht="14.25" customHeight="1" x14ac:dyDescent="0.3">
      <c r="A146" s="155" t="s">
        <v>194</v>
      </c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</row>
    <row r="147" spans="1:44" ht="14.25" customHeight="1" x14ac:dyDescent="0.3">
      <c r="A147" s="122"/>
      <c r="B147" s="123" t="s">
        <v>195</v>
      </c>
      <c r="C147" s="123" t="s">
        <v>196</v>
      </c>
      <c r="D147" s="123" t="s">
        <v>197</v>
      </c>
      <c r="E147" s="123" t="s">
        <v>198</v>
      </c>
      <c r="F147" s="123" t="s">
        <v>199</v>
      </c>
      <c r="G147" s="124" t="s">
        <v>128</v>
      </c>
      <c r="H147" s="124" t="s">
        <v>129</v>
      </c>
      <c r="I147" s="124" t="s">
        <v>200</v>
      </c>
      <c r="J147" s="124" t="s">
        <v>201</v>
      </c>
      <c r="K147" s="124" t="s">
        <v>202</v>
      </c>
      <c r="L147" s="123" t="s">
        <v>203</v>
      </c>
      <c r="M147" s="123" t="s">
        <v>204</v>
      </c>
      <c r="N147" s="123" t="s">
        <v>205</v>
      </c>
      <c r="O147" s="123" t="s">
        <v>206</v>
      </c>
      <c r="P147" s="123" t="s">
        <v>207</v>
      </c>
      <c r="Q147" s="125" t="s">
        <v>208</v>
      </c>
      <c r="R147" s="124" t="s">
        <v>209</v>
      </c>
      <c r="S147" s="124" t="s">
        <v>210</v>
      </c>
      <c r="T147" s="124" t="s">
        <v>211</v>
      </c>
      <c r="U147" s="126" t="s">
        <v>212</v>
      </c>
      <c r="V147" s="123" t="s">
        <v>213</v>
      </c>
      <c r="W147" s="123" t="s">
        <v>214</v>
      </c>
      <c r="X147" s="123" t="s">
        <v>215</v>
      </c>
      <c r="Y147" s="125" t="s">
        <v>216</v>
      </c>
      <c r="Z147" s="124" t="s">
        <v>217</v>
      </c>
      <c r="AA147" s="124" t="s">
        <v>218</v>
      </c>
      <c r="AB147" s="124" t="s">
        <v>219</v>
      </c>
      <c r="AC147" s="123" t="s">
        <v>220</v>
      </c>
      <c r="AD147" s="123" t="s">
        <v>221</v>
      </c>
      <c r="AE147" s="123" t="s">
        <v>222</v>
      </c>
      <c r="AF147" s="123" t="s">
        <v>223</v>
      </c>
      <c r="AG147" s="124" t="s">
        <v>224</v>
      </c>
      <c r="AH147" s="124" t="s">
        <v>225</v>
      </c>
      <c r="AI147" s="124" t="s">
        <v>226</v>
      </c>
      <c r="AJ147" s="124" t="s">
        <v>227</v>
      </c>
      <c r="AK147" s="123" t="s">
        <v>228</v>
      </c>
      <c r="AL147" s="123" t="s">
        <v>229</v>
      </c>
      <c r="AM147" s="123" t="s">
        <v>230</v>
      </c>
      <c r="AN147" s="123" t="s">
        <v>231</v>
      </c>
      <c r="AO147" s="124" t="s">
        <v>232</v>
      </c>
      <c r="AP147" s="124" t="s">
        <v>233</v>
      </c>
      <c r="AQ147" s="124" t="s">
        <v>234</v>
      </c>
      <c r="AR147" s="124" t="s">
        <v>235</v>
      </c>
    </row>
    <row r="148" spans="1:44" ht="14.25" customHeight="1" x14ac:dyDescent="0.3">
      <c r="A148" s="127" t="s">
        <v>109</v>
      </c>
      <c r="B148" s="128">
        <v>3</v>
      </c>
      <c r="C148" s="128">
        <v>13</v>
      </c>
      <c r="D148" s="128">
        <v>1</v>
      </c>
      <c r="E148" s="128">
        <v>11</v>
      </c>
      <c r="F148" s="129">
        <v>88</v>
      </c>
      <c r="G148" s="128">
        <v>29</v>
      </c>
      <c r="H148" s="128">
        <v>28</v>
      </c>
      <c r="I148" s="128">
        <v>4</v>
      </c>
      <c r="J148" s="128">
        <v>6</v>
      </c>
      <c r="K148" s="130">
        <v>81</v>
      </c>
      <c r="L148" s="128">
        <v>18</v>
      </c>
      <c r="M148" s="128">
        <v>5</v>
      </c>
      <c r="N148" s="128">
        <v>18</v>
      </c>
      <c r="O148" s="128">
        <v>2</v>
      </c>
      <c r="P148" s="129">
        <v>60</v>
      </c>
      <c r="Q148" s="128">
        <v>15</v>
      </c>
      <c r="R148" s="128">
        <v>3</v>
      </c>
      <c r="S148" s="128">
        <v>2</v>
      </c>
      <c r="T148" s="130">
        <v>28</v>
      </c>
      <c r="U148" s="128">
        <v>9</v>
      </c>
      <c r="V148" s="128">
        <v>6</v>
      </c>
      <c r="W148" s="128">
        <v>3</v>
      </c>
      <c r="X148" s="129">
        <v>28</v>
      </c>
      <c r="Y148" s="128">
        <v>17</v>
      </c>
      <c r="Z148" s="128">
        <v>3</v>
      </c>
      <c r="AA148" s="128">
        <v>6</v>
      </c>
      <c r="AB148" s="130">
        <v>54</v>
      </c>
      <c r="AC148" s="128">
        <v>22</v>
      </c>
      <c r="AD148" s="128">
        <v>2</v>
      </c>
      <c r="AE148" s="128">
        <v>8</v>
      </c>
      <c r="AF148" s="129">
        <v>57</v>
      </c>
      <c r="AG148" s="128">
        <v>3</v>
      </c>
      <c r="AH148" s="128">
        <v>3</v>
      </c>
      <c r="AI148" s="128">
        <v>0</v>
      </c>
      <c r="AJ148" s="130">
        <v>8</v>
      </c>
      <c r="AK148" s="128">
        <v>0</v>
      </c>
      <c r="AL148" s="128">
        <v>3</v>
      </c>
      <c r="AM148" s="128">
        <v>0</v>
      </c>
      <c r="AN148" s="129">
        <v>6</v>
      </c>
      <c r="AO148" s="128">
        <v>20</v>
      </c>
      <c r="AP148" s="128">
        <v>5</v>
      </c>
      <c r="AQ148" s="128">
        <v>5</v>
      </c>
      <c r="AR148" s="130">
        <v>49</v>
      </c>
    </row>
    <row r="149" spans="1:44" ht="14.25" customHeight="1" x14ac:dyDescent="0.3">
      <c r="A149" s="131" t="s">
        <v>68</v>
      </c>
      <c r="B149" s="128">
        <v>0</v>
      </c>
      <c r="C149" s="128">
        <v>0</v>
      </c>
      <c r="D149" s="128">
        <v>0</v>
      </c>
      <c r="E149" s="128">
        <v>1</v>
      </c>
      <c r="F149" s="129">
        <v>3</v>
      </c>
      <c r="G149" s="128">
        <v>1</v>
      </c>
      <c r="H149" s="128">
        <v>0</v>
      </c>
      <c r="I149" s="128">
        <v>0</v>
      </c>
      <c r="J149" s="128">
        <v>0</v>
      </c>
      <c r="K149" s="130">
        <v>1</v>
      </c>
      <c r="L149" s="128">
        <v>5</v>
      </c>
      <c r="M149" s="128">
        <v>0</v>
      </c>
      <c r="N149" s="128">
        <v>0</v>
      </c>
      <c r="O149" s="128">
        <v>0</v>
      </c>
      <c r="P149" s="129">
        <v>5</v>
      </c>
      <c r="Q149" s="128">
        <v>4</v>
      </c>
      <c r="R149" s="128">
        <v>0</v>
      </c>
      <c r="S149" s="128">
        <v>0</v>
      </c>
      <c r="T149" s="130">
        <v>5</v>
      </c>
      <c r="U149" s="128">
        <v>0</v>
      </c>
      <c r="V149" s="128">
        <v>0</v>
      </c>
      <c r="W149" s="128">
        <v>0</v>
      </c>
      <c r="X149" s="129">
        <v>0</v>
      </c>
      <c r="Y149" s="128">
        <v>0</v>
      </c>
      <c r="Z149" s="128">
        <v>0</v>
      </c>
      <c r="AA149" s="128">
        <v>0</v>
      </c>
      <c r="AB149" s="130">
        <v>0</v>
      </c>
      <c r="AC149" s="128">
        <v>4</v>
      </c>
      <c r="AD149" s="128">
        <v>0</v>
      </c>
      <c r="AE149" s="128">
        <v>0</v>
      </c>
      <c r="AF149" s="129">
        <v>5</v>
      </c>
      <c r="AG149" s="128">
        <v>0</v>
      </c>
      <c r="AH149" s="128">
        <v>0</v>
      </c>
      <c r="AI149" s="128">
        <v>0</v>
      </c>
      <c r="AJ149" s="130">
        <v>0</v>
      </c>
      <c r="AK149" s="128">
        <v>0</v>
      </c>
      <c r="AL149" s="128">
        <v>0</v>
      </c>
      <c r="AM149" s="128">
        <v>0</v>
      </c>
      <c r="AN149" s="129">
        <v>0</v>
      </c>
      <c r="AO149" s="128">
        <v>0</v>
      </c>
      <c r="AP149" s="128">
        <v>0</v>
      </c>
      <c r="AQ149" s="128">
        <v>0</v>
      </c>
      <c r="AR149" s="130">
        <v>0</v>
      </c>
    </row>
    <row r="150" spans="1:44" ht="14.25" customHeight="1" x14ac:dyDescent="0.3">
      <c r="A150" s="131" t="s">
        <v>146</v>
      </c>
      <c r="B150" s="128">
        <v>0</v>
      </c>
      <c r="C150" s="128">
        <v>0</v>
      </c>
      <c r="D150" s="128">
        <v>0</v>
      </c>
      <c r="E150" s="128">
        <v>0</v>
      </c>
      <c r="F150" s="129">
        <v>0</v>
      </c>
      <c r="G150" s="128">
        <v>0</v>
      </c>
      <c r="H150" s="128">
        <v>0</v>
      </c>
      <c r="I150" s="128">
        <v>0</v>
      </c>
      <c r="J150" s="128">
        <v>0</v>
      </c>
      <c r="K150" s="130">
        <v>0</v>
      </c>
      <c r="L150" s="128">
        <v>0</v>
      </c>
      <c r="M150" s="128">
        <v>0</v>
      </c>
      <c r="N150" s="128">
        <v>0</v>
      </c>
      <c r="O150" s="128">
        <v>0</v>
      </c>
      <c r="P150" s="129">
        <v>0</v>
      </c>
      <c r="Q150" s="128">
        <v>0</v>
      </c>
      <c r="R150" s="128">
        <v>0</v>
      </c>
      <c r="S150" s="128">
        <v>0</v>
      </c>
      <c r="T150" s="130">
        <v>0</v>
      </c>
      <c r="U150" s="128">
        <v>0</v>
      </c>
      <c r="V150" s="128">
        <v>0</v>
      </c>
      <c r="W150" s="128">
        <v>0</v>
      </c>
      <c r="X150" s="129">
        <v>0</v>
      </c>
      <c r="Y150" s="128">
        <v>0</v>
      </c>
      <c r="Z150" s="128">
        <v>0</v>
      </c>
      <c r="AA150" s="128">
        <v>0</v>
      </c>
      <c r="AB150" s="130">
        <v>0</v>
      </c>
      <c r="AC150" s="128">
        <v>0</v>
      </c>
      <c r="AD150" s="128">
        <v>0</v>
      </c>
      <c r="AE150" s="128">
        <v>0</v>
      </c>
      <c r="AF150" s="129">
        <v>0</v>
      </c>
      <c r="AG150" s="128">
        <v>0</v>
      </c>
      <c r="AH150" s="128">
        <v>0</v>
      </c>
      <c r="AI150" s="128">
        <v>0</v>
      </c>
      <c r="AJ150" s="130">
        <v>0</v>
      </c>
      <c r="AK150" s="128">
        <v>0</v>
      </c>
      <c r="AL150" s="128">
        <v>0</v>
      </c>
      <c r="AM150" s="128">
        <v>0</v>
      </c>
      <c r="AN150" s="129">
        <v>0</v>
      </c>
      <c r="AO150" s="128">
        <v>0</v>
      </c>
      <c r="AP150" s="128">
        <v>0</v>
      </c>
      <c r="AQ150" s="128">
        <v>0</v>
      </c>
      <c r="AR150" s="130">
        <v>0</v>
      </c>
    </row>
    <row r="151" spans="1:44" ht="14.25" customHeight="1" x14ac:dyDescent="0.3">
      <c r="A151" s="131" t="s">
        <v>97</v>
      </c>
      <c r="B151" s="128">
        <v>0</v>
      </c>
      <c r="C151" s="128">
        <v>0</v>
      </c>
      <c r="D151" s="128">
        <v>0</v>
      </c>
      <c r="E151" s="128">
        <v>0</v>
      </c>
      <c r="F151" s="129">
        <v>6</v>
      </c>
      <c r="G151" s="128">
        <v>0</v>
      </c>
      <c r="H151" s="128">
        <v>0</v>
      </c>
      <c r="I151" s="128">
        <v>0</v>
      </c>
      <c r="J151" s="128">
        <v>0</v>
      </c>
      <c r="K151" s="130">
        <v>0</v>
      </c>
      <c r="L151" s="128">
        <v>0</v>
      </c>
      <c r="M151" s="128">
        <v>1</v>
      </c>
      <c r="N151" s="128">
        <v>0</v>
      </c>
      <c r="O151" s="128">
        <v>1</v>
      </c>
      <c r="P151" s="129">
        <v>2</v>
      </c>
      <c r="Q151" s="128">
        <v>0</v>
      </c>
      <c r="R151" s="128">
        <v>0</v>
      </c>
      <c r="S151" s="128">
        <v>0</v>
      </c>
      <c r="T151" s="130">
        <v>0</v>
      </c>
      <c r="U151" s="128">
        <v>0</v>
      </c>
      <c r="V151" s="128">
        <v>0</v>
      </c>
      <c r="W151" s="128">
        <v>0</v>
      </c>
      <c r="X151" s="129">
        <v>0</v>
      </c>
      <c r="Y151" s="128">
        <v>0</v>
      </c>
      <c r="Z151" s="128">
        <v>0</v>
      </c>
      <c r="AA151" s="128">
        <v>0</v>
      </c>
      <c r="AB151" s="130">
        <v>0</v>
      </c>
      <c r="AC151" s="128">
        <v>0</v>
      </c>
      <c r="AD151" s="128">
        <v>0</v>
      </c>
      <c r="AE151" s="128">
        <v>0</v>
      </c>
      <c r="AF151" s="129">
        <v>0</v>
      </c>
      <c r="AG151" s="128">
        <v>0</v>
      </c>
      <c r="AH151" s="128">
        <v>0</v>
      </c>
      <c r="AI151" s="128">
        <v>0</v>
      </c>
      <c r="AJ151" s="130">
        <v>0</v>
      </c>
      <c r="AK151" s="128">
        <v>0</v>
      </c>
      <c r="AL151" s="128">
        <v>0</v>
      </c>
      <c r="AM151" s="128">
        <v>0</v>
      </c>
      <c r="AN151" s="129">
        <v>0</v>
      </c>
      <c r="AO151" s="128">
        <v>2</v>
      </c>
      <c r="AP151" s="128">
        <v>0</v>
      </c>
      <c r="AQ151" s="128">
        <v>0</v>
      </c>
      <c r="AR151" s="130">
        <v>2</v>
      </c>
    </row>
    <row r="152" spans="1:44" ht="14.25" customHeight="1" x14ac:dyDescent="0.3">
      <c r="A152" s="131" t="s">
        <v>54</v>
      </c>
      <c r="B152" s="128">
        <v>1</v>
      </c>
      <c r="C152" s="128">
        <v>1</v>
      </c>
      <c r="D152" s="128">
        <v>0</v>
      </c>
      <c r="E152" s="128">
        <v>5</v>
      </c>
      <c r="F152" s="129">
        <v>10</v>
      </c>
      <c r="G152" s="128">
        <v>0</v>
      </c>
      <c r="H152" s="128">
        <v>0</v>
      </c>
      <c r="I152" s="128">
        <v>0</v>
      </c>
      <c r="J152" s="128">
        <v>0</v>
      </c>
      <c r="K152" s="130">
        <v>0</v>
      </c>
      <c r="L152" s="128">
        <v>0</v>
      </c>
      <c r="M152" s="128">
        <v>1</v>
      </c>
      <c r="N152" s="128">
        <v>4</v>
      </c>
      <c r="O152" s="128">
        <v>0</v>
      </c>
      <c r="P152" s="129">
        <v>8</v>
      </c>
      <c r="Q152" s="128">
        <v>0</v>
      </c>
      <c r="R152" s="128">
        <v>0</v>
      </c>
      <c r="S152" s="128">
        <v>0</v>
      </c>
      <c r="T152" s="130">
        <v>0</v>
      </c>
      <c r="U152" s="128">
        <v>2</v>
      </c>
      <c r="V152" s="128">
        <v>3</v>
      </c>
      <c r="W152" s="128">
        <v>2</v>
      </c>
      <c r="X152" s="129">
        <v>10</v>
      </c>
      <c r="Y152" s="128">
        <v>5</v>
      </c>
      <c r="Z152" s="128">
        <v>2</v>
      </c>
      <c r="AA152" s="128">
        <v>2</v>
      </c>
      <c r="AB152" s="130">
        <v>16</v>
      </c>
      <c r="AC152" s="128">
        <v>3</v>
      </c>
      <c r="AD152" s="128">
        <v>1</v>
      </c>
      <c r="AE152" s="128">
        <v>2</v>
      </c>
      <c r="AF152" s="129">
        <v>11</v>
      </c>
      <c r="AG152" s="128">
        <v>0</v>
      </c>
      <c r="AH152" s="128">
        <v>1</v>
      </c>
      <c r="AI152" s="128">
        <v>0</v>
      </c>
      <c r="AJ152" s="130">
        <v>2</v>
      </c>
      <c r="AK152" s="128">
        <v>0</v>
      </c>
      <c r="AL152" s="128">
        <v>1</v>
      </c>
      <c r="AM152" s="128">
        <v>0</v>
      </c>
      <c r="AN152" s="129">
        <v>2</v>
      </c>
      <c r="AO152" s="128">
        <v>5</v>
      </c>
      <c r="AP152" s="128">
        <v>2</v>
      </c>
      <c r="AQ152" s="128">
        <v>2</v>
      </c>
      <c r="AR152" s="130">
        <v>12</v>
      </c>
    </row>
    <row r="153" spans="1:44" ht="14.25" customHeight="1" x14ac:dyDescent="0.3">
      <c r="A153" s="131" t="s">
        <v>87</v>
      </c>
      <c r="B153" s="128">
        <v>0</v>
      </c>
      <c r="C153" s="128">
        <v>0</v>
      </c>
      <c r="D153" s="128">
        <v>0</v>
      </c>
      <c r="E153" s="128">
        <v>0</v>
      </c>
      <c r="F153" s="129">
        <v>0</v>
      </c>
      <c r="G153" s="128">
        <v>0</v>
      </c>
      <c r="H153" s="128">
        <v>0</v>
      </c>
      <c r="I153" s="128">
        <v>0</v>
      </c>
      <c r="J153" s="128">
        <v>0</v>
      </c>
      <c r="K153" s="130">
        <v>0</v>
      </c>
      <c r="L153" s="128">
        <v>0</v>
      </c>
      <c r="M153" s="128">
        <v>0</v>
      </c>
      <c r="N153" s="128">
        <v>0</v>
      </c>
      <c r="O153" s="128">
        <v>0</v>
      </c>
      <c r="P153" s="129">
        <v>0</v>
      </c>
      <c r="Q153" s="128">
        <v>0</v>
      </c>
      <c r="R153" s="128">
        <v>0</v>
      </c>
      <c r="S153" s="128">
        <v>0</v>
      </c>
      <c r="T153" s="130">
        <v>0</v>
      </c>
      <c r="U153" s="128">
        <v>0</v>
      </c>
      <c r="V153" s="128">
        <v>0</v>
      </c>
      <c r="W153" s="128">
        <v>0</v>
      </c>
      <c r="X153" s="129">
        <v>0</v>
      </c>
      <c r="Y153" s="128">
        <v>0</v>
      </c>
      <c r="Z153" s="128">
        <v>0</v>
      </c>
      <c r="AA153" s="128">
        <v>0</v>
      </c>
      <c r="AB153" s="130">
        <v>0</v>
      </c>
      <c r="AC153" s="128">
        <v>0</v>
      </c>
      <c r="AD153" s="128">
        <v>0</v>
      </c>
      <c r="AE153" s="128">
        <v>0</v>
      </c>
      <c r="AF153" s="129">
        <v>0</v>
      </c>
      <c r="AG153" s="128">
        <v>0</v>
      </c>
      <c r="AH153" s="128">
        <v>0</v>
      </c>
      <c r="AI153" s="128">
        <v>0</v>
      </c>
      <c r="AJ153" s="130">
        <v>0</v>
      </c>
      <c r="AK153" s="128">
        <v>0</v>
      </c>
      <c r="AL153" s="128">
        <v>0</v>
      </c>
      <c r="AM153" s="128">
        <v>0</v>
      </c>
      <c r="AN153" s="129">
        <v>0</v>
      </c>
      <c r="AO153" s="128">
        <v>0</v>
      </c>
      <c r="AP153" s="128">
        <v>0</v>
      </c>
      <c r="AQ153" s="128">
        <v>0</v>
      </c>
      <c r="AR153" s="130">
        <v>0</v>
      </c>
    </row>
    <row r="154" spans="1:44" ht="14.25" customHeight="1" x14ac:dyDescent="0.3">
      <c r="A154" s="131" t="s">
        <v>94</v>
      </c>
      <c r="B154" s="128">
        <v>1</v>
      </c>
      <c r="C154" s="128">
        <v>3</v>
      </c>
      <c r="D154" s="128">
        <v>0</v>
      </c>
      <c r="E154" s="128">
        <v>0</v>
      </c>
      <c r="F154" s="129">
        <v>13</v>
      </c>
      <c r="G154" s="128">
        <v>0</v>
      </c>
      <c r="H154" s="128">
        <v>0</v>
      </c>
      <c r="I154" s="128">
        <v>0</v>
      </c>
      <c r="J154" s="128">
        <v>0</v>
      </c>
      <c r="K154" s="130">
        <v>1</v>
      </c>
      <c r="L154" s="128">
        <v>1</v>
      </c>
      <c r="M154" s="128">
        <v>0</v>
      </c>
      <c r="N154" s="128">
        <v>0</v>
      </c>
      <c r="O154" s="128">
        <v>1</v>
      </c>
      <c r="P154" s="129">
        <v>6</v>
      </c>
      <c r="Q154" s="128">
        <v>0</v>
      </c>
      <c r="R154" s="128">
        <v>0</v>
      </c>
      <c r="S154" s="128">
        <v>0</v>
      </c>
      <c r="T154" s="130">
        <v>0</v>
      </c>
      <c r="U154" s="128">
        <v>0</v>
      </c>
      <c r="V154" s="128">
        <v>0</v>
      </c>
      <c r="W154" s="128">
        <v>0</v>
      </c>
      <c r="X154" s="129">
        <v>0</v>
      </c>
      <c r="Y154" s="128">
        <v>0</v>
      </c>
      <c r="Z154" s="128">
        <v>0</v>
      </c>
      <c r="AA154" s="128">
        <v>0</v>
      </c>
      <c r="AB154" s="130">
        <v>0</v>
      </c>
      <c r="AC154" s="128">
        <v>0</v>
      </c>
      <c r="AD154" s="128">
        <v>0</v>
      </c>
      <c r="AE154" s="128">
        <v>0</v>
      </c>
      <c r="AF154" s="129">
        <v>0</v>
      </c>
      <c r="AG154" s="128">
        <v>0</v>
      </c>
      <c r="AH154" s="128">
        <v>1</v>
      </c>
      <c r="AI154" s="128">
        <v>0</v>
      </c>
      <c r="AJ154" s="130">
        <v>1</v>
      </c>
      <c r="AK154" s="128">
        <v>0</v>
      </c>
      <c r="AL154" s="128">
        <v>0</v>
      </c>
      <c r="AM154" s="128">
        <v>0</v>
      </c>
      <c r="AN154" s="129">
        <v>0</v>
      </c>
      <c r="AO154" s="128">
        <v>0</v>
      </c>
      <c r="AP154" s="128">
        <v>0</v>
      </c>
      <c r="AQ154" s="128">
        <v>1</v>
      </c>
      <c r="AR154" s="130">
        <v>1</v>
      </c>
    </row>
    <row r="155" spans="1:44" ht="14.25" customHeight="1" x14ac:dyDescent="0.3">
      <c r="A155" s="131" t="s">
        <v>98</v>
      </c>
      <c r="B155" s="128">
        <v>0</v>
      </c>
      <c r="C155" s="128">
        <v>0</v>
      </c>
      <c r="D155" s="128">
        <v>0</v>
      </c>
      <c r="E155" s="128">
        <v>0</v>
      </c>
      <c r="F155" s="129">
        <v>0</v>
      </c>
      <c r="G155" s="128">
        <v>0</v>
      </c>
      <c r="H155" s="128">
        <v>0</v>
      </c>
      <c r="I155" s="128">
        <v>0</v>
      </c>
      <c r="J155" s="128">
        <v>0</v>
      </c>
      <c r="K155" s="130">
        <v>0</v>
      </c>
      <c r="L155" s="128">
        <v>0</v>
      </c>
      <c r="M155" s="128">
        <v>0</v>
      </c>
      <c r="N155" s="128">
        <v>0</v>
      </c>
      <c r="O155" s="128">
        <v>0</v>
      </c>
      <c r="P155" s="129">
        <v>0</v>
      </c>
      <c r="Q155" s="128">
        <v>0</v>
      </c>
      <c r="R155" s="128">
        <v>0</v>
      </c>
      <c r="S155" s="128">
        <v>0</v>
      </c>
      <c r="T155" s="130">
        <v>0</v>
      </c>
      <c r="U155" s="128">
        <v>0</v>
      </c>
      <c r="V155" s="128">
        <v>0</v>
      </c>
      <c r="W155" s="128">
        <v>0</v>
      </c>
      <c r="X155" s="129">
        <v>0</v>
      </c>
      <c r="Y155" s="128">
        <v>0</v>
      </c>
      <c r="Z155" s="128">
        <v>0</v>
      </c>
      <c r="AA155" s="128">
        <v>0</v>
      </c>
      <c r="AB155" s="130">
        <v>0</v>
      </c>
      <c r="AC155" s="128">
        <v>0</v>
      </c>
      <c r="AD155" s="128">
        <v>0</v>
      </c>
      <c r="AE155" s="128">
        <v>0</v>
      </c>
      <c r="AF155" s="129">
        <v>0</v>
      </c>
      <c r="AG155" s="128">
        <v>0</v>
      </c>
      <c r="AH155" s="128">
        <v>0</v>
      </c>
      <c r="AI155" s="128">
        <v>0</v>
      </c>
      <c r="AJ155" s="130">
        <v>0</v>
      </c>
      <c r="AK155" s="128">
        <v>0</v>
      </c>
      <c r="AL155" s="128">
        <v>0</v>
      </c>
      <c r="AM155" s="128">
        <v>0</v>
      </c>
      <c r="AN155" s="129">
        <v>0</v>
      </c>
      <c r="AO155" s="128">
        <v>0</v>
      </c>
      <c r="AP155" s="128">
        <v>0</v>
      </c>
      <c r="AQ155" s="128">
        <v>0</v>
      </c>
      <c r="AR155" s="130">
        <v>0</v>
      </c>
    </row>
    <row r="156" spans="1:44" ht="14.25" customHeight="1" x14ac:dyDescent="0.3">
      <c r="A156" s="131" t="s">
        <v>86</v>
      </c>
      <c r="B156" s="128">
        <v>0</v>
      </c>
      <c r="C156" s="128">
        <v>3</v>
      </c>
      <c r="D156" s="128">
        <v>0</v>
      </c>
      <c r="E156" s="128">
        <v>4</v>
      </c>
      <c r="F156" s="129">
        <v>10</v>
      </c>
      <c r="G156" s="128">
        <v>10</v>
      </c>
      <c r="H156" s="128">
        <v>12</v>
      </c>
      <c r="I156" s="128">
        <v>1</v>
      </c>
      <c r="J156" s="128">
        <v>1</v>
      </c>
      <c r="K156" s="130">
        <v>28</v>
      </c>
      <c r="L156" s="128">
        <v>3</v>
      </c>
      <c r="M156" s="128">
        <v>0</v>
      </c>
      <c r="N156" s="128">
        <v>3</v>
      </c>
      <c r="O156" s="128">
        <v>0</v>
      </c>
      <c r="P156" s="129">
        <v>7</v>
      </c>
      <c r="Q156" s="128">
        <v>0</v>
      </c>
      <c r="R156" s="128">
        <v>0</v>
      </c>
      <c r="S156" s="128">
        <v>0</v>
      </c>
      <c r="T156" s="130">
        <v>0</v>
      </c>
      <c r="U156" s="128">
        <v>4</v>
      </c>
      <c r="V156" s="128">
        <v>1</v>
      </c>
      <c r="W156" s="128">
        <v>1</v>
      </c>
      <c r="X156" s="129">
        <v>9</v>
      </c>
      <c r="Y156" s="128">
        <v>8</v>
      </c>
      <c r="Z156" s="128">
        <v>1</v>
      </c>
      <c r="AA156" s="128">
        <v>2</v>
      </c>
      <c r="AB156" s="130">
        <v>24</v>
      </c>
      <c r="AC156" s="128">
        <v>5</v>
      </c>
      <c r="AD156" s="128">
        <v>0</v>
      </c>
      <c r="AE156" s="128">
        <v>2</v>
      </c>
      <c r="AF156" s="129">
        <v>15</v>
      </c>
      <c r="AG156" s="128">
        <v>1</v>
      </c>
      <c r="AH156" s="128">
        <v>0</v>
      </c>
      <c r="AI156" s="128">
        <v>0</v>
      </c>
      <c r="AJ156" s="130">
        <v>1</v>
      </c>
      <c r="AK156" s="128">
        <v>0</v>
      </c>
      <c r="AL156" s="128">
        <v>0</v>
      </c>
      <c r="AM156" s="128">
        <v>0</v>
      </c>
      <c r="AN156" s="129">
        <v>1</v>
      </c>
      <c r="AO156" s="128">
        <v>7</v>
      </c>
      <c r="AP156" s="128">
        <v>2</v>
      </c>
      <c r="AQ156" s="128">
        <v>2</v>
      </c>
      <c r="AR156" s="130">
        <v>19</v>
      </c>
    </row>
    <row r="157" spans="1:44" ht="14.25" customHeight="1" x14ac:dyDescent="0.3">
      <c r="A157" s="131" t="s">
        <v>144</v>
      </c>
      <c r="B157" s="128">
        <v>0</v>
      </c>
      <c r="C157" s="128">
        <v>0</v>
      </c>
      <c r="D157" s="128">
        <v>0</v>
      </c>
      <c r="E157" s="128">
        <v>0</v>
      </c>
      <c r="F157" s="129">
        <v>0</v>
      </c>
      <c r="G157" s="128">
        <v>11</v>
      </c>
      <c r="H157" s="128">
        <v>13</v>
      </c>
      <c r="I157" s="128">
        <v>2</v>
      </c>
      <c r="J157" s="128">
        <v>3</v>
      </c>
      <c r="K157" s="130">
        <v>38</v>
      </c>
      <c r="L157" s="128">
        <v>0</v>
      </c>
      <c r="M157" s="128">
        <v>0</v>
      </c>
      <c r="N157" s="128">
        <v>0</v>
      </c>
      <c r="O157" s="128">
        <v>0</v>
      </c>
      <c r="P157" s="129">
        <v>0</v>
      </c>
      <c r="Q157" s="128">
        <v>0</v>
      </c>
      <c r="R157" s="128">
        <v>0</v>
      </c>
      <c r="S157" s="128">
        <v>0</v>
      </c>
      <c r="T157" s="130">
        <v>0</v>
      </c>
      <c r="U157" s="128">
        <v>0</v>
      </c>
      <c r="V157" s="128">
        <v>0</v>
      </c>
      <c r="W157" s="128">
        <v>0</v>
      </c>
      <c r="X157" s="129">
        <v>0</v>
      </c>
      <c r="Y157" s="128">
        <v>0</v>
      </c>
      <c r="Z157" s="128">
        <v>0</v>
      </c>
      <c r="AA157" s="128">
        <v>0</v>
      </c>
      <c r="AB157" s="130">
        <v>0</v>
      </c>
      <c r="AC157" s="128">
        <v>0</v>
      </c>
      <c r="AD157" s="128">
        <v>0</v>
      </c>
      <c r="AE157" s="128">
        <v>0</v>
      </c>
      <c r="AF157" s="129">
        <v>0</v>
      </c>
      <c r="AG157" s="128">
        <v>0</v>
      </c>
      <c r="AH157" s="128">
        <v>0</v>
      </c>
      <c r="AI157" s="128">
        <v>0</v>
      </c>
      <c r="AJ157" s="130">
        <v>0</v>
      </c>
      <c r="AK157" s="128">
        <v>0</v>
      </c>
      <c r="AL157" s="128">
        <v>0</v>
      </c>
      <c r="AM157" s="128">
        <v>0</v>
      </c>
      <c r="AN157" s="129">
        <v>0</v>
      </c>
      <c r="AO157" s="128">
        <v>0</v>
      </c>
      <c r="AP157" s="128">
        <v>0</v>
      </c>
      <c r="AQ157" s="128">
        <v>0</v>
      </c>
      <c r="AR157" s="130">
        <v>0</v>
      </c>
    </row>
    <row r="158" spans="1:44" ht="14.25" customHeight="1" x14ac:dyDescent="0.3">
      <c r="A158" s="131" t="s">
        <v>88</v>
      </c>
      <c r="B158" s="128">
        <v>0</v>
      </c>
      <c r="C158" s="128">
        <v>0</v>
      </c>
      <c r="D158" s="128">
        <v>0</v>
      </c>
      <c r="E158" s="128">
        <v>1</v>
      </c>
      <c r="F158" s="129">
        <v>2</v>
      </c>
      <c r="G158" s="128">
        <v>0</v>
      </c>
      <c r="H158" s="128">
        <v>0</v>
      </c>
      <c r="I158" s="128">
        <v>0</v>
      </c>
      <c r="J158" s="128">
        <v>0</v>
      </c>
      <c r="K158" s="130">
        <v>0</v>
      </c>
      <c r="L158" s="128">
        <v>0</v>
      </c>
      <c r="M158" s="128">
        <v>0</v>
      </c>
      <c r="N158" s="128">
        <v>0</v>
      </c>
      <c r="O158" s="128">
        <v>0</v>
      </c>
      <c r="P158" s="129">
        <v>0</v>
      </c>
      <c r="Q158" s="128">
        <v>0</v>
      </c>
      <c r="R158" s="128">
        <v>0</v>
      </c>
      <c r="S158" s="128">
        <v>0</v>
      </c>
      <c r="T158" s="130">
        <v>0</v>
      </c>
      <c r="U158" s="128">
        <v>0</v>
      </c>
      <c r="V158" s="128">
        <v>0</v>
      </c>
      <c r="W158" s="128">
        <v>0</v>
      </c>
      <c r="X158" s="129">
        <v>0</v>
      </c>
      <c r="Y158" s="128">
        <v>0</v>
      </c>
      <c r="Z158" s="128">
        <v>0</v>
      </c>
      <c r="AA158" s="128">
        <v>0</v>
      </c>
      <c r="AB158" s="130">
        <v>0</v>
      </c>
      <c r="AC158" s="128">
        <v>0</v>
      </c>
      <c r="AD158" s="128">
        <v>0</v>
      </c>
      <c r="AE158" s="128">
        <v>0</v>
      </c>
      <c r="AF158" s="129">
        <v>0</v>
      </c>
      <c r="AG158" s="128">
        <v>0</v>
      </c>
      <c r="AH158" s="128">
        <v>0</v>
      </c>
      <c r="AI158" s="128">
        <v>0</v>
      </c>
      <c r="AJ158" s="130">
        <v>0</v>
      </c>
      <c r="AK158" s="128">
        <v>0</v>
      </c>
      <c r="AL158" s="128">
        <v>0</v>
      </c>
      <c r="AM158" s="128">
        <v>0</v>
      </c>
      <c r="AN158" s="129">
        <v>0</v>
      </c>
      <c r="AO158" s="128">
        <v>0</v>
      </c>
      <c r="AP158" s="128">
        <v>0</v>
      </c>
      <c r="AQ158" s="128">
        <v>0</v>
      </c>
      <c r="AR158" s="130">
        <v>0</v>
      </c>
    </row>
    <row r="159" spans="1:44" ht="14.25" customHeight="1" x14ac:dyDescent="0.3">
      <c r="A159" s="131" t="s">
        <v>85</v>
      </c>
      <c r="B159" s="128">
        <v>1</v>
      </c>
      <c r="C159" s="128">
        <v>6</v>
      </c>
      <c r="D159" s="128">
        <v>1</v>
      </c>
      <c r="E159" s="128">
        <v>0</v>
      </c>
      <c r="F159" s="129">
        <v>25</v>
      </c>
      <c r="G159" s="128">
        <v>6</v>
      </c>
      <c r="H159" s="128">
        <v>3</v>
      </c>
      <c r="I159" s="128">
        <v>1</v>
      </c>
      <c r="J159" s="128">
        <v>2</v>
      </c>
      <c r="K159" s="130">
        <v>12</v>
      </c>
      <c r="L159" s="128">
        <v>1</v>
      </c>
      <c r="M159" s="128">
        <v>1</v>
      </c>
      <c r="N159" s="128">
        <v>1</v>
      </c>
      <c r="O159" s="128">
        <v>0</v>
      </c>
      <c r="P159" s="129">
        <v>6</v>
      </c>
      <c r="Q159" s="128">
        <v>0</v>
      </c>
      <c r="R159" s="128">
        <v>0</v>
      </c>
      <c r="S159" s="128">
        <v>0</v>
      </c>
      <c r="T159" s="130">
        <v>0</v>
      </c>
      <c r="U159" s="128">
        <v>3</v>
      </c>
      <c r="V159" s="128">
        <v>2</v>
      </c>
      <c r="W159" s="128">
        <v>0</v>
      </c>
      <c r="X159" s="129">
        <v>9</v>
      </c>
      <c r="Y159" s="128">
        <v>4</v>
      </c>
      <c r="Z159" s="128">
        <v>0</v>
      </c>
      <c r="AA159" s="128">
        <v>2</v>
      </c>
      <c r="AB159" s="130">
        <v>13</v>
      </c>
      <c r="AC159" s="128">
        <v>3</v>
      </c>
      <c r="AD159" s="128">
        <v>0</v>
      </c>
      <c r="AE159" s="128">
        <v>2</v>
      </c>
      <c r="AF159" s="129">
        <v>9</v>
      </c>
      <c r="AG159" s="128">
        <v>1</v>
      </c>
      <c r="AH159" s="128">
        <v>0</v>
      </c>
      <c r="AI159" s="128">
        <v>0</v>
      </c>
      <c r="AJ159" s="130">
        <v>2</v>
      </c>
      <c r="AK159" s="128">
        <v>0</v>
      </c>
      <c r="AL159" s="128">
        <v>2</v>
      </c>
      <c r="AM159" s="128">
        <v>0</v>
      </c>
      <c r="AN159" s="129">
        <v>3</v>
      </c>
      <c r="AO159" s="128">
        <v>3</v>
      </c>
      <c r="AP159" s="128">
        <v>0</v>
      </c>
      <c r="AQ159" s="128">
        <v>0</v>
      </c>
      <c r="AR159" s="130">
        <v>8</v>
      </c>
    </row>
    <row r="160" spans="1:44" ht="14.25" customHeight="1" x14ac:dyDescent="0.3">
      <c r="A160" s="132" t="s">
        <v>67</v>
      </c>
      <c r="B160" s="133">
        <v>0</v>
      </c>
      <c r="C160" s="133">
        <v>0</v>
      </c>
      <c r="D160" s="133">
        <v>0</v>
      </c>
      <c r="E160" s="133">
        <v>0</v>
      </c>
      <c r="F160" s="134">
        <v>0</v>
      </c>
      <c r="G160" s="133">
        <v>0</v>
      </c>
      <c r="H160" s="133">
        <v>0</v>
      </c>
      <c r="I160" s="133">
        <v>0</v>
      </c>
      <c r="J160" s="133">
        <v>0</v>
      </c>
      <c r="K160" s="135">
        <v>0</v>
      </c>
      <c r="L160" s="133">
        <v>0</v>
      </c>
      <c r="M160" s="133">
        <v>0</v>
      </c>
      <c r="N160" s="133">
        <v>0</v>
      </c>
      <c r="O160" s="133">
        <v>0</v>
      </c>
      <c r="P160" s="134">
        <v>0</v>
      </c>
      <c r="Q160" s="133">
        <v>0</v>
      </c>
      <c r="R160" s="133">
        <v>0</v>
      </c>
      <c r="S160" s="133">
        <v>0</v>
      </c>
      <c r="T160" s="135">
        <v>0</v>
      </c>
      <c r="U160" s="133">
        <v>0</v>
      </c>
      <c r="V160" s="133">
        <v>0</v>
      </c>
      <c r="W160" s="133">
        <v>0</v>
      </c>
      <c r="X160" s="134">
        <v>0</v>
      </c>
      <c r="Y160" s="133">
        <v>0</v>
      </c>
      <c r="Z160" s="133">
        <v>0</v>
      </c>
      <c r="AA160" s="133">
        <v>0</v>
      </c>
      <c r="AB160" s="135">
        <v>0</v>
      </c>
      <c r="AC160" s="133">
        <v>0</v>
      </c>
      <c r="AD160" s="133">
        <v>0</v>
      </c>
      <c r="AE160" s="133">
        <v>0</v>
      </c>
      <c r="AF160" s="134">
        <v>0</v>
      </c>
      <c r="AG160" s="133">
        <v>0</v>
      </c>
      <c r="AH160" s="133">
        <v>0</v>
      </c>
      <c r="AI160" s="133">
        <v>0</v>
      </c>
      <c r="AJ160" s="135">
        <v>0</v>
      </c>
      <c r="AK160" s="133">
        <v>0</v>
      </c>
      <c r="AL160" s="133">
        <v>0</v>
      </c>
      <c r="AM160" s="133">
        <v>0</v>
      </c>
      <c r="AN160" s="134">
        <v>0</v>
      </c>
      <c r="AO160" s="133">
        <v>0</v>
      </c>
      <c r="AP160" s="133">
        <v>0</v>
      </c>
      <c r="AQ160" s="133">
        <v>0</v>
      </c>
      <c r="AR160" s="135">
        <v>0</v>
      </c>
    </row>
    <row r="161" spans="1:44" ht="14.25" customHeight="1" x14ac:dyDescent="0.3">
      <c r="A161" s="131" t="s">
        <v>69</v>
      </c>
      <c r="B161" s="128">
        <v>0</v>
      </c>
      <c r="C161" s="128">
        <v>0</v>
      </c>
      <c r="D161" s="128">
        <v>0</v>
      </c>
      <c r="E161" s="128">
        <v>0</v>
      </c>
      <c r="F161" s="129">
        <v>9</v>
      </c>
      <c r="G161" s="128">
        <v>0</v>
      </c>
      <c r="H161" s="128">
        <v>0</v>
      </c>
      <c r="I161" s="128">
        <v>0</v>
      </c>
      <c r="J161" s="128">
        <v>0</v>
      </c>
      <c r="K161" s="130">
        <v>0</v>
      </c>
      <c r="L161" s="128">
        <v>2</v>
      </c>
      <c r="M161" s="128">
        <v>0</v>
      </c>
      <c r="N161" s="128">
        <v>5</v>
      </c>
      <c r="O161" s="128">
        <v>0</v>
      </c>
      <c r="P161" s="129">
        <v>8</v>
      </c>
      <c r="Q161" s="128">
        <v>3</v>
      </c>
      <c r="R161" s="128">
        <v>1</v>
      </c>
      <c r="S161" s="128">
        <v>1</v>
      </c>
      <c r="T161" s="130">
        <v>10</v>
      </c>
      <c r="U161" s="128">
        <v>0</v>
      </c>
      <c r="V161" s="128">
        <v>0</v>
      </c>
      <c r="W161" s="128">
        <v>0</v>
      </c>
      <c r="X161" s="129">
        <v>0</v>
      </c>
      <c r="Y161" s="128">
        <v>0</v>
      </c>
      <c r="Z161" s="128">
        <v>0</v>
      </c>
      <c r="AA161" s="128">
        <v>0</v>
      </c>
      <c r="AB161" s="130">
        <v>0</v>
      </c>
      <c r="AC161" s="128">
        <v>3</v>
      </c>
      <c r="AD161" s="128">
        <v>1</v>
      </c>
      <c r="AE161" s="128">
        <v>1</v>
      </c>
      <c r="AF161" s="129">
        <v>10</v>
      </c>
      <c r="AG161" s="128">
        <v>0</v>
      </c>
      <c r="AH161" s="128">
        <v>0</v>
      </c>
      <c r="AI161" s="128">
        <v>0</v>
      </c>
      <c r="AJ161" s="130">
        <v>0</v>
      </c>
      <c r="AK161" s="128">
        <v>0</v>
      </c>
      <c r="AL161" s="128">
        <v>0</v>
      </c>
      <c r="AM161" s="128">
        <v>0</v>
      </c>
      <c r="AN161" s="129">
        <v>0</v>
      </c>
      <c r="AO161" s="128">
        <v>0</v>
      </c>
      <c r="AP161" s="128">
        <v>0</v>
      </c>
      <c r="AQ161" s="128">
        <v>0</v>
      </c>
      <c r="AR161" s="130">
        <v>0</v>
      </c>
    </row>
    <row r="162" spans="1:44" ht="14.25" customHeight="1" x14ac:dyDescent="0.3">
      <c r="A162" s="131" t="s">
        <v>66</v>
      </c>
      <c r="B162" s="128">
        <v>0</v>
      </c>
      <c r="C162" s="128">
        <v>0</v>
      </c>
      <c r="D162" s="128">
        <v>0</v>
      </c>
      <c r="E162" s="128">
        <v>0</v>
      </c>
      <c r="F162" s="129">
        <v>0</v>
      </c>
      <c r="G162" s="128">
        <v>0</v>
      </c>
      <c r="H162" s="128">
        <v>0</v>
      </c>
      <c r="I162" s="128">
        <v>0</v>
      </c>
      <c r="J162" s="128">
        <v>0</v>
      </c>
      <c r="K162" s="130">
        <v>0</v>
      </c>
      <c r="L162" s="128">
        <v>0</v>
      </c>
      <c r="M162" s="128">
        <v>0</v>
      </c>
      <c r="N162" s="128">
        <v>0</v>
      </c>
      <c r="O162" s="128">
        <v>0</v>
      </c>
      <c r="P162" s="129">
        <v>0</v>
      </c>
      <c r="Q162" s="128">
        <v>0</v>
      </c>
      <c r="R162" s="128">
        <v>0</v>
      </c>
      <c r="S162" s="128">
        <v>0</v>
      </c>
      <c r="T162" s="130">
        <v>0</v>
      </c>
      <c r="U162" s="128">
        <v>0</v>
      </c>
      <c r="V162" s="128">
        <v>0</v>
      </c>
      <c r="W162" s="128">
        <v>0</v>
      </c>
      <c r="X162" s="129">
        <v>0</v>
      </c>
      <c r="Y162" s="128">
        <v>0</v>
      </c>
      <c r="Z162" s="128">
        <v>0</v>
      </c>
      <c r="AA162" s="128">
        <v>0</v>
      </c>
      <c r="AB162" s="130">
        <v>1</v>
      </c>
      <c r="AC162" s="128">
        <v>0</v>
      </c>
      <c r="AD162" s="128">
        <v>0</v>
      </c>
      <c r="AE162" s="128">
        <v>0</v>
      </c>
      <c r="AF162" s="129">
        <v>1</v>
      </c>
      <c r="AG162" s="128">
        <v>0</v>
      </c>
      <c r="AH162" s="128">
        <v>0</v>
      </c>
      <c r="AI162" s="128">
        <v>0</v>
      </c>
      <c r="AJ162" s="130">
        <v>0</v>
      </c>
      <c r="AK162" s="128">
        <v>0</v>
      </c>
      <c r="AL162" s="128">
        <v>0</v>
      </c>
      <c r="AM162" s="128">
        <v>0</v>
      </c>
      <c r="AN162" s="129">
        <v>0</v>
      </c>
      <c r="AO162" s="128">
        <v>0</v>
      </c>
      <c r="AP162" s="128">
        <v>0</v>
      </c>
      <c r="AQ162" s="128">
        <v>0</v>
      </c>
      <c r="AR162" s="130">
        <v>0</v>
      </c>
    </row>
    <row r="163" spans="1:44" ht="14.25" customHeight="1" x14ac:dyDescent="0.3">
      <c r="A163" s="131" t="s">
        <v>110</v>
      </c>
      <c r="B163" s="128">
        <v>0</v>
      </c>
      <c r="C163" s="128">
        <v>0</v>
      </c>
      <c r="D163" s="128">
        <v>0</v>
      </c>
      <c r="E163" s="128">
        <v>0</v>
      </c>
      <c r="F163" s="129">
        <v>0</v>
      </c>
      <c r="G163" s="128">
        <v>0</v>
      </c>
      <c r="H163" s="128">
        <v>0</v>
      </c>
      <c r="I163" s="128">
        <v>0</v>
      </c>
      <c r="J163" s="128">
        <v>0</v>
      </c>
      <c r="K163" s="130">
        <v>0</v>
      </c>
      <c r="L163" s="128">
        <v>0</v>
      </c>
      <c r="M163" s="128">
        <v>0</v>
      </c>
      <c r="N163" s="128">
        <v>0</v>
      </c>
      <c r="O163" s="128">
        <v>0</v>
      </c>
      <c r="P163" s="129">
        <v>0</v>
      </c>
      <c r="Q163" s="128">
        <v>0</v>
      </c>
      <c r="R163" s="128">
        <v>0</v>
      </c>
      <c r="S163" s="128">
        <v>0</v>
      </c>
      <c r="T163" s="130">
        <v>0</v>
      </c>
      <c r="U163" s="128">
        <v>0</v>
      </c>
      <c r="V163" s="128">
        <v>0</v>
      </c>
      <c r="W163" s="128">
        <v>0</v>
      </c>
      <c r="X163" s="129">
        <v>0</v>
      </c>
      <c r="Y163" s="128">
        <v>0</v>
      </c>
      <c r="Z163" s="128">
        <v>0</v>
      </c>
      <c r="AA163" s="128">
        <v>0</v>
      </c>
      <c r="AB163" s="130">
        <v>0</v>
      </c>
      <c r="AC163" s="128">
        <v>0</v>
      </c>
      <c r="AD163" s="128">
        <v>0</v>
      </c>
      <c r="AE163" s="128">
        <v>0</v>
      </c>
      <c r="AF163" s="129">
        <v>0</v>
      </c>
      <c r="AG163" s="128">
        <v>0</v>
      </c>
      <c r="AH163" s="128">
        <v>0</v>
      </c>
      <c r="AI163" s="128">
        <v>0</v>
      </c>
      <c r="AJ163" s="130">
        <v>0</v>
      </c>
      <c r="AK163" s="128">
        <v>0</v>
      </c>
      <c r="AL163" s="128">
        <v>0</v>
      </c>
      <c r="AM163" s="128">
        <v>0</v>
      </c>
      <c r="AN163" s="129">
        <v>0</v>
      </c>
      <c r="AO163" s="128">
        <v>0</v>
      </c>
      <c r="AP163" s="128">
        <v>0</v>
      </c>
      <c r="AQ163" s="128">
        <v>0</v>
      </c>
      <c r="AR163" s="130">
        <v>0</v>
      </c>
    </row>
  </sheetData>
  <mergeCells count="24">
    <mergeCell ref="T80:Y80"/>
    <mergeCell ref="A1:BH1"/>
    <mergeCell ref="AW4:AW5"/>
    <mergeCell ref="A66:L66"/>
    <mergeCell ref="N80:S80"/>
    <mergeCell ref="Y12:Y13"/>
    <mergeCell ref="AW12:AW13"/>
    <mergeCell ref="A146:K146"/>
    <mergeCell ref="A2:L2"/>
    <mergeCell ref="G80:L80"/>
    <mergeCell ref="A12:A13"/>
    <mergeCell ref="M12:M13"/>
    <mergeCell ref="A35:L35"/>
    <mergeCell ref="A20:L20"/>
    <mergeCell ref="A4:A5"/>
    <mergeCell ref="A127:L127"/>
    <mergeCell ref="M4:M5"/>
    <mergeCell ref="A80:F80"/>
    <mergeCell ref="BJ2:BS2"/>
    <mergeCell ref="Y4:Y5"/>
    <mergeCell ref="N66:Y66"/>
    <mergeCell ref="AK4:AK5"/>
    <mergeCell ref="BJ17:BS17"/>
    <mergeCell ref="AK12:AK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163"/>
  <sheetViews>
    <sheetView topLeftCell="A138" zoomScaleNormal="100" workbookViewId="0">
      <selection activeCell="A127" sqref="A127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customWidth="1"/>
    <col min="69" max="69" width="17.6640625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65" t="s">
        <v>240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1:71" ht="27.75" customHeight="1" x14ac:dyDescent="0.3">
      <c r="A2" s="156" t="s">
        <v>241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BJ2" s="150" t="s">
        <v>44</v>
      </c>
      <c r="BK2" s="151"/>
      <c r="BL2" s="151"/>
      <c r="BM2" s="151"/>
      <c r="BN2" s="151"/>
      <c r="BO2" s="151"/>
      <c r="BP2" s="151"/>
      <c r="BQ2" s="151"/>
      <c r="BR2" s="151"/>
      <c r="BS2" s="151"/>
    </row>
    <row r="3" spans="1:71" ht="24" customHeight="1" x14ac:dyDescent="0.3">
      <c r="BJ3" s="9" t="s">
        <v>26</v>
      </c>
      <c r="BK3" s="9" t="s">
        <v>45</v>
      </c>
      <c r="BL3" s="9" t="s">
        <v>46</v>
      </c>
      <c r="BM3" s="9" t="s">
        <v>47</v>
      </c>
      <c r="BN3" s="9" t="s">
        <v>48</v>
      </c>
      <c r="BO3" s="9" t="s">
        <v>49</v>
      </c>
      <c r="BP3" s="9" t="s">
        <v>50</v>
      </c>
      <c r="BQ3" s="9" t="s">
        <v>51</v>
      </c>
      <c r="BR3" s="9" t="s">
        <v>52</v>
      </c>
      <c r="BS3" s="9" t="s">
        <v>53</v>
      </c>
    </row>
    <row r="4" spans="1:71" ht="25.5" customHeight="1" x14ac:dyDescent="0.3">
      <c r="A4" s="169" t="s">
        <v>54</v>
      </c>
      <c r="B4" s="11" t="s">
        <v>55</v>
      </c>
      <c r="C4" s="12" t="s">
        <v>56</v>
      </c>
      <c r="D4" s="12" t="s">
        <v>57</v>
      </c>
      <c r="E4" s="12" t="s">
        <v>58</v>
      </c>
      <c r="F4" s="12" t="s">
        <v>59</v>
      </c>
      <c r="G4" s="12" t="s">
        <v>60</v>
      </c>
      <c r="H4" s="12" t="s">
        <v>61</v>
      </c>
      <c r="I4" s="12" t="s">
        <v>62</v>
      </c>
      <c r="J4" s="12" t="s">
        <v>63</v>
      </c>
      <c r="K4" s="12" t="s">
        <v>64</v>
      </c>
      <c r="L4" s="12" t="s">
        <v>65</v>
      </c>
      <c r="M4" s="167" t="s">
        <v>66</v>
      </c>
      <c r="N4" s="11" t="s">
        <v>55</v>
      </c>
      <c r="O4" s="12" t="s">
        <v>56</v>
      </c>
      <c r="P4" s="12" t="s">
        <v>57</v>
      </c>
      <c r="Q4" s="12" t="s">
        <v>58</v>
      </c>
      <c r="R4" s="12" t="s">
        <v>59</v>
      </c>
      <c r="S4" s="12" t="s">
        <v>60</v>
      </c>
      <c r="T4" s="12" t="s">
        <v>61</v>
      </c>
      <c r="U4" s="12" t="s">
        <v>62</v>
      </c>
      <c r="V4" s="12" t="s">
        <v>63</v>
      </c>
      <c r="W4" s="12" t="s">
        <v>64</v>
      </c>
      <c r="X4" s="12" t="s">
        <v>65</v>
      </c>
      <c r="Y4" s="167" t="s">
        <v>67</v>
      </c>
      <c r="Z4" s="11" t="s">
        <v>55</v>
      </c>
      <c r="AA4" s="12" t="s">
        <v>56</v>
      </c>
      <c r="AB4" s="12" t="s">
        <v>57</v>
      </c>
      <c r="AC4" s="12" t="s">
        <v>58</v>
      </c>
      <c r="AD4" s="12" t="s">
        <v>59</v>
      </c>
      <c r="AE4" s="12" t="s">
        <v>60</v>
      </c>
      <c r="AF4" s="12" t="s">
        <v>61</v>
      </c>
      <c r="AG4" s="12" t="s">
        <v>62</v>
      </c>
      <c r="AH4" s="12" t="s">
        <v>63</v>
      </c>
      <c r="AI4" s="12" t="s">
        <v>64</v>
      </c>
      <c r="AJ4" s="12" t="s">
        <v>65</v>
      </c>
      <c r="AK4" s="167" t="s">
        <v>68</v>
      </c>
      <c r="AL4" s="11" t="s">
        <v>55</v>
      </c>
      <c r="AM4" s="12" t="s">
        <v>56</v>
      </c>
      <c r="AN4" s="12" t="s">
        <v>57</v>
      </c>
      <c r="AO4" s="12" t="s">
        <v>58</v>
      </c>
      <c r="AP4" s="12" t="s">
        <v>59</v>
      </c>
      <c r="AQ4" s="12" t="s">
        <v>60</v>
      </c>
      <c r="AR4" s="12" t="s">
        <v>61</v>
      </c>
      <c r="AS4" s="12" t="s">
        <v>62</v>
      </c>
      <c r="AT4" s="12" t="s">
        <v>63</v>
      </c>
      <c r="AU4" s="12" t="s">
        <v>64</v>
      </c>
      <c r="AV4" s="12" t="s">
        <v>65</v>
      </c>
      <c r="AW4" s="167" t="s">
        <v>69</v>
      </c>
      <c r="AX4" s="11" t="s">
        <v>55</v>
      </c>
      <c r="AY4" s="12" t="s">
        <v>56</v>
      </c>
      <c r="AZ4" s="12" t="s">
        <v>57</v>
      </c>
      <c r="BA4" s="12" t="s">
        <v>58</v>
      </c>
      <c r="BB4" s="12" t="s">
        <v>59</v>
      </c>
      <c r="BC4" s="12" t="s">
        <v>60</v>
      </c>
      <c r="BD4" s="12" t="s">
        <v>61</v>
      </c>
      <c r="BE4" s="12" t="s">
        <v>62</v>
      </c>
      <c r="BF4" s="12" t="s">
        <v>63</v>
      </c>
      <c r="BG4" s="12" t="s">
        <v>64</v>
      </c>
      <c r="BH4" s="12" t="s">
        <v>65</v>
      </c>
      <c r="BJ4" s="13"/>
      <c r="BK4" s="14"/>
      <c r="BL4" s="15" t="s">
        <v>70</v>
      </c>
      <c r="BM4" s="16"/>
      <c r="BN4" s="16"/>
      <c r="BO4" s="16"/>
      <c r="BP4" s="16"/>
      <c r="BQ4" s="16"/>
      <c r="BR4" s="16"/>
      <c r="BS4" s="17"/>
    </row>
    <row r="5" spans="1:71" ht="25.5" customHeight="1" x14ac:dyDescent="0.3">
      <c r="A5" s="170"/>
      <c r="B5" s="18" t="s">
        <v>71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68"/>
      <c r="N5" s="18" t="s">
        <v>71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68"/>
      <c r="Z5" s="18" t="s">
        <v>72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68"/>
      <c r="AL5" s="18" t="s">
        <v>72</v>
      </c>
      <c r="AM5" s="136">
        <v>0</v>
      </c>
      <c r="AN5" s="136">
        <v>0</v>
      </c>
      <c r="AO5" s="136">
        <v>0</v>
      </c>
      <c r="AP5" s="136">
        <v>1</v>
      </c>
      <c r="AQ5" s="136">
        <v>0</v>
      </c>
      <c r="AR5" s="136">
        <v>0</v>
      </c>
      <c r="AS5" s="136">
        <v>1</v>
      </c>
      <c r="AT5" s="136">
        <v>0</v>
      </c>
      <c r="AU5" s="136">
        <v>0</v>
      </c>
      <c r="AV5" s="136">
        <v>2</v>
      </c>
      <c r="AW5" s="168"/>
      <c r="AX5" s="18" t="s">
        <v>72</v>
      </c>
      <c r="AY5" s="19">
        <v>0</v>
      </c>
      <c r="AZ5" s="19">
        <v>2</v>
      </c>
      <c r="BA5" s="19">
        <v>0</v>
      </c>
      <c r="BB5" s="19">
        <v>0</v>
      </c>
      <c r="BC5" s="19">
        <v>1</v>
      </c>
      <c r="BD5" s="19">
        <v>0</v>
      </c>
      <c r="BE5" s="19">
        <v>0</v>
      </c>
      <c r="BF5" s="19">
        <v>0</v>
      </c>
      <c r="BG5" s="19">
        <v>0</v>
      </c>
      <c r="BH5" s="19">
        <v>3</v>
      </c>
      <c r="BJ5" s="21"/>
      <c r="BK5" s="14"/>
      <c r="BL5" s="22" t="s">
        <v>70</v>
      </c>
      <c r="BM5" s="16"/>
      <c r="BN5" s="16"/>
      <c r="BO5" s="16"/>
      <c r="BP5" s="16"/>
      <c r="BQ5" s="16"/>
      <c r="BR5" s="16"/>
      <c r="BS5" s="17"/>
    </row>
    <row r="6" spans="1:71" ht="25.5" customHeight="1" x14ac:dyDescent="0.3">
      <c r="A6" s="10"/>
      <c r="B6" s="18" t="s">
        <v>73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0"/>
      <c r="N6" s="18" t="s">
        <v>73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0"/>
      <c r="Z6" s="18" t="s">
        <v>74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0"/>
      <c r="AL6" s="18" t="s">
        <v>74</v>
      </c>
      <c r="AM6" s="136">
        <v>0</v>
      </c>
      <c r="AN6" s="136">
        <v>0</v>
      </c>
      <c r="AO6" s="136">
        <v>0</v>
      </c>
      <c r="AP6" s="136">
        <v>1</v>
      </c>
      <c r="AQ6" s="136">
        <v>1</v>
      </c>
      <c r="AR6" s="136">
        <v>0</v>
      </c>
      <c r="AS6" s="136">
        <v>0</v>
      </c>
      <c r="AT6" s="136">
        <v>1</v>
      </c>
      <c r="AU6" s="136">
        <v>0</v>
      </c>
      <c r="AV6" s="136">
        <v>3</v>
      </c>
      <c r="AW6" s="10"/>
      <c r="AX6" s="18" t="s">
        <v>74</v>
      </c>
      <c r="AY6" s="19">
        <v>0</v>
      </c>
      <c r="AZ6" s="19">
        <v>1</v>
      </c>
      <c r="BA6" s="19">
        <v>0</v>
      </c>
      <c r="BB6" s="19">
        <v>0</v>
      </c>
      <c r="BC6" s="19">
        <v>1</v>
      </c>
      <c r="BD6" s="19">
        <v>0</v>
      </c>
      <c r="BE6" s="19">
        <v>0</v>
      </c>
      <c r="BF6" s="19">
        <v>0</v>
      </c>
      <c r="BG6" s="19">
        <v>0</v>
      </c>
      <c r="BH6" s="19">
        <v>2</v>
      </c>
      <c r="BJ6" s="21"/>
      <c r="BK6" s="14"/>
      <c r="BL6" s="22" t="s">
        <v>75</v>
      </c>
      <c r="BM6" s="16"/>
      <c r="BN6" s="16"/>
      <c r="BO6" s="16"/>
      <c r="BP6" s="16"/>
      <c r="BQ6" s="16"/>
      <c r="BR6" s="16"/>
      <c r="BS6" s="17"/>
    </row>
    <row r="7" spans="1:71" ht="25.5" customHeight="1" x14ac:dyDescent="0.3">
      <c r="A7" s="10"/>
      <c r="B7" s="18" t="s">
        <v>76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1</v>
      </c>
      <c r="M7" s="10"/>
      <c r="N7" s="18" t="s">
        <v>76</v>
      </c>
      <c r="O7" s="19">
        <v>0</v>
      </c>
      <c r="P7" s="19">
        <v>1</v>
      </c>
      <c r="Q7" s="19">
        <v>0</v>
      </c>
      <c r="R7" s="19">
        <v>1</v>
      </c>
      <c r="S7" s="19">
        <v>0</v>
      </c>
      <c r="T7" s="19">
        <v>1</v>
      </c>
      <c r="U7" s="19">
        <v>0</v>
      </c>
      <c r="V7" s="19">
        <v>1</v>
      </c>
      <c r="W7" s="19">
        <v>0</v>
      </c>
      <c r="X7" s="19">
        <v>7</v>
      </c>
      <c r="Y7" s="10"/>
      <c r="Z7" s="18" t="s">
        <v>77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0"/>
      <c r="AL7" s="18" t="s">
        <v>77</v>
      </c>
      <c r="AM7" s="136">
        <v>1</v>
      </c>
      <c r="AN7" s="136">
        <v>0</v>
      </c>
      <c r="AO7" s="136">
        <v>0</v>
      </c>
      <c r="AP7" s="136">
        <v>0</v>
      </c>
      <c r="AQ7" s="136">
        <v>0</v>
      </c>
      <c r="AR7" s="136">
        <v>0</v>
      </c>
      <c r="AS7" s="136">
        <v>0</v>
      </c>
      <c r="AT7" s="136">
        <v>0</v>
      </c>
      <c r="AU7" s="136">
        <v>0</v>
      </c>
      <c r="AV7" s="136">
        <v>1</v>
      </c>
      <c r="AW7" s="10"/>
      <c r="AX7" s="18" t="s">
        <v>77</v>
      </c>
      <c r="AY7" s="19">
        <v>1</v>
      </c>
      <c r="AZ7" s="19">
        <v>1</v>
      </c>
      <c r="BA7" s="19">
        <v>0</v>
      </c>
      <c r="BB7" s="19">
        <v>2</v>
      </c>
      <c r="BC7" s="19">
        <v>2</v>
      </c>
      <c r="BD7" s="19">
        <v>0</v>
      </c>
      <c r="BE7" s="19">
        <v>2</v>
      </c>
      <c r="BF7" s="19">
        <v>0</v>
      </c>
      <c r="BG7" s="19">
        <v>0</v>
      </c>
      <c r="BH7" s="19">
        <v>8</v>
      </c>
      <c r="BJ7" s="23"/>
      <c r="BK7" s="14"/>
      <c r="BL7" s="24" t="s">
        <v>78</v>
      </c>
      <c r="BM7" s="16"/>
      <c r="BN7" s="16"/>
      <c r="BO7" s="16"/>
      <c r="BP7" s="16"/>
      <c r="BQ7" s="16"/>
      <c r="BR7" s="16"/>
      <c r="BS7" s="17"/>
    </row>
    <row r="8" spans="1:71" ht="25.5" customHeight="1" x14ac:dyDescent="0.3">
      <c r="A8" s="10"/>
      <c r="B8" s="18" t="s">
        <v>79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25" t="s">
        <v>80</v>
      </c>
      <c r="K8" s="19">
        <v>0</v>
      </c>
      <c r="L8" s="19">
        <v>0</v>
      </c>
      <c r="M8" s="10"/>
      <c r="N8" s="18" t="s">
        <v>79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1</v>
      </c>
      <c r="V8" s="25" t="s">
        <v>80</v>
      </c>
      <c r="W8" s="19">
        <v>0</v>
      </c>
      <c r="X8" s="19">
        <v>1</v>
      </c>
      <c r="Y8" s="10"/>
      <c r="Z8" s="18" t="s">
        <v>81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0"/>
      <c r="AL8" s="18" t="s">
        <v>81</v>
      </c>
      <c r="AM8" s="136">
        <v>0</v>
      </c>
      <c r="AN8" s="136">
        <v>1</v>
      </c>
      <c r="AO8" s="136">
        <v>0</v>
      </c>
      <c r="AP8" s="136">
        <v>0</v>
      </c>
      <c r="AQ8" s="136">
        <v>0</v>
      </c>
      <c r="AR8" s="136">
        <v>0</v>
      </c>
      <c r="AS8" s="136">
        <v>0</v>
      </c>
      <c r="AT8" s="136">
        <v>0</v>
      </c>
      <c r="AU8" s="136">
        <v>0</v>
      </c>
      <c r="AV8" s="136">
        <v>1</v>
      </c>
      <c r="AW8" s="26"/>
      <c r="AX8" s="27" t="s">
        <v>81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J8" s="23"/>
      <c r="BK8" s="14"/>
      <c r="BL8" s="24" t="s">
        <v>78</v>
      </c>
      <c r="BM8" s="16"/>
      <c r="BN8" s="16"/>
      <c r="BO8" s="16"/>
      <c r="BP8" s="16"/>
      <c r="BQ8" s="16"/>
      <c r="BR8" s="16"/>
      <c r="BS8" s="17"/>
    </row>
    <row r="9" spans="1:71" ht="25.5" customHeight="1" x14ac:dyDescent="0.3">
      <c r="A9" s="10"/>
      <c r="B9" s="18" t="s">
        <v>82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1</v>
      </c>
      <c r="I9" s="19">
        <v>0</v>
      </c>
      <c r="J9" s="19">
        <v>0</v>
      </c>
      <c r="K9" s="19">
        <v>0</v>
      </c>
      <c r="L9" s="19">
        <v>1</v>
      </c>
      <c r="M9" s="10"/>
      <c r="N9" s="18" t="s">
        <v>82</v>
      </c>
      <c r="O9" s="19">
        <v>1</v>
      </c>
      <c r="P9" s="19">
        <v>0</v>
      </c>
      <c r="Q9" s="19">
        <v>0</v>
      </c>
      <c r="R9" s="19">
        <v>1</v>
      </c>
      <c r="S9" s="19">
        <v>0</v>
      </c>
      <c r="T9" s="19">
        <v>1</v>
      </c>
      <c r="U9" s="19">
        <v>0</v>
      </c>
      <c r="V9" s="19">
        <v>2</v>
      </c>
      <c r="W9" s="19">
        <v>0</v>
      </c>
      <c r="X9" s="19">
        <v>6</v>
      </c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J9" s="21"/>
      <c r="BK9" s="14"/>
      <c r="BL9" s="22" t="s">
        <v>75</v>
      </c>
      <c r="BM9" s="16"/>
      <c r="BN9" s="16"/>
      <c r="BO9" s="16"/>
      <c r="BP9" s="16"/>
      <c r="BQ9" s="16"/>
      <c r="BR9" s="16"/>
      <c r="BS9" s="17"/>
    </row>
    <row r="10" spans="1:71" ht="25.5" customHeight="1" x14ac:dyDescent="0.3">
      <c r="A10" s="10"/>
      <c r="B10" s="27" t="s">
        <v>83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19">
        <v>0</v>
      </c>
      <c r="K10" s="29">
        <v>0</v>
      </c>
      <c r="L10" s="29">
        <v>0</v>
      </c>
      <c r="M10" s="10"/>
      <c r="N10" s="27" t="s">
        <v>83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19">
        <v>0</v>
      </c>
      <c r="W10" s="29">
        <v>0</v>
      </c>
      <c r="X10" s="29">
        <v>0</v>
      </c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J10" s="30"/>
      <c r="BK10" s="14"/>
      <c r="BL10" s="31" t="s">
        <v>11</v>
      </c>
      <c r="BM10" s="16"/>
      <c r="BN10" s="16"/>
      <c r="BO10" s="16"/>
      <c r="BP10" s="16"/>
      <c r="BQ10" s="16"/>
      <c r="BR10" s="16"/>
      <c r="BS10" s="17"/>
    </row>
    <row r="11" spans="1:71" ht="25.5" customHeight="1" x14ac:dyDescent="0.3">
      <c r="A11" s="10" t="s">
        <v>84</v>
      </c>
      <c r="B11" s="3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J11" s="30"/>
      <c r="BK11" s="14"/>
      <c r="BL11" s="31" t="s">
        <v>11</v>
      </c>
      <c r="BM11" s="16"/>
      <c r="BN11" s="16"/>
      <c r="BO11" s="16"/>
      <c r="BP11" s="16"/>
      <c r="BQ11" s="16"/>
      <c r="BR11" s="16"/>
      <c r="BS11" s="17"/>
    </row>
    <row r="12" spans="1:71" ht="25.5" customHeight="1" x14ac:dyDescent="0.3">
      <c r="A12" s="169" t="s">
        <v>85</v>
      </c>
      <c r="B12" s="11" t="s">
        <v>55</v>
      </c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65</v>
      </c>
      <c r="M12" s="167" t="s">
        <v>86</v>
      </c>
      <c r="N12" s="11" t="s">
        <v>55</v>
      </c>
      <c r="O12" s="12" t="s">
        <v>56</v>
      </c>
      <c r="P12" s="12" t="s">
        <v>57</v>
      </c>
      <c r="Q12" s="12" t="s">
        <v>58</v>
      </c>
      <c r="R12" s="12" t="s">
        <v>59</v>
      </c>
      <c r="S12" s="12" t="s">
        <v>60</v>
      </c>
      <c r="T12" s="12" t="s">
        <v>61</v>
      </c>
      <c r="U12" s="12" t="s">
        <v>62</v>
      </c>
      <c r="V12" s="12" t="s">
        <v>63</v>
      </c>
      <c r="W12" s="12" t="s">
        <v>64</v>
      </c>
      <c r="X12" s="12" t="s">
        <v>65</v>
      </c>
      <c r="Y12" s="167" t="s">
        <v>87</v>
      </c>
      <c r="Z12" s="11" t="s">
        <v>55</v>
      </c>
      <c r="AA12" s="12" t="s">
        <v>56</v>
      </c>
      <c r="AB12" s="12" t="s">
        <v>57</v>
      </c>
      <c r="AC12" s="12" t="s">
        <v>58</v>
      </c>
      <c r="AD12" s="12" t="s">
        <v>59</v>
      </c>
      <c r="AE12" s="12" t="s">
        <v>60</v>
      </c>
      <c r="AF12" s="12" t="s">
        <v>61</v>
      </c>
      <c r="AG12" s="12" t="s">
        <v>62</v>
      </c>
      <c r="AH12" s="12" t="s">
        <v>63</v>
      </c>
      <c r="AI12" s="12" t="s">
        <v>64</v>
      </c>
      <c r="AJ12" s="12" t="s">
        <v>65</v>
      </c>
      <c r="AK12" s="167" t="s">
        <v>88</v>
      </c>
      <c r="AL12" s="11" t="s">
        <v>55</v>
      </c>
      <c r="AM12" s="12" t="s">
        <v>56</v>
      </c>
      <c r="AN12" s="12" t="s">
        <v>57</v>
      </c>
      <c r="AO12" s="12" t="s">
        <v>58</v>
      </c>
      <c r="AP12" s="12" t="s">
        <v>59</v>
      </c>
      <c r="AQ12" s="12" t="s">
        <v>60</v>
      </c>
      <c r="AR12" s="12" t="s">
        <v>61</v>
      </c>
      <c r="AS12" s="12" t="s">
        <v>62</v>
      </c>
      <c r="AT12" s="12" t="s">
        <v>63</v>
      </c>
      <c r="AU12" s="12" t="s">
        <v>64</v>
      </c>
      <c r="AV12" s="12" t="s">
        <v>65</v>
      </c>
      <c r="AW12" s="167" t="s">
        <v>89</v>
      </c>
      <c r="AX12" s="11" t="s">
        <v>55</v>
      </c>
      <c r="AY12" s="12" t="s">
        <v>56</v>
      </c>
      <c r="AZ12" s="12" t="s">
        <v>57</v>
      </c>
      <c r="BA12" s="12" t="s">
        <v>58</v>
      </c>
      <c r="BB12" s="12" t="s">
        <v>59</v>
      </c>
      <c r="BC12" s="12" t="s">
        <v>60</v>
      </c>
      <c r="BD12" s="12" t="s">
        <v>61</v>
      </c>
      <c r="BE12" s="12" t="s">
        <v>62</v>
      </c>
      <c r="BF12" s="12" t="s">
        <v>63</v>
      </c>
      <c r="BG12" s="12" t="s">
        <v>64</v>
      </c>
      <c r="BH12" s="12" t="s">
        <v>65</v>
      </c>
      <c r="BJ12" s="13"/>
      <c r="BK12" s="14"/>
      <c r="BL12" s="15" t="s">
        <v>70</v>
      </c>
      <c r="BM12" s="16"/>
      <c r="BN12" s="16"/>
      <c r="BO12" s="16"/>
      <c r="BP12" s="16"/>
      <c r="BQ12" s="16"/>
      <c r="BR12" s="16"/>
      <c r="BS12" s="17"/>
    </row>
    <row r="13" spans="1:71" ht="25.5" customHeight="1" x14ac:dyDescent="0.3">
      <c r="A13" s="170"/>
      <c r="B13" s="18" t="s">
        <v>71</v>
      </c>
      <c r="C13" s="19">
        <v>2</v>
      </c>
      <c r="D13" s="19">
        <v>1</v>
      </c>
      <c r="E13" s="19">
        <v>3</v>
      </c>
      <c r="F13" s="19">
        <v>1</v>
      </c>
      <c r="G13" s="19">
        <v>0</v>
      </c>
      <c r="H13" s="19">
        <v>1</v>
      </c>
      <c r="I13" s="19">
        <v>1</v>
      </c>
      <c r="J13" s="19">
        <v>0</v>
      </c>
      <c r="K13" s="19">
        <v>0</v>
      </c>
      <c r="L13" s="19">
        <v>13</v>
      </c>
      <c r="M13" s="168"/>
      <c r="N13" s="18" t="s">
        <v>71</v>
      </c>
      <c r="O13" s="19">
        <v>1</v>
      </c>
      <c r="P13" s="19">
        <v>0</v>
      </c>
      <c r="Q13" s="19">
        <v>1</v>
      </c>
      <c r="R13" s="19">
        <v>2</v>
      </c>
      <c r="S13" s="19">
        <v>2</v>
      </c>
      <c r="T13" s="19">
        <v>1</v>
      </c>
      <c r="U13" s="19">
        <v>0</v>
      </c>
      <c r="V13" s="19">
        <v>0</v>
      </c>
      <c r="W13" s="19">
        <v>0</v>
      </c>
      <c r="X13" s="19">
        <v>9</v>
      </c>
      <c r="Y13" s="168"/>
      <c r="Z13" s="18" t="s">
        <v>71</v>
      </c>
      <c r="AA13" s="19">
        <v>0</v>
      </c>
      <c r="AB13" s="19">
        <v>0</v>
      </c>
      <c r="AC13" s="19">
        <v>1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1</v>
      </c>
      <c r="AK13" s="168"/>
      <c r="AL13" s="18" t="s">
        <v>71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68"/>
      <c r="AX13" s="18" t="s">
        <v>71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J13" s="23"/>
      <c r="BK13" s="14"/>
      <c r="BL13" s="24" t="s">
        <v>78</v>
      </c>
      <c r="BM13" s="16"/>
      <c r="BN13" s="16"/>
      <c r="BO13" s="16"/>
      <c r="BP13" s="16"/>
      <c r="BQ13" s="16"/>
      <c r="BR13" s="16"/>
      <c r="BS13" s="17"/>
    </row>
    <row r="14" spans="1:71" ht="25.5" customHeight="1" x14ac:dyDescent="0.3">
      <c r="A14" s="10"/>
      <c r="B14" s="18" t="s">
        <v>73</v>
      </c>
      <c r="C14" s="19">
        <v>0</v>
      </c>
      <c r="D14" s="19">
        <v>0</v>
      </c>
      <c r="E14" s="19">
        <v>1</v>
      </c>
      <c r="F14" s="19">
        <v>0</v>
      </c>
      <c r="G14" s="19">
        <v>0</v>
      </c>
      <c r="H14" s="19">
        <v>0</v>
      </c>
      <c r="I14" s="19">
        <v>0</v>
      </c>
      <c r="J14" s="19">
        <v>2</v>
      </c>
      <c r="K14" s="19">
        <v>0</v>
      </c>
      <c r="L14" s="19">
        <v>4</v>
      </c>
      <c r="M14" s="10"/>
      <c r="N14" s="18" t="s">
        <v>73</v>
      </c>
      <c r="O14" s="19">
        <v>1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2</v>
      </c>
      <c r="Y14" s="10"/>
      <c r="Z14" s="18" t="s">
        <v>73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0"/>
      <c r="AL14" s="18" t="s">
        <v>73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0"/>
      <c r="AX14" s="18" t="s">
        <v>73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J14" s="23"/>
      <c r="BK14" s="14"/>
      <c r="BL14" s="24" t="s">
        <v>78</v>
      </c>
      <c r="BM14" s="16"/>
      <c r="BN14" s="16"/>
      <c r="BO14" s="16"/>
      <c r="BP14" s="16"/>
      <c r="BQ14" s="16"/>
      <c r="BR14" s="16"/>
      <c r="BS14" s="17"/>
    </row>
    <row r="15" spans="1:71" ht="25.5" customHeight="1" x14ac:dyDescent="0.3">
      <c r="A15" s="10"/>
      <c r="B15" s="18" t="s">
        <v>76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0"/>
      <c r="N15" s="18" t="s">
        <v>76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0"/>
      <c r="Z15" s="18" t="s">
        <v>76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0"/>
      <c r="AL15" s="18" t="s">
        <v>76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0"/>
      <c r="AX15" s="18" t="s">
        <v>76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J15" s="21"/>
      <c r="BK15" s="14"/>
      <c r="BL15" s="22" t="s">
        <v>75</v>
      </c>
      <c r="BM15" s="16"/>
      <c r="BN15" s="16"/>
      <c r="BO15" s="16"/>
      <c r="BP15" s="16"/>
      <c r="BQ15" s="16"/>
      <c r="BR15" s="16"/>
      <c r="BS15" s="17"/>
    </row>
    <row r="16" spans="1:71" ht="14.25" customHeight="1" x14ac:dyDescent="0.3">
      <c r="A16" s="10"/>
      <c r="B16" s="18" t="s">
        <v>79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25" t="s">
        <v>80</v>
      </c>
      <c r="K16" s="19">
        <v>0</v>
      </c>
      <c r="L16" s="19">
        <v>0</v>
      </c>
      <c r="M16" s="10"/>
      <c r="N16" s="18" t="s">
        <v>79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25" t="s">
        <v>80</v>
      </c>
      <c r="W16" s="19">
        <v>0</v>
      </c>
      <c r="X16" s="19">
        <v>0</v>
      </c>
      <c r="Y16" s="10"/>
      <c r="Z16" s="18" t="s">
        <v>79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25" t="s">
        <v>80</v>
      </c>
      <c r="AI16" s="19">
        <v>0</v>
      </c>
      <c r="AJ16" s="19">
        <v>0</v>
      </c>
      <c r="AK16" s="10"/>
      <c r="AL16" s="18" t="s">
        <v>79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25" t="s">
        <v>80</v>
      </c>
      <c r="AU16" s="19">
        <v>0</v>
      </c>
      <c r="AV16" s="19">
        <v>0</v>
      </c>
      <c r="AW16" s="10"/>
      <c r="AX16" s="18" t="s">
        <v>79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 t="s">
        <v>80</v>
      </c>
      <c r="BG16" s="19">
        <v>0</v>
      </c>
      <c r="BH16" s="19">
        <v>0</v>
      </c>
    </row>
    <row r="17" spans="1:71" ht="36" customHeight="1" x14ac:dyDescent="0.3">
      <c r="A17" s="10"/>
      <c r="B17" s="27" t="s">
        <v>90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10"/>
      <c r="N17" s="27" t="s">
        <v>90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10"/>
      <c r="Z17" s="27" t="s">
        <v>90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10"/>
      <c r="AL17" s="27" t="s">
        <v>90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10"/>
      <c r="AX17" s="27" t="s">
        <v>90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J17" s="154" t="s">
        <v>91</v>
      </c>
      <c r="BK17" s="151"/>
      <c r="BL17" s="151"/>
      <c r="BM17" s="151"/>
      <c r="BN17" s="151"/>
      <c r="BO17" s="151"/>
      <c r="BP17" s="151"/>
      <c r="BQ17" s="151"/>
      <c r="BR17" s="151"/>
      <c r="BS17" s="151"/>
    </row>
    <row r="20" spans="1:71" ht="25.5" customHeight="1" x14ac:dyDescent="0.3">
      <c r="A20" s="160" t="s">
        <v>92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</row>
    <row r="21" spans="1:71" ht="14.25" customHeight="1" x14ac:dyDescent="0.3">
      <c r="A21" s="33"/>
      <c r="B21" s="34"/>
      <c r="C21" s="12" t="s">
        <v>56</v>
      </c>
      <c r="D21" s="12" t="s">
        <v>57</v>
      </c>
      <c r="E21" s="12" t="s">
        <v>59</v>
      </c>
      <c r="F21" s="12" t="s">
        <v>60</v>
      </c>
      <c r="G21" s="12" t="s">
        <v>61</v>
      </c>
      <c r="H21" s="12" t="s">
        <v>62</v>
      </c>
      <c r="I21" s="12" t="s">
        <v>65</v>
      </c>
      <c r="J21" s="33"/>
      <c r="K21" s="34"/>
      <c r="L21" s="12" t="s">
        <v>56</v>
      </c>
      <c r="M21" s="12" t="s">
        <v>57</v>
      </c>
      <c r="N21" s="12" t="s">
        <v>59</v>
      </c>
      <c r="O21" s="12" t="s">
        <v>60</v>
      </c>
      <c r="P21" s="12" t="s">
        <v>61</v>
      </c>
      <c r="Q21" s="12" t="s">
        <v>62</v>
      </c>
      <c r="R21" s="12" t="s">
        <v>65</v>
      </c>
      <c r="S21" s="33"/>
      <c r="T21" s="34"/>
      <c r="U21" s="12" t="s">
        <v>56</v>
      </c>
      <c r="V21" s="12" t="s">
        <v>57</v>
      </c>
      <c r="W21" s="12" t="s">
        <v>59</v>
      </c>
      <c r="X21" s="12" t="s">
        <v>60</v>
      </c>
      <c r="Y21" s="12" t="s">
        <v>61</v>
      </c>
      <c r="Z21" s="12" t="s">
        <v>62</v>
      </c>
      <c r="AA21" s="12" t="s">
        <v>65</v>
      </c>
      <c r="AB21" s="33"/>
      <c r="AC21" s="34"/>
      <c r="AD21" s="12" t="s">
        <v>56</v>
      </c>
      <c r="AE21" s="12" t="s">
        <v>57</v>
      </c>
      <c r="AF21" s="12" t="s">
        <v>59</v>
      </c>
      <c r="AG21" s="12" t="s">
        <v>60</v>
      </c>
      <c r="AH21" s="12" t="s">
        <v>61</v>
      </c>
      <c r="AI21" s="12" t="s">
        <v>62</v>
      </c>
      <c r="AJ21" s="12" t="s">
        <v>65</v>
      </c>
      <c r="AK21" s="33"/>
      <c r="AL21" s="34"/>
      <c r="AM21" s="12" t="s">
        <v>56</v>
      </c>
      <c r="AN21" s="12" t="s">
        <v>57</v>
      </c>
      <c r="AO21" s="12" t="s">
        <v>59</v>
      </c>
      <c r="AP21" s="12" t="s">
        <v>60</v>
      </c>
      <c r="AQ21" s="12" t="s">
        <v>61</v>
      </c>
      <c r="AR21" s="12" t="s">
        <v>62</v>
      </c>
      <c r="AS21" s="12" t="s">
        <v>65</v>
      </c>
      <c r="AT21" s="33"/>
      <c r="AU21" s="34"/>
      <c r="AV21" s="12" t="s">
        <v>56</v>
      </c>
      <c r="AW21" s="12" t="s">
        <v>57</v>
      </c>
      <c r="AX21" s="12" t="s">
        <v>59</v>
      </c>
      <c r="AY21" s="12" t="s">
        <v>60</v>
      </c>
      <c r="AZ21" s="12" t="s">
        <v>61</v>
      </c>
      <c r="BA21" s="12" t="s">
        <v>62</v>
      </c>
      <c r="BB21" s="12" t="s">
        <v>65</v>
      </c>
    </row>
    <row r="22" spans="1:71" ht="14.25" customHeight="1" x14ac:dyDescent="0.3">
      <c r="A22" s="33" t="s">
        <v>68</v>
      </c>
      <c r="B22" s="34" t="s">
        <v>93</v>
      </c>
      <c r="C22" s="35">
        <v>0</v>
      </c>
      <c r="D22" s="35">
        <v>0</v>
      </c>
      <c r="E22" s="35">
        <v>0</v>
      </c>
      <c r="F22" s="35">
        <v>0</v>
      </c>
      <c r="G22" s="35">
        <v>1</v>
      </c>
      <c r="H22" s="35">
        <v>0</v>
      </c>
      <c r="I22" s="35">
        <v>1</v>
      </c>
      <c r="J22" s="33" t="s">
        <v>54</v>
      </c>
      <c r="K22" s="34" t="s">
        <v>93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3" t="s">
        <v>94</v>
      </c>
      <c r="T22" s="34" t="s">
        <v>93</v>
      </c>
      <c r="U22" s="35">
        <v>0</v>
      </c>
      <c r="V22" s="35">
        <v>0</v>
      </c>
      <c r="W22" s="35">
        <v>0</v>
      </c>
      <c r="X22" s="35">
        <v>1</v>
      </c>
      <c r="Y22" s="35">
        <v>0</v>
      </c>
      <c r="Z22" s="35">
        <v>0</v>
      </c>
      <c r="AA22" s="35">
        <v>2</v>
      </c>
      <c r="AB22" s="33" t="s">
        <v>86</v>
      </c>
      <c r="AC22" s="34" t="s">
        <v>93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1</v>
      </c>
      <c r="AJ22" s="35">
        <v>1</v>
      </c>
      <c r="AK22" s="33" t="s">
        <v>85</v>
      </c>
      <c r="AL22" s="34" t="s">
        <v>93</v>
      </c>
      <c r="AM22" s="35">
        <v>2</v>
      </c>
      <c r="AN22" s="35">
        <v>0</v>
      </c>
      <c r="AO22" s="35">
        <v>1</v>
      </c>
      <c r="AP22" s="35">
        <v>0</v>
      </c>
      <c r="AQ22" s="35">
        <v>0</v>
      </c>
      <c r="AR22" s="35">
        <v>0</v>
      </c>
      <c r="AS22" s="35">
        <v>3</v>
      </c>
      <c r="AT22" s="33" t="s">
        <v>88</v>
      </c>
      <c r="AU22" s="34" t="s">
        <v>93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</row>
    <row r="23" spans="1:71" ht="14.25" customHeight="1" x14ac:dyDescent="0.3">
      <c r="A23" s="33" t="s">
        <v>68</v>
      </c>
      <c r="B23" s="34" t="s">
        <v>95</v>
      </c>
      <c r="C23" s="35">
        <v>0</v>
      </c>
      <c r="D23" s="35">
        <v>0</v>
      </c>
      <c r="E23" s="35">
        <v>1</v>
      </c>
      <c r="F23" s="35">
        <v>0</v>
      </c>
      <c r="G23" s="35">
        <v>4</v>
      </c>
      <c r="H23" s="35">
        <v>1</v>
      </c>
      <c r="I23" s="35">
        <v>6</v>
      </c>
      <c r="J23" s="33" t="s">
        <v>54</v>
      </c>
      <c r="K23" s="34" t="s">
        <v>95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3" t="s">
        <v>94</v>
      </c>
      <c r="T23" s="34" t="s">
        <v>95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3" t="s">
        <v>86</v>
      </c>
      <c r="AC23" s="34" t="s">
        <v>95</v>
      </c>
      <c r="AD23" s="35">
        <v>0</v>
      </c>
      <c r="AE23" s="35">
        <v>0</v>
      </c>
      <c r="AF23" s="35">
        <v>1</v>
      </c>
      <c r="AG23" s="35">
        <v>0</v>
      </c>
      <c r="AH23" s="35">
        <v>0</v>
      </c>
      <c r="AI23" s="35">
        <v>0</v>
      </c>
      <c r="AJ23" s="35">
        <v>1</v>
      </c>
      <c r="AK23" s="33" t="s">
        <v>85</v>
      </c>
      <c r="AL23" s="34" t="s">
        <v>95</v>
      </c>
      <c r="AM23" s="35">
        <v>0</v>
      </c>
      <c r="AN23" s="35">
        <v>0</v>
      </c>
      <c r="AO23" s="35">
        <v>0</v>
      </c>
      <c r="AP23" s="35">
        <v>0</v>
      </c>
      <c r="AQ23" s="35">
        <v>0</v>
      </c>
      <c r="AR23" s="35">
        <v>0</v>
      </c>
      <c r="AS23" s="35">
        <v>0</v>
      </c>
      <c r="AT23" s="33" t="s">
        <v>88</v>
      </c>
      <c r="AU23" s="34" t="s">
        <v>95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</row>
    <row r="24" spans="1:71" ht="14.25" customHeight="1" x14ac:dyDescent="0.3">
      <c r="A24" s="33" t="s">
        <v>68</v>
      </c>
      <c r="B24" s="34" t="s">
        <v>96</v>
      </c>
      <c r="C24" s="35">
        <v>0</v>
      </c>
      <c r="D24" s="35">
        <v>0</v>
      </c>
      <c r="E24" s="35">
        <v>0</v>
      </c>
      <c r="F24" s="35">
        <v>0</v>
      </c>
      <c r="G24" s="35">
        <v>1</v>
      </c>
      <c r="H24" s="35">
        <v>0</v>
      </c>
      <c r="I24" s="35">
        <v>1</v>
      </c>
      <c r="J24" s="33" t="s">
        <v>54</v>
      </c>
      <c r="K24" s="34" t="s">
        <v>96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3" t="s">
        <v>94</v>
      </c>
      <c r="T24" s="34" t="s">
        <v>96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3" t="s">
        <v>86</v>
      </c>
      <c r="AC24" s="34" t="s">
        <v>96</v>
      </c>
      <c r="AD24" s="35">
        <v>0</v>
      </c>
      <c r="AE24" s="35">
        <v>0</v>
      </c>
      <c r="AF24" s="35">
        <v>1</v>
      </c>
      <c r="AG24" s="35">
        <v>0</v>
      </c>
      <c r="AH24" s="35">
        <v>0</v>
      </c>
      <c r="AI24" s="35">
        <v>0</v>
      </c>
      <c r="AJ24" s="35">
        <v>1</v>
      </c>
      <c r="AK24" s="33" t="s">
        <v>85</v>
      </c>
      <c r="AL24" s="34" t="s">
        <v>96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3" t="s">
        <v>88</v>
      </c>
      <c r="AU24" s="34" t="s">
        <v>96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</row>
    <row r="25" spans="1:71" ht="14.25" customHeight="1" x14ac:dyDescent="0.3">
      <c r="A25" s="33" t="s">
        <v>68</v>
      </c>
      <c r="B25" s="34" t="s">
        <v>93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3" t="s">
        <v>54</v>
      </c>
      <c r="K25" s="34" t="s">
        <v>93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1</v>
      </c>
      <c r="R25" s="35">
        <v>1</v>
      </c>
      <c r="S25" s="33" t="s">
        <v>94</v>
      </c>
      <c r="T25" s="34" t="s">
        <v>93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3" t="s">
        <v>86</v>
      </c>
      <c r="AC25" s="34" t="s">
        <v>93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0</v>
      </c>
      <c r="AK25" s="33" t="s">
        <v>85</v>
      </c>
      <c r="AL25" s="34" t="s">
        <v>93</v>
      </c>
      <c r="AM25" s="35">
        <v>5</v>
      </c>
      <c r="AN25" s="35">
        <v>0</v>
      </c>
      <c r="AO25" s="35">
        <v>7</v>
      </c>
      <c r="AP25" s="35">
        <v>0</v>
      </c>
      <c r="AQ25" s="35">
        <v>1</v>
      </c>
      <c r="AR25" s="35">
        <v>0</v>
      </c>
      <c r="AS25" s="35">
        <v>13</v>
      </c>
      <c r="AT25" s="33" t="s">
        <v>88</v>
      </c>
      <c r="AU25" s="34" t="s">
        <v>93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</row>
    <row r="26" spans="1:71" ht="14.25" customHeight="1" x14ac:dyDescent="0.3">
      <c r="A26" s="33" t="s">
        <v>68</v>
      </c>
      <c r="B26" s="34" t="s">
        <v>95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3" t="s">
        <v>54</v>
      </c>
      <c r="K26" s="34" t="s">
        <v>95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3" t="s">
        <v>94</v>
      </c>
      <c r="T26" s="34" t="s">
        <v>95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3" t="s">
        <v>86</v>
      </c>
      <c r="AC26" s="34" t="s">
        <v>95</v>
      </c>
      <c r="AD26" s="35">
        <v>0</v>
      </c>
      <c r="AE26" s="35">
        <v>0</v>
      </c>
      <c r="AF26" s="35">
        <v>1</v>
      </c>
      <c r="AG26" s="35">
        <v>0</v>
      </c>
      <c r="AH26" s="35">
        <v>2</v>
      </c>
      <c r="AI26" s="35">
        <v>0</v>
      </c>
      <c r="AJ26" s="35">
        <v>3</v>
      </c>
      <c r="AK26" s="33" t="s">
        <v>85</v>
      </c>
      <c r="AL26" s="34" t="s">
        <v>95</v>
      </c>
      <c r="AM26" s="35">
        <v>0</v>
      </c>
      <c r="AN26" s="35">
        <v>0</v>
      </c>
      <c r="AO26" s="35">
        <v>3</v>
      </c>
      <c r="AP26" s="35">
        <v>0</v>
      </c>
      <c r="AQ26" s="35">
        <v>0</v>
      </c>
      <c r="AR26" s="35">
        <v>0</v>
      </c>
      <c r="AS26" s="35">
        <v>3</v>
      </c>
      <c r="AT26" s="33" t="s">
        <v>88</v>
      </c>
      <c r="AU26" s="34" t="s">
        <v>95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</row>
    <row r="27" spans="1:71" ht="14.25" customHeight="1" x14ac:dyDescent="0.3">
      <c r="A27" s="33" t="s">
        <v>68</v>
      </c>
      <c r="B27" s="36" t="s">
        <v>96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3" t="s">
        <v>54</v>
      </c>
      <c r="K27" s="36" t="s">
        <v>96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3" t="s">
        <v>94</v>
      </c>
      <c r="T27" s="36" t="s">
        <v>96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3" t="s">
        <v>86</v>
      </c>
      <c r="AC27" s="36" t="s">
        <v>96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3" t="s">
        <v>85</v>
      </c>
      <c r="AL27" s="36" t="s">
        <v>96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3" t="s">
        <v>88</v>
      </c>
      <c r="AU27" s="36" t="s">
        <v>96</v>
      </c>
      <c r="AV27" s="37">
        <v>0</v>
      </c>
      <c r="AW27" s="37">
        <v>0</v>
      </c>
      <c r="AX27" s="37">
        <v>0</v>
      </c>
      <c r="AY27" s="37">
        <v>0</v>
      </c>
      <c r="AZ27" s="37">
        <v>0</v>
      </c>
      <c r="BA27" s="37">
        <v>0</v>
      </c>
      <c r="BB27" s="37">
        <v>0</v>
      </c>
    </row>
    <row r="28" spans="1:71" ht="14.25" customHeight="1" x14ac:dyDescent="0.3">
      <c r="A28" s="33"/>
      <c r="B28" s="34"/>
      <c r="C28" s="38" t="s">
        <v>56</v>
      </c>
      <c r="D28" s="38" t="s">
        <v>57</v>
      </c>
      <c r="E28" s="38" t="s">
        <v>59</v>
      </c>
      <c r="F28" s="38" t="s">
        <v>60</v>
      </c>
      <c r="G28" s="38" t="s">
        <v>61</v>
      </c>
      <c r="H28" s="38" t="s">
        <v>62</v>
      </c>
      <c r="I28" s="38" t="s">
        <v>65</v>
      </c>
      <c r="J28" s="33"/>
      <c r="K28" s="34"/>
      <c r="L28" s="38" t="s">
        <v>56</v>
      </c>
      <c r="M28" s="38" t="s">
        <v>57</v>
      </c>
      <c r="N28" s="38" t="s">
        <v>59</v>
      </c>
      <c r="O28" s="38" t="s">
        <v>60</v>
      </c>
      <c r="P28" s="38" t="s">
        <v>61</v>
      </c>
      <c r="Q28" s="38" t="s">
        <v>62</v>
      </c>
      <c r="R28" s="38" t="s">
        <v>65</v>
      </c>
      <c r="S28" s="33"/>
      <c r="T28" s="34"/>
      <c r="U28" s="38" t="s">
        <v>56</v>
      </c>
      <c r="V28" s="38" t="s">
        <v>57</v>
      </c>
      <c r="W28" s="38" t="s">
        <v>59</v>
      </c>
      <c r="X28" s="38" t="s">
        <v>60</v>
      </c>
      <c r="Y28" s="38" t="s">
        <v>61</v>
      </c>
      <c r="Z28" s="38" t="s">
        <v>62</v>
      </c>
      <c r="AA28" s="38" t="s">
        <v>65</v>
      </c>
      <c r="AB28" s="33"/>
      <c r="AC28" s="34"/>
      <c r="AD28" s="38" t="s">
        <v>56</v>
      </c>
      <c r="AE28" s="38" t="s">
        <v>57</v>
      </c>
      <c r="AF28" s="38" t="s">
        <v>59</v>
      </c>
      <c r="AG28" s="38" t="s">
        <v>60</v>
      </c>
      <c r="AH28" s="38" t="s">
        <v>61</v>
      </c>
      <c r="AI28" s="38" t="s">
        <v>62</v>
      </c>
      <c r="AJ28" s="38" t="s">
        <v>65</v>
      </c>
      <c r="AK28" s="33"/>
      <c r="AL28" s="34"/>
      <c r="AM28" s="38" t="s">
        <v>56</v>
      </c>
      <c r="AN28" s="38" t="s">
        <v>57</v>
      </c>
      <c r="AO28" s="38" t="s">
        <v>59</v>
      </c>
      <c r="AP28" s="38" t="s">
        <v>60</v>
      </c>
      <c r="AQ28" s="38" t="s">
        <v>61</v>
      </c>
      <c r="AR28" s="38" t="s">
        <v>62</v>
      </c>
      <c r="AS28" s="38" t="s">
        <v>65</v>
      </c>
      <c r="AT28" s="33"/>
      <c r="AU28" s="34"/>
      <c r="AV28" s="38" t="s">
        <v>56</v>
      </c>
      <c r="AW28" s="38" t="s">
        <v>57</v>
      </c>
      <c r="AX28" s="38" t="s">
        <v>59</v>
      </c>
      <c r="AY28" s="38" t="s">
        <v>60</v>
      </c>
      <c r="AZ28" s="38" t="s">
        <v>61</v>
      </c>
      <c r="BA28" s="38" t="s">
        <v>62</v>
      </c>
      <c r="BB28" s="38" t="s">
        <v>65</v>
      </c>
    </row>
    <row r="29" spans="1:71" ht="14.25" customHeight="1" x14ac:dyDescent="0.3">
      <c r="A29" s="33" t="s">
        <v>97</v>
      </c>
      <c r="B29" s="34" t="s">
        <v>93</v>
      </c>
      <c r="C29" s="35">
        <v>3</v>
      </c>
      <c r="D29" s="35">
        <v>0</v>
      </c>
      <c r="E29" s="35">
        <v>1</v>
      </c>
      <c r="F29" s="35">
        <v>1</v>
      </c>
      <c r="G29" s="35">
        <v>0</v>
      </c>
      <c r="H29" s="35">
        <v>0</v>
      </c>
      <c r="I29" s="35">
        <v>5</v>
      </c>
      <c r="J29" s="33" t="s">
        <v>87</v>
      </c>
      <c r="K29" s="34" t="s">
        <v>93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3" t="s">
        <v>98</v>
      </c>
      <c r="T29" s="34" t="s">
        <v>93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3" t="s">
        <v>67</v>
      </c>
      <c r="AC29" s="34" t="s">
        <v>93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0</v>
      </c>
      <c r="AK29" s="33" t="s">
        <v>69</v>
      </c>
      <c r="AL29" s="34" t="s">
        <v>93</v>
      </c>
      <c r="AM29" s="35">
        <v>0</v>
      </c>
      <c r="AN29" s="35">
        <v>0</v>
      </c>
      <c r="AO29" s="35">
        <v>0</v>
      </c>
      <c r="AP29" s="35">
        <v>2</v>
      </c>
      <c r="AQ29" s="35">
        <v>0</v>
      </c>
      <c r="AR29" s="35">
        <v>0</v>
      </c>
      <c r="AS29" s="35">
        <v>2</v>
      </c>
      <c r="AT29" s="33" t="s">
        <v>66</v>
      </c>
      <c r="AU29" s="34" t="s">
        <v>93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</row>
    <row r="30" spans="1:71" ht="14.25" customHeight="1" x14ac:dyDescent="0.3">
      <c r="A30" s="33" t="s">
        <v>97</v>
      </c>
      <c r="B30" s="34" t="s">
        <v>95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3" t="s">
        <v>87</v>
      </c>
      <c r="K30" s="34" t="s">
        <v>95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3" t="s">
        <v>98</v>
      </c>
      <c r="T30" s="34" t="s">
        <v>95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3" t="s">
        <v>67</v>
      </c>
      <c r="AC30" s="34" t="s">
        <v>95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3" t="s">
        <v>69</v>
      </c>
      <c r="AL30" s="34" t="s">
        <v>95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35">
        <v>1</v>
      </c>
      <c r="AS30" s="35">
        <v>1</v>
      </c>
      <c r="AT30" s="33" t="s">
        <v>66</v>
      </c>
      <c r="AU30" s="34" t="s">
        <v>95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</row>
    <row r="31" spans="1:71" ht="14.25" customHeight="1" x14ac:dyDescent="0.3">
      <c r="A31" s="33" t="s">
        <v>97</v>
      </c>
      <c r="B31" s="34" t="s">
        <v>96</v>
      </c>
      <c r="C31" s="35">
        <v>2</v>
      </c>
      <c r="D31" s="35">
        <v>0</v>
      </c>
      <c r="E31" s="35">
        <v>11</v>
      </c>
      <c r="F31" s="35">
        <v>4</v>
      </c>
      <c r="G31" s="35">
        <v>4</v>
      </c>
      <c r="H31" s="35">
        <v>3</v>
      </c>
      <c r="I31" s="35">
        <v>25</v>
      </c>
      <c r="J31" s="33" t="s">
        <v>87</v>
      </c>
      <c r="K31" s="34" t="s">
        <v>96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3" t="s">
        <v>98</v>
      </c>
      <c r="T31" s="34" t="s">
        <v>96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3" t="s">
        <v>67</v>
      </c>
      <c r="AC31" s="34" t="s">
        <v>96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3" t="s">
        <v>69</v>
      </c>
      <c r="AL31" s="34" t="s">
        <v>96</v>
      </c>
      <c r="AM31" s="35">
        <v>2</v>
      </c>
      <c r="AN31" s="35">
        <v>1</v>
      </c>
      <c r="AO31" s="35">
        <v>4</v>
      </c>
      <c r="AP31" s="35">
        <v>0</v>
      </c>
      <c r="AQ31" s="35">
        <v>7</v>
      </c>
      <c r="AR31" s="35">
        <v>4</v>
      </c>
      <c r="AS31" s="35">
        <v>19</v>
      </c>
      <c r="AT31" s="33" t="s">
        <v>66</v>
      </c>
      <c r="AU31" s="34" t="s">
        <v>96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</row>
    <row r="32" spans="1:71" ht="14.25" customHeight="1" x14ac:dyDescent="0.3">
      <c r="A32" s="33" t="s">
        <v>97</v>
      </c>
      <c r="B32" s="34" t="s">
        <v>93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3" t="s">
        <v>87</v>
      </c>
      <c r="K32" s="34" t="s">
        <v>93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3" t="s">
        <v>98</v>
      </c>
      <c r="T32" s="34" t="s">
        <v>93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3" t="s">
        <v>67</v>
      </c>
      <c r="AC32" s="34" t="s">
        <v>93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3" t="s">
        <v>69</v>
      </c>
      <c r="AL32" s="34" t="s">
        <v>93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3" t="s">
        <v>66</v>
      </c>
      <c r="AU32" s="34" t="s">
        <v>93</v>
      </c>
      <c r="AV32" s="35">
        <v>0</v>
      </c>
      <c r="AW32" s="35">
        <v>0</v>
      </c>
      <c r="AX32" s="35">
        <v>2</v>
      </c>
      <c r="AY32" s="35">
        <v>0</v>
      </c>
      <c r="AZ32" s="35">
        <v>5</v>
      </c>
      <c r="BA32" s="35">
        <v>0</v>
      </c>
      <c r="BB32" s="35">
        <v>12</v>
      </c>
    </row>
    <row r="33" spans="1:56" ht="14.25" customHeight="1" x14ac:dyDescent="0.3">
      <c r="A33" s="33" t="s">
        <v>97</v>
      </c>
      <c r="B33" s="34" t="s">
        <v>95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3" t="s">
        <v>87</v>
      </c>
      <c r="K33" s="34" t="s">
        <v>95</v>
      </c>
      <c r="L33" s="35">
        <v>0</v>
      </c>
      <c r="M33" s="35">
        <v>0</v>
      </c>
      <c r="N33" s="35">
        <v>4</v>
      </c>
      <c r="O33" s="35">
        <v>0</v>
      </c>
      <c r="P33" s="35">
        <v>0</v>
      </c>
      <c r="Q33" s="35">
        <v>0</v>
      </c>
      <c r="R33" s="35">
        <v>5</v>
      </c>
      <c r="S33" s="33" t="s">
        <v>98</v>
      </c>
      <c r="T33" s="34" t="s">
        <v>95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3" t="s">
        <v>67</v>
      </c>
      <c r="AC33" s="34" t="s">
        <v>95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3" t="s">
        <v>69</v>
      </c>
      <c r="AL33" s="34" t="s">
        <v>95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3" t="s">
        <v>66</v>
      </c>
      <c r="AU33" s="34" t="s">
        <v>95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</row>
    <row r="34" spans="1:56" ht="14.25" customHeight="1" x14ac:dyDescent="0.3">
      <c r="A34" s="33" t="s">
        <v>97</v>
      </c>
      <c r="B34" s="36" t="s">
        <v>96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3" t="s">
        <v>87</v>
      </c>
      <c r="K34" s="36" t="s">
        <v>96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3" t="s">
        <v>98</v>
      </c>
      <c r="T34" s="36" t="s">
        <v>96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3" t="s">
        <v>67</v>
      </c>
      <c r="AC34" s="36" t="s">
        <v>96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3" t="s">
        <v>69</v>
      </c>
      <c r="AL34" s="36" t="s">
        <v>96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37">
        <v>0</v>
      </c>
      <c r="AT34" s="33" t="s">
        <v>66</v>
      </c>
      <c r="AU34" s="36" t="s">
        <v>96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7">
        <v>0</v>
      </c>
    </row>
    <row r="35" spans="1:56" ht="25.5" customHeight="1" x14ac:dyDescent="0.3">
      <c r="A35" s="159" t="s">
        <v>99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</row>
    <row r="36" spans="1:56" ht="14.25" customHeight="1" x14ac:dyDescent="0.3">
      <c r="A36" s="18" t="s">
        <v>100</v>
      </c>
      <c r="B36" s="12" t="s">
        <v>101</v>
      </c>
      <c r="C36" s="12" t="s">
        <v>102</v>
      </c>
      <c r="D36" s="12" t="s">
        <v>26</v>
      </c>
      <c r="E36" s="12" t="s">
        <v>103</v>
      </c>
      <c r="F36" s="12" t="s">
        <v>104</v>
      </c>
      <c r="G36" s="12" t="s">
        <v>105</v>
      </c>
      <c r="H36" s="18" t="s">
        <v>82</v>
      </c>
      <c r="I36" s="12" t="s">
        <v>101</v>
      </c>
      <c r="J36" s="12" t="s">
        <v>102</v>
      </c>
      <c r="K36" s="12" t="s">
        <v>26</v>
      </c>
      <c r="L36" s="12" t="s">
        <v>106</v>
      </c>
      <c r="M36" s="12" t="s">
        <v>104</v>
      </c>
      <c r="N36" s="12" t="s">
        <v>105</v>
      </c>
      <c r="O36" s="18" t="s">
        <v>71</v>
      </c>
      <c r="P36" s="12" t="s">
        <v>101</v>
      </c>
      <c r="Q36" s="12" t="s">
        <v>102</v>
      </c>
      <c r="R36" s="12" t="s">
        <v>26</v>
      </c>
      <c r="S36" s="12" t="s">
        <v>106</v>
      </c>
      <c r="T36" s="12" t="s">
        <v>104</v>
      </c>
      <c r="U36" s="12" t="s">
        <v>105</v>
      </c>
      <c r="V36" s="18" t="s">
        <v>76</v>
      </c>
      <c r="W36" s="12" t="s">
        <v>101</v>
      </c>
      <c r="X36" s="12" t="s">
        <v>102</v>
      </c>
      <c r="Y36" s="12" t="s">
        <v>26</v>
      </c>
      <c r="Z36" s="12" t="s">
        <v>106</v>
      </c>
      <c r="AA36" s="12" t="s">
        <v>104</v>
      </c>
      <c r="AB36" s="12" t="s">
        <v>105</v>
      </c>
      <c r="AC36" s="18" t="s">
        <v>72</v>
      </c>
      <c r="AD36" s="12" t="s">
        <v>101</v>
      </c>
      <c r="AE36" s="12" t="s">
        <v>102</v>
      </c>
      <c r="AF36" s="12" t="s">
        <v>26</v>
      </c>
      <c r="AG36" s="12" t="s">
        <v>106</v>
      </c>
      <c r="AH36" s="12" t="s">
        <v>104</v>
      </c>
      <c r="AI36" s="12" t="s">
        <v>105</v>
      </c>
      <c r="AJ36" s="18" t="s">
        <v>74</v>
      </c>
      <c r="AK36" s="12" t="s">
        <v>101</v>
      </c>
      <c r="AL36" s="12" t="s">
        <v>102</v>
      </c>
      <c r="AM36" s="12" t="s">
        <v>26</v>
      </c>
      <c r="AN36" s="12" t="s">
        <v>106</v>
      </c>
      <c r="AO36" s="12" t="s">
        <v>104</v>
      </c>
      <c r="AP36" s="12" t="s">
        <v>105</v>
      </c>
      <c r="AQ36" s="18" t="s">
        <v>90</v>
      </c>
      <c r="AR36" s="12" t="s">
        <v>101</v>
      </c>
      <c r="AS36" s="12" t="s">
        <v>102</v>
      </c>
      <c r="AT36" s="12" t="s">
        <v>26</v>
      </c>
      <c r="AU36" s="12" t="s">
        <v>106</v>
      </c>
      <c r="AV36" s="12" t="s">
        <v>104</v>
      </c>
      <c r="AW36" s="12" t="s">
        <v>105</v>
      </c>
      <c r="AX36" s="18" t="s">
        <v>107</v>
      </c>
      <c r="AY36" s="12" t="s">
        <v>101</v>
      </c>
      <c r="AZ36" s="12" t="s">
        <v>102</v>
      </c>
      <c r="BA36" s="12" t="s">
        <v>26</v>
      </c>
      <c r="BB36" s="12" t="s">
        <v>106</v>
      </c>
      <c r="BC36" s="12" t="s">
        <v>108</v>
      </c>
      <c r="BD36" s="12" t="s">
        <v>105</v>
      </c>
    </row>
    <row r="37" spans="1:56" ht="14.25" customHeight="1" x14ac:dyDescent="0.3">
      <c r="A37" s="18" t="s">
        <v>109</v>
      </c>
      <c r="B37" s="39">
        <v>8.3299999999999999E-2</v>
      </c>
      <c r="C37" s="19">
        <v>72</v>
      </c>
      <c r="D37" s="19">
        <v>5</v>
      </c>
      <c r="E37" s="19">
        <v>10</v>
      </c>
      <c r="F37" s="19">
        <v>5</v>
      </c>
      <c r="G37" s="19">
        <v>4</v>
      </c>
      <c r="H37" s="18" t="s">
        <v>109</v>
      </c>
      <c r="I37" s="40">
        <v>0.5</v>
      </c>
      <c r="J37" s="19">
        <v>10</v>
      </c>
      <c r="K37" s="19">
        <v>7</v>
      </c>
      <c r="L37" s="40">
        <v>0.7</v>
      </c>
      <c r="M37" s="19">
        <v>0</v>
      </c>
      <c r="N37" s="19">
        <v>2</v>
      </c>
      <c r="O37" s="18" t="s">
        <v>109</v>
      </c>
      <c r="P37" s="40">
        <v>0.31</v>
      </c>
      <c r="Q37" s="19">
        <v>49</v>
      </c>
      <c r="R37" s="19">
        <v>23</v>
      </c>
      <c r="S37" s="40">
        <v>0.47</v>
      </c>
      <c r="T37" s="19">
        <v>3</v>
      </c>
      <c r="U37" s="19">
        <v>5</v>
      </c>
      <c r="V37" s="18" t="s">
        <v>109</v>
      </c>
      <c r="W37" s="40">
        <v>0.4</v>
      </c>
      <c r="X37" s="19">
        <v>15</v>
      </c>
      <c r="Y37" s="19">
        <v>8</v>
      </c>
      <c r="Z37" s="40">
        <v>0.53</v>
      </c>
      <c r="AA37" s="19">
        <v>2</v>
      </c>
      <c r="AB37" s="19">
        <v>0</v>
      </c>
      <c r="AC37" s="18" t="s">
        <v>109</v>
      </c>
      <c r="AD37" s="40">
        <v>0.62</v>
      </c>
      <c r="AE37" s="19">
        <v>8</v>
      </c>
      <c r="AF37" s="19">
        <v>5</v>
      </c>
      <c r="AG37" s="40">
        <v>0.62</v>
      </c>
      <c r="AH37" s="19">
        <v>0</v>
      </c>
      <c r="AI37" s="19">
        <v>0</v>
      </c>
      <c r="AJ37" s="18" t="s">
        <v>109</v>
      </c>
      <c r="AK37" s="40">
        <v>0.5</v>
      </c>
      <c r="AL37" s="19">
        <v>10</v>
      </c>
      <c r="AM37" s="19">
        <v>5</v>
      </c>
      <c r="AN37" s="40">
        <v>0.5</v>
      </c>
      <c r="AO37" s="19">
        <v>0</v>
      </c>
      <c r="AP37" s="19">
        <v>0</v>
      </c>
      <c r="AQ37" s="18" t="s">
        <v>109</v>
      </c>
      <c r="AR37" s="40">
        <v>-0.33</v>
      </c>
      <c r="AS37" s="19">
        <v>3</v>
      </c>
      <c r="AT37" s="19">
        <v>0</v>
      </c>
      <c r="AU37" s="40">
        <v>0</v>
      </c>
      <c r="AV37" s="19">
        <v>0</v>
      </c>
      <c r="AW37" s="19">
        <v>1</v>
      </c>
      <c r="AX37" s="18" t="s">
        <v>109</v>
      </c>
      <c r="AY37" s="40">
        <v>0.02</v>
      </c>
      <c r="AZ37" s="19">
        <v>51</v>
      </c>
      <c r="BA37" s="19">
        <v>10</v>
      </c>
      <c r="BB37" s="40">
        <v>0.2</v>
      </c>
      <c r="BC37" s="40">
        <v>0.22</v>
      </c>
      <c r="BD37" s="19">
        <v>18</v>
      </c>
    </row>
    <row r="38" spans="1:56" ht="14.25" customHeight="1" x14ac:dyDescent="0.3">
      <c r="A38" s="18" t="s">
        <v>68</v>
      </c>
      <c r="B38" s="39">
        <v>-9.3799999999999994E-2</v>
      </c>
      <c r="C38" s="19">
        <v>8</v>
      </c>
      <c r="D38" s="19">
        <v>0</v>
      </c>
      <c r="E38" s="19">
        <v>1</v>
      </c>
      <c r="F38" s="19">
        <v>0</v>
      </c>
      <c r="G38" s="19">
        <v>1</v>
      </c>
      <c r="H38" s="18" t="s">
        <v>68</v>
      </c>
      <c r="I38" s="40">
        <v>0</v>
      </c>
      <c r="J38" s="19">
        <v>0</v>
      </c>
      <c r="K38" s="19">
        <v>0</v>
      </c>
      <c r="L38" s="40">
        <v>0</v>
      </c>
      <c r="M38" s="19">
        <v>0</v>
      </c>
      <c r="N38" s="19">
        <v>0</v>
      </c>
      <c r="O38" s="18" t="s">
        <v>68</v>
      </c>
      <c r="P38" s="40">
        <v>0</v>
      </c>
      <c r="Q38" s="19">
        <v>0</v>
      </c>
      <c r="R38" s="19">
        <v>0</v>
      </c>
      <c r="S38" s="40">
        <v>0</v>
      </c>
      <c r="T38" s="19">
        <v>0</v>
      </c>
      <c r="U38" s="19">
        <v>0</v>
      </c>
      <c r="V38" s="18" t="s">
        <v>68</v>
      </c>
      <c r="W38" s="40">
        <v>0</v>
      </c>
      <c r="X38" s="19">
        <v>0</v>
      </c>
      <c r="Y38" s="19">
        <v>0</v>
      </c>
      <c r="Z38" s="40">
        <v>0</v>
      </c>
      <c r="AA38" s="19">
        <v>0</v>
      </c>
      <c r="AB38" s="19">
        <v>0</v>
      </c>
      <c r="AC38" s="18" t="s">
        <v>68</v>
      </c>
      <c r="AD38" s="40">
        <v>0.5</v>
      </c>
      <c r="AE38" s="19">
        <v>4</v>
      </c>
      <c r="AF38" s="19">
        <v>2</v>
      </c>
      <c r="AG38" s="40">
        <v>0.5</v>
      </c>
      <c r="AH38" s="19">
        <v>0</v>
      </c>
      <c r="AI38" s="19">
        <v>0</v>
      </c>
      <c r="AJ38" s="18" t="s">
        <v>68</v>
      </c>
      <c r="AK38" s="40">
        <v>0.6</v>
      </c>
      <c r="AL38" s="19">
        <v>5</v>
      </c>
      <c r="AM38" s="19">
        <v>3</v>
      </c>
      <c r="AN38" s="40">
        <v>0.6</v>
      </c>
      <c r="AO38" s="19">
        <v>0</v>
      </c>
      <c r="AP38" s="19">
        <v>0</v>
      </c>
      <c r="AQ38" s="18" t="s">
        <v>68</v>
      </c>
      <c r="AR38" s="40">
        <v>0</v>
      </c>
      <c r="AS38" s="19">
        <v>0</v>
      </c>
      <c r="AT38" s="19">
        <v>0</v>
      </c>
      <c r="AU38" s="40">
        <v>0</v>
      </c>
      <c r="AV38" s="19">
        <v>0</v>
      </c>
      <c r="AW38" s="19">
        <v>0</v>
      </c>
      <c r="AX38" s="18" t="s">
        <v>68</v>
      </c>
      <c r="AY38" s="40">
        <v>0.5</v>
      </c>
      <c r="AZ38" s="19">
        <v>10</v>
      </c>
      <c r="BA38" s="19">
        <v>4</v>
      </c>
      <c r="BB38" s="40">
        <v>0.4</v>
      </c>
      <c r="BC38" s="40">
        <v>0.3</v>
      </c>
      <c r="BD38" s="19">
        <v>2</v>
      </c>
    </row>
    <row r="39" spans="1:56" ht="14.25" customHeight="1" x14ac:dyDescent="0.3">
      <c r="A39" s="18" t="s">
        <v>97</v>
      </c>
      <c r="B39" s="39">
        <v>0.19170000000000001</v>
      </c>
      <c r="C39" s="19">
        <v>30</v>
      </c>
      <c r="D39" s="19">
        <v>5</v>
      </c>
      <c r="E39" s="19">
        <v>3</v>
      </c>
      <c r="F39" s="19">
        <v>2</v>
      </c>
      <c r="G39" s="19">
        <v>1</v>
      </c>
      <c r="H39" s="18" t="s">
        <v>97</v>
      </c>
      <c r="I39" s="40">
        <v>0</v>
      </c>
      <c r="J39" s="19">
        <v>0</v>
      </c>
      <c r="K39" s="19">
        <v>0</v>
      </c>
      <c r="L39" s="40">
        <v>0</v>
      </c>
      <c r="M39" s="19">
        <v>0</v>
      </c>
      <c r="N39" s="19">
        <v>0</v>
      </c>
      <c r="O39" s="18" t="s">
        <v>97</v>
      </c>
      <c r="P39" s="40">
        <v>0</v>
      </c>
      <c r="Q39" s="19">
        <v>0</v>
      </c>
      <c r="R39" s="19">
        <v>0</v>
      </c>
      <c r="S39" s="40">
        <v>0</v>
      </c>
      <c r="T39" s="19">
        <v>0</v>
      </c>
      <c r="U39" s="19">
        <v>0</v>
      </c>
      <c r="V39" s="18" t="s">
        <v>97</v>
      </c>
      <c r="W39" s="40">
        <v>0</v>
      </c>
      <c r="X39" s="19">
        <v>0</v>
      </c>
      <c r="Y39" s="19">
        <v>0</v>
      </c>
      <c r="Z39" s="40">
        <v>0</v>
      </c>
      <c r="AA39" s="19">
        <v>0</v>
      </c>
      <c r="AB39" s="19">
        <v>0</v>
      </c>
      <c r="AC39" s="18" t="s">
        <v>97</v>
      </c>
      <c r="AD39" s="40">
        <v>0</v>
      </c>
      <c r="AE39" s="19">
        <v>0</v>
      </c>
      <c r="AF39" s="19">
        <v>0</v>
      </c>
      <c r="AG39" s="40">
        <v>0</v>
      </c>
      <c r="AH39" s="19">
        <v>0</v>
      </c>
      <c r="AI39" s="19">
        <v>0</v>
      </c>
      <c r="AJ39" s="18" t="s">
        <v>97</v>
      </c>
      <c r="AK39" s="40">
        <v>0</v>
      </c>
      <c r="AL39" s="19">
        <v>0</v>
      </c>
      <c r="AM39" s="19">
        <v>0</v>
      </c>
      <c r="AN39" s="40">
        <v>0</v>
      </c>
      <c r="AO39" s="19">
        <v>0</v>
      </c>
      <c r="AP39" s="19">
        <v>0</v>
      </c>
      <c r="AQ39" s="18" t="s">
        <v>97</v>
      </c>
      <c r="AR39" s="40">
        <v>0</v>
      </c>
      <c r="AS39" s="19">
        <v>0</v>
      </c>
      <c r="AT39" s="19">
        <v>0</v>
      </c>
      <c r="AU39" s="40">
        <v>0</v>
      </c>
      <c r="AV39" s="19">
        <v>0</v>
      </c>
      <c r="AW39" s="19">
        <v>0</v>
      </c>
      <c r="AX39" s="18" t="s">
        <v>97</v>
      </c>
      <c r="AY39" s="40">
        <v>-0.33</v>
      </c>
      <c r="AZ39" s="19">
        <v>3</v>
      </c>
      <c r="BA39" s="19">
        <v>0</v>
      </c>
      <c r="BB39" s="40">
        <v>0</v>
      </c>
      <c r="BC39" s="40">
        <v>0.33</v>
      </c>
      <c r="BD39" s="19">
        <v>2</v>
      </c>
    </row>
    <row r="40" spans="1:56" ht="14.25" customHeight="1" x14ac:dyDescent="0.3">
      <c r="A40" s="18" t="s">
        <v>54</v>
      </c>
      <c r="B40" s="25" t="s">
        <v>80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8" t="s">
        <v>54</v>
      </c>
      <c r="I40" s="40">
        <v>1</v>
      </c>
      <c r="J40" s="19">
        <v>1</v>
      </c>
      <c r="K40" s="19">
        <v>1</v>
      </c>
      <c r="L40" s="40">
        <v>1</v>
      </c>
      <c r="M40" s="19">
        <v>0</v>
      </c>
      <c r="N40" s="19">
        <v>0</v>
      </c>
      <c r="O40" s="18" t="s">
        <v>54</v>
      </c>
      <c r="P40" s="40">
        <v>0</v>
      </c>
      <c r="Q40" s="19">
        <v>0</v>
      </c>
      <c r="R40" s="19">
        <v>0</v>
      </c>
      <c r="S40" s="40">
        <v>0</v>
      </c>
      <c r="T40" s="19">
        <v>0</v>
      </c>
      <c r="U40" s="19">
        <v>0</v>
      </c>
      <c r="V40" s="18" t="s">
        <v>54</v>
      </c>
      <c r="W40" s="40">
        <v>0.33</v>
      </c>
      <c r="X40" s="19">
        <v>3</v>
      </c>
      <c r="Y40" s="19">
        <v>1</v>
      </c>
      <c r="Z40" s="40">
        <v>0.33</v>
      </c>
      <c r="AA40" s="19">
        <v>0</v>
      </c>
      <c r="AB40" s="19">
        <v>0</v>
      </c>
      <c r="AC40" s="18" t="s">
        <v>54</v>
      </c>
      <c r="AD40" s="40">
        <v>0</v>
      </c>
      <c r="AE40" s="19">
        <v>0</v>
      </c>
      <c r="AF40" s="19">
        <v>0</v>
      </c>
      <c r="AG40" s="40">
        <v>0</v>
      </c>
      <c r="AH40" s="19">
        <v>0</v>
      </c>
      <c r="AI40" s="19">
        <v>0</v>
      </c>
      <c r="AJ40" s="18" t="s">
        <v>54</v>
      </c>
      <c r="AK40" s="40">
        <v>0</v>
      </c>
      <c r="AL40" s="19">
        <v>0</v>
      </c>
      <c r="AM40" s="19">
        <v>0</v>
      </c>
      <c r="AN40" s="40">
        <v>0</v>
      </c>
      <c r="AO40" s="19">
        <v>0</v>
      </c>
      <c r="AP40" s="19">
        <v>0</v>
      </c>
      <c r="AQ40" s="18" t="s">
        <v>54</v>
      </c>
      <c r="AR40" s="40">
        <v>0</v>
      </c>
      <c r="AS40" s="19">
        <v>0</v>
      </c>
      <c r="AT40" s="19">
        <v>0</v>
      </c>
      <c r="AU40" s="40">
        <v>0</v>
      </c>
      <c r="AV40" s="19">
        <v>0</v>
      </c>
      <c r="AW40" s="19">
        <v>0</v>
      </c>
      <c r="AX40" s="18" t="s">
        <v>54</v>
      </c>
      <c r="AY40" s="40">
        <v>0</v>
      </c>
      <c r="AZ40" s="19">
        <v>3</v>
      </c>
      <c r="BA40" s="19">
        <v>1</v>
      </c>
      <c r="BB40" s="40">
        <v>0.33</v>
      </c>
      <c r="BC40" s="40">
        <v>0</v>
      </c>
      <c r="BD40" s="19">
        <v>1</v>
      </c>
    </row>
    <row r="41" spans="1:56" ht="14.25" customHeight="1" x14ac:dyDescent="0.3">
      <c r="A41" s="18" t="s">
        <v>87</v>
      </c>
      <c r="B41" s="25" t="s">
        <v>80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8" t="s">
        <v>87</v>
      </c>
      <c r="I41" s="40">
        <v>0</v>
      </c>
      <c r="J41" s="19">
        <v>0</v>
      </c>
      <c r="K41" s="19">
        <v>0</v>
      </c>
      <c r="L41" s="40">
        <v>0</v>
      </c>
      <c r="M41" s="19">
        <v>0</v>
      </c>
      <c r="N41" s="19">
        <v>0</v>
      </c>
      <c r="O41" s="18" t="s">
        <v>87</v>
      </c>
      <c r="P41" s="40">
        <v>-0.2</v>
      </c>
      <c r="Q41" s="19">
        <v>5</v>
      </c>
      <c r="R41" s="19">
        <v>1</v>
      </c>
      <c r="S41" s="40">
        <v>0.2</v>
      </c>
      <c r="T41" s="19">
        <v>1</v>
      </c>
      <c r="U41" s="19">
        <v>1</v>
      </c>
      <c r="V41" s="18" t="s">
        <v>87</v>
      </c>
      <c r="W41" s="40">
        <v>0</v>
      </c>
      <c r="X41" s="19">
        <v>0</v>
      </c>
      <c r="Y41" s="19">
        <v>0</v>
      </c>
      <c r="Z41" s="40">
        <v>0</v>
      </c>
      <c r="AA41" s="19">
        <v>0</v>
      </c>
      <c r="AB41" s="19">
        <v>0</v>
      </c>
      <c r="AC41" s="18" t="s">
        <v>87</v>
      </c>
      <c r="AD41" s="40">
        <v>0</v>
      </c>
      <c r="AE41" s="19">
        <v>0</v>
      </c>
      <c r="AF41" s="19">
        <v>0</v>
      </c>
      <c r="AG41" s="40">
        <v>0</v>
      </c>
      <c r="AH41" s="19">
        <v>0</v>
      </c>
      <c r="AI41" s="19">
        <v>0</v>
      </c>
      <c r="AJ41" s="18" t="s">
        <v>87</v>
      </c>
      <c r="AK41" s="40">
        <v>0</v>
      </c>
      <c r="AL41" s="19">
        <v>0</v>
      </c>
      <c r="AM41" s="19">
        <v>0</v>
      </c>
      <c r="AN41" s="40">
        <v>0</v>
      </c>
      <c r="AO41" s="19">
        <v>0</v>
      </c>
      <c r="AP41" s="19">
        <v>0</v>
      </c>
      <c r="AQ41" s="18" t="s">
        <v>87</v>
      </c>
      <c r="AR41" s="40">
        <v>0</v>
      </c>
      <c r="AS41" s="19">
        <v>0</v>
      </c>
      <c r="AT41" s="19">
        <v>0</v>
      </c>
      <c r="AU41" s="40">
        <v>0</v>
      </c>
      <c r="AV41" s="19">
        <v>0</v>
      </c>
      <c r="AW41" s="19">
        <v>0</v>
      </c>
      <c r="AX41" s="18" t="s">
        <v>87</v>
      </c>
      <c r="AY41" s="40">
        <v>0</v>
      </c>
      <c r="AZ41" s="19">
        <v>0</v>
      </c>
      <c r="BA41" s="19">
        <v>0</v>
      </c>
      <c r="BB41" s="40">
        <v>0</v>
      </c>
      <c r="BC41" s="40">
        <v>0</v>
      </c>
      <c r="BD41" s="19">
        <v>0</v>
      </c>
    </row>
    <row r="42" spans="1:56" ht="14.25" customHeight="1" x14ac:dyDescent="0.3">
      <c r="A42" s="18" t="s">
        <v>94</v>
      </c>
      <c r="B42" s="39">
        <v>0.125</v>
      </c>
      <c r="C42" s="19">
        <v>2</v>
      </c>
      <c r="D42" s="19">
        <v>0</v>
      </c>
      <c r="E42" s="19">
        <v>1</v>
      </c>
      <c r="F42" s="19">
        <v>0</v>
      </c>
      <c r="G42" s="19">
        <v>0</v>
      </c>
      <c r="H42" s="18" t="s">
        <v>94</v>
      </c>
      <c r="I42" s="40">
        <v>0</v>
      </c>
      <c r="J42" s="19">
        <v>0</v>
      </c>
      <c r="K42" s="19">
        <v>0</v>
      </c>
      <c r="L42" s="40">
        <v>0</v>
      </c>
      <c r="M42" s="19">
        <v>0</v>
      </c>
      <c r="N42" s="19">
        <v>0</v>
      </c>
      <c r="O42" s="18" t="s">
        <v>94</v>
      </c>
      <c r="P42" s="40">
        <v>0</v>
      </c>
      <c r="Q42" s="19">
        <v>0</v>
      </c>
      <c r="R42" s="19">
        <v>0</v>
      </c>
      <c r="S42" s="40">
        <v>0</v>
      </c>
      <c r="T42" s="19">
        <v>0</v>
      </c>
      <c r="U42" s="19">
        <v>0</v>
      </c>
      <c r="V42" s="18" t="s">
        <v>94</v>
      </c>
      <c r="W42" s="40">
        <v>0</v>
      </c>
      <c r="X42" s="19">
        <v>0</v>
      </c>
      <c r="Y42" s="19">
        <v>0</v>
      </c>
      <c r="Z42" s="40">
        <v>0</v>
      </c>
      <c r="AA42" s="19">
        <v>0</v>
      </c>
      <c r="AB42" s="19">
        <v>0</v>
      </c>
      <c r="AC42" s="18" t="s">
        <v>94</v>
      </c>
      <c r="AD42" s="40">
        <v>0</v>
      </c>
      <c r="AE42" s="19">
        <v>0</v>
      </c>
      <c r="AF42" s="19">
        <v>0</v>
      </c>
      <c r="AG42" s="40">
        <v>0</v>
      </c>
      <c r="AH42" s="19">
        <v>0</v>
      </c>
      <c r="AI42" s="19">
        <v>0</v>
      </c>
      <c r="AJ42" s="18" t="s">
        <v>94</v>
      </c>
      <c r="AK42" s="40">
        <v>0</v>
      </c>
      <c r="AL42" s="19">
        <v>0</v>
      </c>
      <c r="AM42" s="19">
        <v>0</v>
      </c>
      <c r="AN42" s="40">
        <v>0</v>
      </c>
      <c r="AO42" s="19">
        <v>0</v>
      </c>
      <c r="AP42" s="19">
        <v>0</v>
      </c>
      <c r="AQ42" s="18" t="s">
        <v>94</v>
      </c>
      <c r="AR42" s="40">
        <v>0</v>
      </c>
      <c r="AS42" s="19">
        <v>0</v>
      </c>
      <c r="AT42" s="19">
        <v>0</v>
      </c>
      <c r="AU42" s="40">
        <v>0</v>
      </c>
      <c r="AV42" s="19">
        <v>0</v>
      </c>
      <c r="AW42" s="19">
        <v>0</v>
      </c>
      <c r="AX42" s="18" t="s">
        <v>94</v>
      </c>
      <c r="AY42" s="40">
        <v>-0.2</v>
      </c>
      <c r="AZ42" s="19">
        <v>5</v>
      </c>
      <c r="BA42" s="19">
        <v>0</v>
      </c>
      <c r="BB42" s="40">
        <v>0</v>
      </c>
      <c r="BC42" s="40">
        <v>0.2</v>
      </c>
      <c r="BD42" s="19">
        <v>1</v>
      </c>
    </row>
    <row r="43" spans="1:56" ht="14.25" customHeight="1" x14ac:dyDescent="0.3">
      <c r="A43" s="18" t="s">
        <v>86</v>
      </c>
      <c r="B43" s="39">
        <v>-0.33329999999999999</v>
      </c>
      <c r="C43" s="19">
        <v>3</v>
      </c>
      <c r="D43" s="19">
        <v>0</v>
      </c>
      <c r="E43" s="19">
        <v>0</v>
      </c>
      <c r="F43" s="19">
        <v>0</v>
      </c>
      <c r="G43" s="19">
        <v>1</v>
      </c>
      <c r="H43" s="18" t="s">
        <v>86</v>
      </c>
      <c r="I43" s="40">
        <v>0</v>
      </c>
      <c r="J43" s="19">
        <v>0</v>
      </c>
      <c r="K43" s="19">
        <v>0</v>
      </c>
      <c r="L43" s="40">
        <v>0</v>
      </c>
      <c r="M43" s="19">
        <v>0</v>
      </c>
      <c r="N43" s="19">
        <v>0</v>
      </c>
      <c r="O43" s="18" t="s">
        <v>86</v>
      </c>
      <c r="P43" s="40">
        <v>0.2</v>
      </c>
      <c r="Q43" s="19">
        <v>20</v>
      </c>
      <c r="R43" s="19">
        <v>9</v>
      </c>
      <c r="S43" s="40">
        <v>0.45</v>
      </c>
      <c r="T43" s="19">
        <v>2</v>
      </c>
      <c r="U43" s="19">
        <v>3</v>
      </c>
      <c r="V43" s="18" t="s">
        <v>86</v>
      </c>
      <c r="W43" s="40">
        <v>0</v>
      </c>
      <c r="X43" s="19">
        <v>0</v>
      </c>
      <c r="Y43" s="19">
        <v>0</v>
      </c>
      <c r="Z43" s="40">
        <v>0</v>
      </c>
      <c r="AA43" s="19">
        <v>0</v>
      </c>
      <c r="AB43" s="19">
        <v>0</v>
      </c>
      <c r="AC43" s="18" t="s">
        <v>86</v>
      </c>
      <c r="AD43" s="40">
        <v>0</v>
      </c>
      <c r="AE43" s="19">
        <v>0</v>
      </c>
      <c r="AF43" s="19">
        <v>0</v>
      </c>
      <c r="AG43" s="40">
        <v>0</v>
      </c>
      <c r="AH43" s="19">
        <v>0</v>
      </c>
      <c r="AI43" s="19">
        <v>0</v>
      </c>
      <c r="AJ43" s="18" t="s">
        <v>86</v>
      </c>
      <c r="AK43" s="40">
        <v>0</v>
      </c>
      <c r="AL43" s="19">
        <v>0</v>
      </c>
      <c r="AM43" s="19">
        <v>0</v>
      </c>
      <c r="AN43" s="40">
        <v>0</v>
      </c>
      <c r="AO43" s="19">
        <v>0</v>
      </c>
      <c r="AP43" s="19">
        <v>0</v>
      </c>
      <c r="AQ43" s="18" t="s">
        <v>86</v>
      </c>
      <c r="AR43" s="40">
        <v>-0.33</v>
      </c>
      <c r="AS43" s="19">
        <v>3</v>
      </c>
      <c r="AT43" s="19">
        <v>0</v>
      </c>
      <c r="AU43" s="40">
        <v>0</v>
      </c>
      <c r="AV43" s="19">
        <v>0</v>
      </c>
      <c r="AW43" s="19">
        <v>1</v>
      </c>
      <c r="AX43" s="18" t="s">
        <v>86</v>
      </c>
      <c r="AY43" s="40">
        <v>-0.2</v>
      </c>
      <c r="AZ43" s="19">
        <v>5</v>
      </c>
      <c r="BA43" s="19">
        <v>0</v>
      </c>
      <c r="BB43" s="40">
        <v>0</v>
      </c>
      <c r="BC43" s="40">
        <v>0.2</v>
      </c>
      <c r="BD43" s="19">
        <v>1</v>
      </c>
    </row>
    <row r="44" spans="1:56" ht="14.25" customHeight="1" x14ac:dyDescent="0.3">
      <c r="A44" s="18" t="s">
        <v>85</v>
      </c>
      <c r="B44" s="19">
        <v>0</v>
      </c>
      <c r="C44" s="19">
        <v>3</v>
      </c>
      <c r="D44" s="19">
        <v>0</v>
      </c>
      <c r="E44" s="19">
        <v>0</v>
      </c>
      <c r="F44" s="19">
        <v>0</v>
      </c>
      <c r="G44" s="19">
        <v>0</v>
      </c>
      <c r="H44" s="18" t="s">
        <v>85</v>
      </c>
      <c r="I44" s="40">
        <v>0</v>
      </c>
      <c r="J44" s="19">
        <v>0</v>
      </c>
      <c r="K44" s="19">
        <v>0</v>
      </c>
      <c r="L44" s="40">
        <v>0</v>
      </c>
      <c r="M44" s="19">
        <v>0</v>
      </c>
      <c r="N44" s="19">
        <v>0</v>
      </c>
      <c r="O44" s="18" t="s">
        <v>85</v>
      </c>
      <c r="P44" s="40">
        <v>0.5</v>
      </c>
      <c r="Q44" s="19">
        <v>24</v>
      </c>
      <c r="R44" s="19">
        <v>13</v>
      </c>
      <c r="S44" s="40">
        <v>0.54</v>
      </c>
      <c r="T44" s="19">
        <v>0</v>
      </c>
      <c r="U44" s="19">
        <v>1</v>
      </c>
      <c r="V44" s="18" t="s">
        <v>85</v>
      </c>
      <c r="W44" s="40">
        <v>0</v>
      </c>
      <c r="X44" s="19">
        <v>0</v>
      </c>
      <c r="Y44" s="19">
        <v>0</v>
      </c>
      <c r="Z44" s="40">
        <v>0</v>
      </c>
      <c r="AA44" s="19">
        <v>0</v>
      </c>
      <c r="AB44" s="19">
        <v>0</v>
      </c>
      <c r="AC44" s="18" t="s">
        <v>85</v>
      </c>
      <c r="AD44" s="40">
        <v>0</v>
      </c>
      <c r="AE44" s="19">
        <v>0</v>
      </c>
      <c r="AF44" s="19">
        <v>0</v>
      </c>
      <c r="AG44" s="40">
        <v>0</v>
      </c>
      <c r="AH44" s="19">
        <v>0</v>
      </c>
      <c r="AI44" s="19">
        <v>0</v>
      </c>
      <c r="AJ44" s="18" t="s">
        <v>85</v>
      </c>
      <c r="AK44" s="40">
        <v>0</v>
      </c>
      <c r="AL44" s="19">
        <v>0</v>
      </c>
      <c r="AM44" s="19">
        <v>0</v>
      </c>
      <c r="AN44" s="40">
        <v>0</v>
      </c>
      <c r="AO44" s="19">
        <v>0</v>
      </c>
      <c r="AP44" s="19">
        <v>0</v>
      </c>
      <c r="AQ44" s="18" t="s">
        <v>85</v>
      </c>
      <c r="AR44" s="40">
        <v>0</v>
      </c>
      <c r="AS44" s="19">
        <v>0</v>
      </c>
      <c r="AT44" s="19">
        <v>0</v>
      </c>
      <c r="AU44" s="40">
        <v>0</v>
      </c>
      <c r="AV44" s="19">
        <v>0</v>
      </c>
      <c r="AW44" s="19">
        <v>0</v>
      </c>
      <c r="AX44" s="18" t="s">
        <v>85</v>
      </c>
      <c r="AY44" s="40">
        <v>-0.17</v>
      </c>
      <c r="AZ44" s="19">
        <v>6</v>
      </c>
      <c r="BA44" s="19">
        <v>1</v>
      </c>
      <c r="BB44" s="40">
        <v>0.17</v>
      </c>
      <c r="BC44" s="40">
        <v>0.17</v>
      </c>
      <c r="BD44" s="19">
        <v>3</v>
      </c>
    </row>
    <row r="45" spans="1:56" ht="14.25" customHeight="1" x14ac:dyDescent="0.3">
      <c r="A45" s="18" t="s">
        <v>67</v>
      </c>
      <c r="B45" s="25" t="s">
        <v>80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8" t="s">
        <v>67</v>
      </c>
      <c r="I45" s="40">
        <v>0</v>
      </c>
      <c r="J45" s="19">
        <v>0</v>
      </c>
      <c r="K45" s="19">
        <v>0</v>
      </c>
      <c r="L45" s="40">
        <v>0</v>
      </c>
      <c r="M45" s="19">
        <v>0</v>
      </c>
      <c r="N45" s="19">
        <v>0</v>
      </c>
      <c r="O45" s="18" t="s">
        <v>67</v>
      </c>
      <c r="P45" s="40">
        <v>0</v>
      </c>
      <c r="Q45" s="19">
        <v>0</v>
      </c>
      <c r="R45" s="19">
        <v>0</v>
      </c>
      <c r="S45" s="40">
        <v>0</v>
      </c>
      <c r="T45" s="19">
        <v>0</v>
      </c>
      <c r="U45" s="19">
        <v>0</v>
      </c>
      <c r="V45" s="18" t="s">
        <v>67</v>
      </c>
      <c r="W45" s="40">
        <v>0</v>
      </c>
      <c r="X45" s="19">
        <v>0</v>
      </c>
      <c r="Y45" s="19">
        <v>0</v>
      </c>
      <c r="Z45" s="40">
        <v>0</v>
      </c>
      <c r="AA45" s="19">
        <v>0</v>
      </c>
      <c r="AB45" s="19">
        <v>0</v>
      </c>
      <c r="AC45" s="18" t="s">
        <v>67</v>
      </c>
      <c r="AD45" s="40">
        <v>0</v>
      </c>
      <c r="AE45" s="19">
        <v>0</v>
      </c>
      <c r="AF45" s="19">
        <v>0</v>
      </c>
      <c r="AG45" s="40">
        <v>0</v>
      </c>
      <c r="AH45" s="19">
        <v>0</v>
      </c>
      <c r="AI45" s="19">
        <v>0</v>
      </c>
      <c r="AJ45" s="18" t="s">
        <v>67</v>
      </c>
      <c r="AK45" s="40">
        <v>0</v>
      </c>
      <c r="AL45" s="19">
        <v>0</v>
      </c>
      <c r="AM45" s="19">
        <v>0</v>
      </c>
      <c r="AN45" s="40">
        <v>0</v>
      </c>
      <c r="AO45" s="19">
        <v>0</v>
      </c>
      <c r="AP45" s="19">
        <v>0</v>
      </c>
      <c r="AQ45" s="18" t="s">
        <v>67</v>
      </c>
      <c r="AR45" s="40">
        <v>0</v>
      </c>
      <c r="AS45" s="19">
        <v>0</v>
      </c>
      <c r="AT45" s="19">
        <v>0</v>
      </c>
      <c r="AU45" s="40">
        <v>0</v>
      </c>
      <c r="AV45" s="19">
        <v>0</v>
      </c>
      <c r="AW45" s="19">
        <v>0</v>
      </c>
      <c r="AX45" s="18" t="s">
        <v>67</v>
      </c>
      <c r="AY45" s="40">
        <v>0</v>
      </c>
      <c r="AZ45" s="19">
        <v>0</v>
      </c>
      <c r="BA45" s="19">
        <v>0</v>
      </c>
      <c r="BB45" s="40">
        <v>0</v>
      </c>
      <c r="BC45" s="40">
        <v>0</v>
      </c>
      <c r="BD45" s="19">
        <v>0</v>
      </c>
    </row>
    <row r="46" spans="1:56" ht="14.25" customHeight="1" x14ac:dyDescent="0.3">
      <c r="A46" s="18" t="s">
        <v>88</v>
      </c>
      <c r="B46" s="25" t="s">
        <v>80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8" t="s">
        <v>88</v>
      </c>
      <c r="I46" s="40">
        <v>0</v>
      </c>
      <c r="J46" s="19">
        <v>0</v>
      </c>
      <c r="K46" s="19">
        <v>0</v>
      </c>
      <c r="L46" s="40">
        <v>0</v>
      </c>
      <c r="M46" s="19">
        <v>0</v>
      </c>
      <c r="N46" s="19">
        <v>0</v>
      </c>
      <c r="O46" s="18" t="s">
        <v>88</v>
      </c>
      <c r="P46" s="40">
        <v>0</v>
      </c>
      <c r="Q46" s="19">
        <v>0</v>
      </c>
      <c r="R46" s="19">
        <v>0</v>
      </c>
      <c r="S46" s="40">
        <v>0</v>
      </c>
      <c r="T46" s="19">
        <v>0</v>
      </c>
      <c r="U46" s="19">
        <v>0</v>
      </c>
      <c r="V46" s="18" t="s">
        <v>88</v>
      </c>
      <c r="W46" s="40">
        <v>0</v>
      </c>
      <c r="X46" s="19">
        <v>0</v>
      </c>
      <c r="Y46" s="19">
        <v>0</v>
      </c>
      <c r="Z46" s="40">
        <v>0</v>
      </c>
      <c r="AA46" s="19">
        <v>0</v>
      </c>
      <c r="AB46" s="19">
        <v>0</v>
      </c>
      <c r="AC46" s="18" t="s">
        <v>88</v>
      </c>
      <c r="AD46" s="40">
        <v>0</v>
      </c>
      <c r="AE46" s="19">
        <v>0</v>
      </c>
      <c r="AF46" s="19">
        <v>0</v>
      </c>
      <c r="AG46" s="40">
        <v>0</v>
      </c>
      <c r="AH46" s="19">
        <v>0</v>
      </c>
      <c r="AI46" s="19">
        <v>0</v>
      </c>
      <c r="AJ46" s="18" t="s">
        <v>88</v>
      </c>
      <c r="AK46" s="40">
        <v>0</v>
      </c>
      <c r="AL46" s="19">
        <v>0</v>
      </c>
      <c r="AM46" s="19">
        <v>0</v>
      </c>
      <c r="AN46" s="40">
        <v>0</v>
      </c>
      <c r="AO46" s="19">
        <v>0</v>
      </c>
      <c r="AP46" s="19">
        <v>0</v>
      </c>
      <c r="AQ46" s="18" t="s">
        <v>88</v>
      </c>
      <c r="AR46" s="40">
        <v>0</v>
      </c>
      <c r="AS46" s="19">
        <v>0</v>
      </c>
      <c r="AT46" s="19">
        <v>0</v>
      </c>
      <c r="AU46" s="40">
        <v>0</v>
      </c>
      <c r="AV46" s="19">
        <v>0</v>
      </c>
      <c r="AW46" s="19">
        <v>0</v>
      </c>
      <c r="AX46" s="18" t="s">
        <v>88</v>
      </c>
      <c r="AY46" s="40">
        <v>0</v>
      </c>
      <c r="AZ46" s="19">
        <v>0</v>
      </c>
      <c r="BA46" s="19">
        <v>0</v>
      </c>
      <c r="BB46" s="40">
        <v>0</v>
      </c>
      <c r="BC46" s="40">
        <v>0</v>
      </c>
      <c r="BD46" s="19">
        <v>0</v>
      </c>
    </row>
    <row r="47" spans="1:56" ht="14.25" customHeight="1" x14ac:dyDescent="0.3">
      <c r="A47" s="18" t="s">
        <v>69</v>
      </c>
      <c r="B47" s="39">
        <v>5.6800000000000003E-2</v>
      </c>
      <c r="C47" s="19">
        <v>22</v>
      </c>
      <c r="D47" s="19">
        <v>0</v>
      </c>
      <c r="E47" s="19">
        <v>3</v>
      </c>
      <c r="F47" s="19">
        <v>3</v>
      </c>
      <c r="G47" s="19">
        <v>1</v>
      </c>
      <c r="H47" s="18" t="s">
        <v>69</v>
      </c>
      <c r="I47" s="40">
        <v>0</v>
      </c>
      <c r="J47" s="19">
        <v>0</v>
      </c>
      <c r="K47" s="19">
        <v>0</v>
      </c>
      <c r="L47" s="40">
        <v>0</v>
      </c>
      <c r="M47" s="19">
        <v>0</v>
      </c>
      <c r="N47" s="19">
        <v>0</v>
      </c>
      <c r="O47" s="18" t="s">
        <v>69</v>
      </c>
      <c r="P47" s="40">
        <v>0</v>
      </c>
      <c r="Q47" s="19">
        <v>0</v>
      </c>
      <c r="R47" s="19">
        <v>0</v>
      </c>
      <c r="S47" s="40">
        <v>0</v>
      </c>
      <c r="T47" s="19">
        <v>0</v>
      </c>
      <c r="U47" s="19">
        <v>0</v>
      </c>
      <c r="V47" s="18" t="s">
        <v>69</v>
      </c>
      <c r="W47" s="40">
        <v>0</v>
      </c>
      <c r="X47" s="19">
        <v>0</v>
      </c>
      <c r="Y47" s="19">
        <v>0</v>
      </c>
      <c r="Z47" s="40">
        <v>0</v>
      </c>
      <c r="AA47" s="19">
        <v>0</v>
      </c>
      <c r="AB47" s="19">
        <v>0</v>
      </c>
      <c r="AC47" s="18" t="s">
        <v>69</v>
      </c>
      <c r="AD47" s="40">
        <v>0.75</v>
      </c>
      <c r="AE47" s="19">
        <v>4</v>
      </c>
      <c r="AF47" s="19">
        <v>3</v>
      </c>
      <c r="AG47" s="40">
        <v>0.75</v>
      </c>
      <c r="AH47" s="19">
        <v>0</v>
      </c>
      <c r="AI47" s="19">
        <v>0</v>
      </c>
      <c r="AJ47" s="18" t="s">
        <v>69</v>
      </c>
      <c r="AK47" s="40">
        <v>0.4</v>
      </c>
      <c r="AL47" s="19">
        <v>5</v>
      </c>
      <c r="AM47" s="19">
        <v>2</v>
      </c>
      <c r="AN47" s="40">
        <v>0.4</v>
      </c>
      <c r="AO47" s="19">
        <v>0</v>
      </c>
      <c r="AP47" s="19">
        <v>0</v>
      </c>
      <c r="AQ47" s="18" t="s">
        <v>69</v>
      </c>
      <c r="AR47" s="40">
        <v>0</v>
      </c>
      <c r="AS47" s="19">
        <v>0</v>
      </c>
      <c r="AT47" s="19">
        <v>0</v>
      </c>
      <c r="AU47" s="40">
        <v>0</v>
      </c>
      <c r="AV47" s="19">
        <v>0</v>
      </c>
      <c r="AW47" s="19">
        <v>0</v>
      </c>
      <c r="AX47" s="18" t="s">
        <v>69</v>
      </c>
      <c r="AY47" s="40">
        <v>-7.0000000000000007E-2</v>
      </c>
      <c r="AZ47" s="19">
        <v>15</v>
      </c>
      <c r="BA47" s="19">
        <v>3</v>
      </c>
      <c r="BB47" s="40">
        <v>0.2</v>
      </c>
      <c r="BC47" s="40">
        <v>0.2</v>
      </c>
      <c r="BD47" s="19">
        <v>7</v>
      </c>
    </row>
    <row r="48" spans="1:56" ht="14.25" customHeight="1" x14ac:dyDescent="0.3">
      <c r="A48" s="27" t="s">
        <v>66</v>
      </c>
      <c r="B48" s="25" t="s">
        <v>80</v>
      </c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27" t="s">
        <v>66</v>
      </c>
      <c r="I48" s="40">
        <v>0.44</v>
      </c>
      <c r="J48" s="19">
        <v>9</v>
      </c>
      <c r="K48" s="19">
        <v>6</v>
      </c>
      <c r="L48" s="40">
        <v>0.67</v>
      </c>
      <c r="M48" s="19">
        <v>0</v>
      </c>
      <c r="N48" s="19">
        <v>2</v>
      </c>
      <c r="O48" s="27" t="s">
        <v>66</v>
      </c>
      <c r="P48" s="40">
        <v>0</v>
      </c>
      <c r="Q48" s="19">
        <v>0</v>
      </c>
      <c r="R48" s="19">
        <v>0</v>
      </c>
      <c r="S48" s="40">
        <v>0</v>
      </c>
      <c r="T48" s="19">
        <v>0</v>
      </c>
      <c r="U48" s="19">
        <v>0</v>
      </c>
      <c r="V48" s="27" t="s">
        <v>66</v>
      </c>
      <c r="W48" s="40">
        <v>0.42</v>
      </c>
      <c r="X48" s="19">
        <v>12</v>
      </c>
      <c r="Y48" s="19">
        <v>7</v>
      </c>
      <c r="Z48" s="40">
        <v>0.57999999999999996</v>
      </c>
      <c r="AA48" s="19">
        <v>2</v>
      </c>
      <c r="AB48" s="19">
        <v>0</v>
      </c>
      <c r="AC48" s="27" t="s">
        <v>66</v>
      </c>
      <c r="AD48" s="41">
        <v>0</v>
      </c>
      <c r="AE48" s="29">
        <v>0</v>
      </c>
      <c r="AF48" s="29">
        <v>0</v>
      </c>
      <c r="AG48" s="41">
        <v>0</v>
      </c>
      <c r="AH48" s="29">
        <v>0</v>
      </c>
      <c r="AI48" s="29">
        <v>0</v>
      </c>
      <c r="AJ48" s="27" t="s">
        <v>66</v>
      </c>
      <c r="AK48" s="41">
        <v>0</v>
      </c>
      <c r="AL48" s="29">
        <v>0</v>
      </c>
      <c r="AM48" s="29">
        <v>0</v>
      </c>
      <c r="AN48" s="41">
        <v>0</v>
      </c>
      <c r="AO48" s="29">
        <v>0</v>
      </c>
      <c r="AP48" s="29">
        <v>0</v>
      </c>
      <c r="AQ48" s="27" t="s">
        <v>66</v>
      </c>
      <c r="AR48" s="40">
        <v>0</v>
      </c>
      <c r="AS48" s="19">
        <v>0</v>
      </c>
      <c r="AT48" s="19">
        <v>0</v>
      </c>
      <c r="AU48" s="40">
        <v>0</v>
      </c>
      <c r="AV48" s="19">
        <v>0</v>
      </c>
      <c r="AW48" s="19">
        <v>0</v>
      </c>
      <c r="AX48" s="27" t="s">
        <v>66</v>
      </c>
      <c r="AY48" s="41">
        <v>0.25</v>
      </c>
      <c r="AZ48" s="29">
        <v>4</v>
      </c>
      <c r="BA48" s="29">
        <v>1</v>
      </c>
      <c r="BB48" s="41">
        <v>0.25</v>
      </c>
      <c r="BC48" s="41">
        <v>0.25</v>
      </c>
      <c r="BD48" s="29">
        <v>1</v>
      </c>
    </row>
    <row r="49" spans="1:56" ht="14.25" customHeight="1" x14ac:dyDescent="0.3">
      <c r="A49" s="27" t="s">
        <v>110</v>
      </c>
      <c r="B49" s="39">
        <v>0.125</v>
      </c>
      <c r="C49" s="29">
        <v>4</v>
      </c>
      <c r="D49" s="29">
        <v>0</v>
      </c>
      <c r="E49" s="29">
        <v>2</v>
      </c>
      <c r="F49" s="29">
        <v>0</v>
      </c>
      <c r="G49" s="29">
        <v>0</v>
      </c>
      <c r="H49" s="27" t="s">
        <v>110</v>
      </c>
      <c r="I49" s="40">
        <v>0</v>
      </c>
      <c r="J49" s="19">
        <v>0</v>
      </c>
      <c r="K49" s="19">
        <v>0</v>
      </c>
      <c r="L49" s="40">
        <v>0</v>
      </c>
      <c r="M49" s="19">
        <v>0</v>
      </c>
      <c r="N49" s="19">
        <v>0</v>
      </c>
      <c r="O49" s="27" t="s">
        <v>110</v>
      </c>
      <c r="P49" s="40">
        <v>0</v>
      </c>
      <c r="Q49" s="19">
        <v>0</v>
      </c>
      <c r="R49" s="19">
        <v>0</v>
      </c>
      <c r="S49" s="40">
        <v>0</v>
      </c>
      <c r="T49" s="19">
        <v>0</v>
      </c>
      <c r="U49" s="19">
        <v>0</v>
      </c>
      <c r="V49" s="27" t="s">
        <v>110</v>
      </c>
      <c r="W49" s="40">
        <v>0</v>
      </c>
      <c r="X49" s="19">
        <v>0</v>
      </c>
      <c r="Y49" s="19">
        <v>0</v>
      </c>
      <c r="Z49" s="40">
        <v>0</v>
      </c>
      <c r="AA49" s="19">
        <v>0</v>
      </c>
      <c r="AB49" s="19">
        <v>0</v>
      </c>
      <c r="AC49" s="27" t="s">
        <v>110</v>
      </c>
      <c r="AD49" s="41">
        <v>0</v>
      </c>
      <c r="AE49" s="29">
        <v>0</v>
      </c>
      <c r="AF49" s="29">
        <v>0</v>
      </c>
      <c r="AG49" s="41">
        <v>0</v>
      </c>
      <c r="AH49" s="29">
        <v>0</v>
      </c>
      <c r="AI49" s="29">
        <v>0</v>
      </c>
      <c r="AJ49" s="27" t="s">
        <v>110</v>
      </c>
      <c r="AK49" s="41">
        <v>0</v>
      </c>
      <c r="AL49" s="29">
        <v>0</v>
      </c>
      <c r="AM49" s="29">
        <v>0</v>
      </c>
      <c r="AN49" s="41">
        <v>0</v>
      </c>
      <c r="AO49" s="29">
        <v>0</v>
      </c>
      <c r="AP49" s="29">
        <v>0</v>
      </c>
      <c r="AQ49" s="27" t="s">
        <v>110</v>
      </c>
      <c r="AR49" s="40">
        <v>0</v>
      </c>
      <c r="AS49" s="19">
        <v>0</v>
      </c>
      <c r="AT49" s="19">
        <v>0</v>
      </c>
      <c r="AU49" s="40">
        <v>0</v>
      </c>
      <c r="AV49" s="19">
        <v>0</v>
      </c>
      <c r="AW49" s="19">
        <v>0</v>
      </c>
      <c r="AX49" s="27" t="s">
        <v>110</v>
      </c>
      <c r="AY49" s="41">
        <v>0</v>
      </c>
      <c r="AZ49" s="29">
        <v>0</v>
      </c>
      <c r="BA49" s="29">
        <v>0</v>
      </c>
      <c r="BB49" s="41">
        <v>0</v>
      </c>
      <c r="BC49" s="41">
        <v>0</v>
      </c>
      <c r="BD49" s="29">
        <v>0</v>
      </c>
    </row>
    <row r="50" spans="1:56" ht="14.25" customHeight="1" x14ac:dyDescent="0.3">
      <c r="A50" s="10"/>
      <c r="B50" s="10"/>
      <c r="C50" s="10"/>
      <c r="D50" s="10"/>
      <c r="E50" s="10"/>
      <c r="F50" s="10"/>
      <c r="G50" s="1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</row>
    <row r="51" spans="1:56" ht="14.25" customHeight="1" x14ac:dyDescent="0.3">
      <c r="A51" s="18" t="s">
        <v>111</v>
      </c>
      <c r="B51" s="12" t="s">
        <v>101</v>
      </c>
      <c r="C51" s="12" t="s">
        <v>102</v>
      </c>
      <c r="D51" s="12" t="s">
        <v>26</v>
      </c>
      <c r="E51" s="12" t="s">
        <v>103</v>
      </c>
      <c r="F51" s="12" t="s">
        <v>104</v>
      </c>
      <c r="G51" s="12" t="s">
        <v>105</v>
      </c>
      <c r="H51" s="18" t="s">
        <v>83</v>
      </c>
      <c r="I51" s="12" t="s">
        <v>101</v>
      </c>
      <c r="J51" s="12" t="s">
        <v>102</v>
      </c>
      <c r="K51" s="12" t="s">
        <v>26</v>
      </c>
      <c r="L51" s="12" t="s">
        <v>106</v>
      </c>
      <c r="M51" s="12" t="s">
        <v>104</v>
      </c>
      <c r="N51" s="12" t="s">
        <v>105</v>
      </c>
      <c r="O51" s="18" t="s">
        <v>73</v>
      </c>
      <c r="P51" s="12" t="s">
        <v>101</v>
      </c>
      <c r="Q51" s="12" t="s">
        <v>102</v>
      </c>
      <c r="R51" s="12" t="s">
        <v>26</v>
      </c>
      <c r="S51" s="12" t="s">
        <v>106</v>
      </c>
      <c r="T51" s="12" t="s">
        <v>104</v>
      </c>
      <c r="U51" s="12" t="s">
        <v>105</v>
      </c>
      <c r="V51" s="18" t="s">
        <v>79</v>
      </c>
      <c r="W51" s="12" t="s">
        <v>101</v>
      </c>
      <c r="X51" s="12" t="s">
        <v>102</v>
      </c>
      <c r="Y51" s="12" t="s">
        <v>26</v>
      </c>
      <c r="Z51" s="12" t="s">
        <v>106</v>
      </c>
      <c r="AA51" s="12" t="s">
        <v>104</v>
      </c>
      <c r="AB51" s="12" t="s">
        <v>105</v>
      </c>
      <c r="AC51" s="18" t="s">
        <v>77</v>
      </c>
      <c r="AD51" s="12" t="s">
        <v>101</v>
      </c>
      <c r="AE51" s="12" t="s">
        <v>102</v>
      </c>
      <c r="AF51" s="12" t="s">
        <v>26</v>
      </c>
      <c r="AG51" s="12" t="s">
        <v>106</v>
      </c>
      <c r="AH51" s="12" t="s">
        <v>104</v>
      </c>
      <c r="AI51" s="12" t="s">
        <v>105</v>
      </c>
      <c r="AJ51" s="11" t="s">
        <v>81</v>
      </c>
      <c r="AK51" s="12" t="s">
        <v>101</v>
      </c>
      <c r="AL51" s="12" t="s">
        <v>102</v>
      </c>
      <c r="AM51" s="12" t="s">
        <v>26</v>
      </c>
      <c r="AN51" s="12" t="s">
        <v>106</v>
      </c>
      <c r="AO51" s="12" t="s">
        <v>104</v>
      </c>
      <c r="AP51" s="12" t="s">
        <v>105</v>
      </c>
      <c r="AQ51" s="18" t="s">
        <v>112</v>
      </c>
      <c r="AR51" s="12" t="s">
        <v>101</v>
      </c>
      <c r="AS51" s="12" t="s">
        <v>102</v>
      </c>
      <c r="AT51" s="12" t="s">
        <v>26</v>
      </c>
      <c r="AU51" s="12" t="s">
        <v>106</v>
      </c>
      <c r="AV51" s="12" t="s">
        <v>104</v>
      </c>
      <c r="AW51" s="12" t="s">
        <v>105</v>
      </c>
      <c r="AX51" s="18" t="s">
        <v>113</v>
      </c>
      <c r="AY51" s="12" t="s">
        <v>101</v>
      </c>
      <c r="AZ51" s="12" t="s">
        <v>102</v>
      </c>
      <c r="BA51" s="12" t="s">
        <v>26</v>
      </c>
      <c r="BB51" s="12" t="s">
        <v>106</v>
      </c>
      <c r="BC51" s="12" t="s">
        <v>104</v>
      </c>
      <c r="BD51" s="12" t="s">
        <v>105</v>
      </c>
    </row>
    <row r="52" spans="1:56" ht="14.25" customHeight="1" x14ac:dyDescent="0.3">
      <c r="A52" s="11" t="s">
        <v>109</v>
      </c>
      <c r="B52" s="39">
        <v>-0.1419</v>
      </c>
      <c r="C52" s="19">
        <v>37</v>
      </c>
      <c r="D52" s="19">
        <v>2</v>
      </c>
      <c r="E52" s="19">
        <v>5</v>
      </c>
      <c r="F52" s="19">
        <v>1</v>
      </c>
      <c r="G52" s="19">
        <v>9</v>
      </c>
      <c r="H52" s="18" t="s">
        <v>109</v>
      </c>
      <c r="I52" s="40">
        <v>-0.5</v>
      </c>
      <c r="J52" s="19">
        <v>2</v>
      </c>
      <c r="K52" s="19">
        <v>0</v>
      </c>
      <c r="L52" s="40">
        <v>0</v>
      </c>
      <c r="M52" s="19">
        <v>1</v>
      </c>
      <c r="N52" s="19">
        <v>0</v>
      </c>
      <c r="O52" s="18" t="s">
        <v>109</v>
      </c>
      <c r="P52" s="40">
        <v>0</v>
      </c>
      <c r="Q52" s="19">
        <v>0</v>
      </c>
      <c r="R52" s="19">
        <v>0</v>
      </c>
      <c r="S52" s="40">
        <v>0</v>
      </c>
      <c r="T52" s="19">
        <v>0</v>
      </c>
      <c r="U52" s="19">
        <v>0</v>
      </c>
      <c r="V52" s="18" t="s">
        <v>109</v>
      </c>
      <c r="W52" s="40">
        <v>0</v>
      </c>
      <c r="X52" s="19">
        <v>0</v>
      </c>
      <c r="Y52" s="19">
        <v>0</v>
      </c>
      <c r="Z52" s="40">
        <v>0</v>
      </c>
      <c r="AA52" s="19">
        <v>0</v>
      </c>
      <c r="AB52" s="19">
        <v>0</v>
      </c>
      <c r="AC52" s="18" t="s">
        <v>109</v>
      </c>
      <c r="AD52" s="40">
        <v>0.41</v>
      </c>
      <c r="AE52" s="19">
        <v>17</v>
      </c>
      <c r="AF52" s="19">
        <v>9</v>
      </c>
      <c r="AG52" s="40">
        <v>0.53</v>
      </c>
      <c r="AH52" s="19">
        <v>1</v>
      </c>
      <c r="AI52" s="19">
        <v>1</v>
      </c>
      <c r="AJ52" s="18" t="s">
        <v>109</v>
      </c>
      <c r="AK52" s="40">
        <v>1</v>
      </c>
      <c r="AL52" s="19">
        <v>1</v>
      </c>
      <c r="AM52" s="19">
        <v>1</v>
      </c>
      <c r="AN52" s="40">
        <v>1</v>
      </c>
      <c r="AO52" s="19">
        <v>0</v>
      </c>
      <c r="AP52" s="19">
        <v>0</v>
      </c>
      <c r="AQ52" s="18" t="s">
        <v>109</v>
      </c>
      <c r="AR52" s="40">
        <v>0.2</v>
      </c>
      <c r="AS52" s="19">
        <v>64</v>
      </c>
      <c r="AT52" s="19">
        <v>26</v>
      </c>
      <c r="AU52" s="40">
        <v>0.41</v>
      </c>
      <c r="AV52" s="19">
        <v>8</v>
      </c>
      <c r="AW52" s="19">
        <v>5</v>
      </c>
      <c r="AX52" s="18" t="s">
        <v>109</v>
      </c>
      <c r="AY52" s="40">
        <v>0.39</v>
      </c>
      <c r="AZ52" s="19">
        <v>80</v>
      </c>
      <c r="BA52" s="19">
        <v>41</v>
      </c>
      <c r="BB52" s="40">
        <v>0.51</v>
      </c>
      <c r="BC52" s="19">
        <v>4</v>
      </c>
      <c r="BD52" s="19">
        <v>6</v>
      </c>
    </row>
    <row r="53" spans="1:56" ht="14.25" customHeight="1" x14ac:dyDescent="0.3">
      <c r="A53" s="11" t="s">
        <v>68</v>
      </c>
      <c r="B53" s="25" t="s">
        <v>80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8" t="s">
        <v>68</v>
      </c>
      <c r="I53" s="40">
        <v>0</v>
      </c>
      <c r="J53" s="19">
        <v>0</v>
      </c>
      <c r="K53" s="19">
        <v>0</v>
      </c>
      <c r="L53" s="40">
        <v>0</v>
      </c>
      <c r="M53" s="19">
        <v>0</v>
      </c>
      <c r="N53" s="19">
        <v>0</v>
      </c>
      <c r="O53" s="18" t="s">
        <v>68</v>
      </c>
      <c r="P53" s="40">
        <v>0</v>
      </c>
      <c r="Q53" s="19">
        <v>0</v>
      </c>
      <c r="R53" s="19">
        <v>0</v>
      </c>
      <c r="S53" s="40">
        <v>0</v>
      </c>
      <c r="T53" s="19">
        <v>0</v>
      </c>
      <c r="U53" s="19">
        <v>0</v>
      </c>
      <c r="V53" s="18" t="s">
        <v>68</v>
      </c>
      <c r="W53" s="40">
        <v>0</v>
      </c>
      <c r="X53" s="19">
        <v>0</v>
      </c>
      <c r="Y53" s="19">
        <v>0</v>
      </c>
      <c r="Z53" s="40">
        <v>0</v>
      </c>
      <c r="AA53" s="19">
        <v>0</v>
      </c>
      <c r="AB53" s="19">
        <v>0</v>
      </c>
      <c r="AC53" s="18" t="s">
        <v>68</v>
      </c>
      <c r="AD53" s="40">
        <v>0</v>
      </c>
      <c r="AE53" s="19">
        <v>4</v>
      </c>
      <c r="AF53" s="19">
        <v>1</v>
      </c>
      <c r="AG53" s="40">
        <v>0.25</v>
      </c>
      <c r="AH53" s="19">
        <v>0</v>
      </c>
      <c r="AI53" s="19">
        <v>1</v>
      </c>
      <c r="AJ53" s="18" t="s">
        <v>68</v>
      </c>
      <c r="AK53" s="40">
        <v>1</v>
      </c>
      <c r="AL53" s="19">
        <v>1</v>
      </c>
      <c r="AM53" s="19">
        <v>1</v>
      </c>
      <c r="AN53" s="40">
        <v>1</v>
      </c>
      <c r="AO53" s="19">
        <v>0</v>
      </c>
      <c r="AP53" s="19">
        <v>0</v>
      </c>
      <c r="AQ53" s="18" t="s">
        <v>68</v>
      </c>
      <c r="AR53" s="40">
        <v>0.17</v>
      </c>
      <c r="AS53" s="19">
        <v>6</v>
      </c>
      <c r="AT53" s="19">
        <v>2</v>
      </c>
      <c r="AU53" s="40">
        <v>0.33</v>
      </c>
      <c r="AV53" s="19">
        <v>0</v>
      </c>
      <c r="AW53" s="19">
        <v>1</v>
      </c>
      <c r="AX53" s="18" t="s">
        <v>68</v>
      </c>
      <c r="AY53" s="40">
        <v>0.44</v>
      </c>
      <c r="AZ53" s="19">
        <v>9</v>
      </c>
      <c r="BA53" s="19">
        <v>5</v>
      </c>
      <c r="BB53" s="40">
        <v>0.56000000000000005</v>
      </c>
      <c r="BC53" s="19">
        <v>0</v>
      </c>
      <c r="BD53" s="19">
        <v>1</v>
      </c>
    </row>
    <row r="54" spans="1:56" ht="14.25" customHeight="1" x14ac:dyDescent="0.3">
      <c r="A54" s="11" t="s">
        <v>97</v>
      </c>
      <c r="B54" s="25" t="s">
        <v>80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8" t="s">
        <v>97</v>
      </c>
      <c r="I54" s="40">
        <v>0</v>
      </c>
      <c r="J54" s="19">
        <v>0</v>
      </c>
      <c r="K54" s="19">
        <v>0</v>
      </c>
      <c r="L54" s="40">
        <v>0</v>
      </c>
      <c r="M54" s="19">
        <v>0</v>
      </c>
      <c r="N54" s="19">
        <v>0</v>
      </c>
      <c r="O54" s="18" t="s">
        <v>97</v>
      </c>
      <c r="P54" s="40">
        <v>0</v>
      </c>
      <c r="Q54" s="19">
        <v>0</v>
      </c>
      <c r="R54" s="19">
        <v>0</v>
      </c>
      <c r="S54" s="40">
        <v>0</v>
      </c>
      <c r="T54" s="19">
        <v>0</v>
      </c>
      <c r="U54" s="19">
        <v>0</v>
      </c>
      <c r="V54" s="18" t="s">
        <v>97</v>
      </c>
      <c r="W54" s="40">
        <v>0</v>
      </c>
      <c r="X54" s="19">
        <v>0</v>
      </c>
      <c r="Y54" s="19">
        <v>0</v>
      </c>
      <c r="Z54" s="40">
        <v>0</v>
      </c>
      <c r="AA54" s="19">
        <v>0</v>
      </c>
      <c r="AB54" s="19">
        <v>0</v>
      </c>
      <c r="AC54" s="18" t="s">
        <v>97</v>
      </c>
      <c r="AD54" s="40">
        <v>0</v>
      </c>
      <c r="AE54" s="19">
        <v>0</v>
      </c>
      <c r="AF54" s="19">
        <v>0</v>
      </c>
      <c r="AG54" s="40">
        <v>0</v>
      </c>
      <c r="AH54" s="19">
        <v>0</v>
      </c>
      <c r="AI54" s="19">
        <v>0</v>
      </c>
      <c r="AJ54" s="18" t="s">
        <v>97</v>
      </c>
      <c r="AK54" s="40">
        <v>0</v>
      </c>
      <c r="AL54" s="19">
        <v>0</v>
      </c>
      <c r="AM54" s="19">
        <v>0</v>
      </c>
      <c r="AN54" s="40">
        <v>0</v>
      </c>
      <c r="AO54" s="19">
        <v>0</v>
      </c>
      <c r="AP54" s="19">
        <v>0</v>
      </c>
      <c r="AQ54" s="18" t="s">
        <v>97</v>
      </c>
      <c r="AR54" s="40">
        <v>-1</v>
      </c>
      <c r="AS54" s="19">
        <v>1</v>
      </c>
      <c r="AT54" s="19">
        <v>0</v>
      </c>
      <c r="AU54" s="40">
        <v>0</v>
      </c>
      <c r="AV54" s="19">
        <v>1</v>
      </c>
      <c r="AW54" s="19">
        <v>0</v>
      </c>
      <c r="AX54" s="18" t="s">
        <v>97</v>
      </c>
      <c r="AY54" s="40">
        <v>0</v>
      </c>
      <c r="AZ54" s="19">
        <v>0</v>
      </c>
      <c r="BA54" s="19">
        <v>0</v>
      </c>
      <c r="BB54" s="40">
        <v>0</v>
      </c>
      <c r="BC54" s="19">
        <v>0</v>
      </c>
      <c r="BD54" s="19">
        <v>0</v>
      </c>
    </row>
    <row r="55" spans="1:56" ht="14.25" customHeight="1" x14ac:dyDescent="0.3">
      <c r="A55" s="11" t="s">
        <v>54</v>
      </c>
      <c r="B55" s="19">
        <v>0</v>
      </c>
      <c r="C55" s="19">
        <v>1</v>
      </c>
      <c r="D55" s="19">
        <v>0</v>
      </c>
      <c r="E55" s="19">
        <v>0</v>
      </c>
      <c r="F55" s="19">
        <v>0</v>
      </c>
      <c r="G55" s="19">
        <v>0</v>
      </c>
      <c r="H55" s="18" t="s">
        <v>54</v>
      </c>
      <c r="I55" s="40">
        <v>0</v>
      </c>
      <c r="J55" s="19">
        <v>0</v>
      </c>
      <c r="K55" s="19">
        <v>0</v>
      </c>
      <c r="L55" s="40">
        <v>0</v>
      </c>
      <c r="M55" s="19">
        <v>0</v>
      </c>
      <c r="N55" s="19">
        <v>0</v>
      </c>
      <c r="O55" s="18" t="s">
        <v>54</v>
      </c>
      <c r="P55" s="40">
        <v>0</v>
      </c>
      <c r="Q55" s="19">
        <v>0</v>
      </c>
      <c r="R55" s="19">
        <v>0</v>
      </c>
      <c r="S55" s="40">
        <v>0</v>
      </c>
      <c r="T55" s="19">
        <v>0</v>
      </c>
      <c r="U55" s="19">
        <v>0</v>
      </c>
      <c r="V55" s="18" t="s">
        <v>54</v>
      </c>
      <c r="W55" s="40">
        <v>0</v>
      </c>
      <c r="X55" s="19">
        <v>0</v>
      </c>
      <c r="Y55" s="19">
        <v>0</v>
      </c>
      <c r="Z55" s="40">
        <v>0</v>
      </c>
      <c r="AA55" s="19">
        <v>0</v>
      </c>
      <c r="AB55" s="19">
        <v>0</v>
      </c>
      <c r="AC55" s="18" t="s">
        <v>54</v>
      </c>
      <c r="AD55" s="40">
        <v>0</v>
      </c>
      <c r="AE55" s="19">
        <v>0</v>
      </c>
      <c r="AF55" s="19">
        <v>0</v>
      </c>
      <c r="AG55" s="40">
        <v>0</v>
      </c>
      <c r="AH55" s="19">
        <v>0</v>
      </c>
      <c r="AI55" s="19">
        <v>0</v>
      </c>
      <c r="AJ55" s="18" t="s">
        <v>54</v>
      </c>
      <c r="AK55" s="40">
        <v>0</v>
      </c>
      <c r="AL55" s="19">
        <v>0</v>
      </c>
      <c r="AM55" s="19">
        <v>0</v>
      </c>
      <c r="AN55" s="40">
        <v>0</v>
      </c>
      <c r="AO55" s="19">
        <v>0</v>
      </c>
      <c r="AP55" s="19">
        <v>0</v>
      </c>
      <c r="AQ55" s="18" t="s">
        <v>54</v>
      </c>
      <c r="AR55" s="40">
        <v>1</v>
      </c>
      <c r="AS55" s="19">
        <v>1</v>
      </c>
      <c r="AT55" s="19">
        <v>1</v>
      </c>
      <c r="AU55" s="40">
        <v>1</v>
      </c>
      <c r="AV55" s="19">
        <v>0</v>
      </c>
      <c r="AW55" s="19">
        <v>0</v>
      </c>
      <c r="AX55" s="18" t="s">
        <v>54</v>
      </c>
      <c r="AY55" s="40">
        <v>0.25</v>
      </c>
      <c r="AZ55" s="19">
        <v>4</v>
      </c>
      <c r="BA55" s="19">
        <v>1</v>
      </c>
      <c r="BB55" s="40">
        <v>0.25</v>
      </c>
      <c r="BC55" s="19">
        <v>0</v>
      </c>
      <c r="BD55" s="19">
        <v>0</v>
      </c>
    </row>
    <row r="56" spans="1:56" ht="14.25" customHeight="1" x14ac:dyDescent="0.3">
      <c r="A56" s="11" t="s">
        <v>87</v>
      </c>
      <c r="B56" s="39">
        <v>-0.15</v>
      </c>
      <c r="C56" s="19">
        <v>5</v>
      </c>
      <c r="D56" s="19">
        <v>0</v>
      </c>
      <c r="E56" s="19">
        <v>1</v>
      </c>
      <c r="F56" s="19">
        <v>0</v>
      </c>
      <c r="G56" s="19">
        <v>1</v>
      </c>
      <c r="H56" s="18" t="s">
        <v>87</v>
      </c>
      <c r="I56" s="40">
        <v>0</v>
      </c>
      <c r="J56" s="19">
        <v>0</v>
      </c>
      <c r="K56" s="19">
        <v>0</v>
      </c>
      <c r="L56" s="40">
        <v>0</v>
      </c>
      <c r="M56" s="19">
        <v>0</v>
      </c>
      <c r="N56" s="19">
        <v>0</v>
      </c>
      <c r="O56" s="18" t="s">
        <v>87</v>
      </c>
      <c r="P56" s="40">
        <v>0</v>
      </c>
      <c r="Q56" s="19">
        <v>0</v>
      </c>
      <c r="R56" s="19">
        <v>0</v>
      </c>
      <c r="S56" s="40">
        <v>0</v>
      </c>
      <c r="T56" s="19">
        <v>0</v>
      </c>
      <c r="U56" s="19">
        <v>0</v>
      </c>
      <c r="V56" s="18" t="s">
        <v>87</v>
      </c>
      <c r="W56" s="40">
        <v>0</v>
      </c>
      <c r="X56" s="19">
        <v>0</v>
      </c>
      <c r="Y56" s="19">
        <v>0</v>
      </c>
      <c r="Z56" s="40">
        <v>0</v>
      </c>
      <c r="AA56" s="19">
        <v>0</v>
      </c>
      <c r="AB56" s="19">
        <v>0</v>
      </c>
      <c r="AC56" s="18" t="s">
        <v>87</v>
      </c>
      <c r="AD56" s="40">
        <v>0</v>
      </c>
      <c r="AE56" s="19">
        <v>0</v>
      </c>
      <c r="AF56" s="19">
        <v>0</v>
      </c>
      <c r="AG56" s="40">
        <v>0</v>
      </c>
      <c r="AH56" s="19">
        <v>0</v>
      </c>
      <c r="AI56" s="19">
        <v>0</v>
      </c>
      <c r="AJ56" s="18" t="s">
        <v>87</v>
      </c>
      <c r="AK56" s="40">
        <v>0</v>
      </c>
      <c r="AL56" s="19">
        <v>0</v>
      </c>
      <c r="AM56" s="19">
        <v>0</v>
      </c>
      <c r="AN56" s="40">
        <v>0</v>
      </c>
      <c r="AO56" s="19">
        <v>0</v>
      </c>
      <c r="AP56" s="19">
        <v>0</v>
      </c>
      <c r="AQ56" s="18" t="s">
        <v>87</v>
      </c>
      <c r="AR56" s="40">
        <v>-0.33</v>
      </c>
      <c r="AS56" s="19">
        <v>3</v>
      </c>
      <c r="AT56" s="19">
        <v>1</v>
      </c>
      <c r="AU56" s="40">
        <v>0.33</v>
      </c>
      <c r="AV56" s="19">
        <v>1</v>
      </c>
      <c r="AW56" s="19">
        <v>1</v>
      </c>
      <c r="AX56" s="18" t="s">
        <v>87</v>
      </c>
      <c r="AY56" s="40">
        <v>0</v>
      </c>
      <c r="AZ56" s="19">
        <v>2</v>
      </c>
      <c r="BA56" s="19">
        <v>0</v>
      </c>
      <c r="BB56" s="40">
        <v>0</v>
      </c>
      <c r="BC56" s="19">
        <v>0</v>
      </c>
      <c r="BD56" s="19">
        <v>0</v>
      </c>
    </row>
    <row r="57" spans="1:56" ht="14.25" customHeight="1" x14ac:dyDescent="0.3">
      <c r="A57" s="11" t="s">
        <v>94</v>
      </c>
      <c r="B57" s="25" t="s">
        <v>80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8" t="s">
        <v>94</v>
      </c>
      <c r="I57" s="40">
        <v>0</v>
      </c>
      <c r="J57" s="19">
        <v>0</v>
      </c>
      <c r="K57" s="19">
        <v>0</v>
      </c>
      <c r="L57" s="40">
        <v>0</v>
      </c>
      <c r="M57" s="19">
        <v>0</v>
      </c>
      <c r="N57" s="19">
        <v>0</v>
      </c>
      <c r="O57" s="18" t="s">
        <v>94</v>
      </c>
      <c r="P57" s="40">
        <v>0</v>
      </c>
      <c r="Q57" s="19">
        <v>0</v>
      </c>
      <c r="R57" s="19">
        <v>0</v>
      </c>
      <c r="S57" s="40">
        <v>0</v>
      </c>
      <c r="T57" s="19">
        <v>0</v>
      </c>
      <c r="U57" s="19">
        <v>0</v>
      </c>
      <c r="V57" s="18" t="s">
        <v>94</v>
      </c>
      <c r="W57" s="40">
        <v>0</v>
      </c>
      <c r="X57" s="19">
        <v>0</v>
      </c>
      <c r="Y57" s="19">
        <v>0</v>
      </c>
      <c r="Z57" s="40">
        <v>0</v>
      </c>
      <c r="AA57" s="19">
        <v>0</v>
      </c>
      <c r="AB57" s="19">
        <v>0</v>
      </c>
      <c r="AC57" s="18" t="s">
        <v>94</v>
      </c>
      <c r="AD57" s="40">
        <v>0</v>
      </c>
      <c r="AE57" s="19">
        <v>0</v>
      </c>
      <c r="AF57" s="19">
        <v>0</v>
      </c>
      <c r="AG57" s="40">
        <v>0</v>
      </c>
      <c r="AH57" s="19">
        <v>0</v>
      </c>
      <c r="AI57" s="19">
        <v>0</v>
      </c>
      <c r="AJ57" s="18" t="s">
        <v>94</v>
      </c>
      <c r="AK57" s="40">
        <v>0</v>
      </c>
      <c r="AL57" s="19">
        <v>0</v>
      </c>
      <c r="AM57" s="19">
        <v>0</v>
      </c>
      <c r="AN57" s="40">
        <v>0</v>
      </c>
      <c r="AO57" s="19">
        <v>0</v>
      </c>
      <c r="AP57" s="19">
        <v>0</v>
      </c>
      <c r="AQ57" s="18" t="s">
        <v>94</v>
      </c>
      <c r="AR57" s="40">
        <v>0.5</v>
      </c>
      <c r="AS57" s="19">
        <v>2</v>
      </c>
      <c r="AT57" s="19">
        <v>1</v>
      </c>
      <c r="AU57" s="40">
        <v>0.5</v>
      </c>
      <c r="AV57" s="19">
        <v>0</v>
      </c>
      <c r="AW57" s="19">
        <v>0</v>
      </c>
      <c r="AX57" s="18" t="s">
        <v>94</v>
      </c>
      <c r="AY57" s="40">
        <v>0</v>
      </c>
      <c r="AZ57" s="19">
        <v>0</v>
      </c>
      <c r="BA57" s="19">
        <v>0</v>
      </c>
      <c r="BB57" s="40">
        <v>0</v>
      </c>
      <c r="BC57" s="19">
        <v>0</v>
      </c>
      <c r="BD57" s="19">
        <v>0</v>
      </c>
    </row>
    <row r="58" spans="1:56" ht="14.25" customHeight="1" x14ac:dyDescent="0.3">
      <c r="A58" s="11" t="s">
        <v>86</v>
      </c>
      <c r="B58" s="39">
        <v>-0.66669999999999996</v>
      </c>
      <c r="C58" s="19">
        <v>3</v>
      </c>
      <c r="D58" s="19">
        <v>0</v>
      </c>
      <c r="E58" s="19">
        <v>0</v>
      </c>
      <c r="F58" s="19">
        <v>0</v>
      </c>
      <c r="G58" s="19">
        <v>2</v>
      </c>
      <c r="H58" s="18" t="s">
        <v>86</v>
      </c>
      <c r="I58" s="40">
        <v>0</v>
      </c>
      <c r="J58" s="19">
        <v>0</v>
      </c>
      <c r="K58" s="19">
        <v>0</v>
      </c>
      <c r="L58" s="40">
        <v>0</v>
      </c>
      <c r="M58" s="19">
        <v>0</v>
      </c>
      <c r="N58" s="19">
        <v>0</v>
      </c>
      <c r="O58" s="18" t="s">
        <v>86</v>
      </c>
      <c r="P58" s="40">
        <v>0</v>
      </c>
      <c r="Q58" s="19">
        <v>0</v>
      </c>
      <c r="R58" s="19">
        <v>0</v>
      </c>
      <c r="S58" s="40">
        <v>0</v>
      </c>
      <c r="T58" s="19">
        <v>0</v>
      </c>
      <c r="U58" s="19">
        <v>0</v>
      </c>
      <c r="V58" s="18" t="s">
        <v>86</v>
      </c>
      <c r="W58" s="40">
        <v>0</v>
      </c>
      <c r="X58" s="19">
        <v>0</v>
      </c>
      <c r="Y58" s="19">
        <v>0</v>
      </c>
      <c r="Z58" s="40">
        <v>0</v>
      </c>
      <c r="AA58" s="19">
        <v>0</v>
      </c>
      <c r="AB58" s="19">
        <v>0</v>
      </c>
      <c r="AC58" s="18" t="s">
        <v>86</v>
      </c>
      <c r="AD58" s="40">
        <v>0</v>
      </c>
      <c r="AE58" s="19">
        <v>0</v>
      </c>
      <c r="AF58" s="19">
        <v>0</v>
      </c>
      <c r="AG58" s="40">
        <v>0</v>
      </c>
      <c r="AH58" s="19">
        <v>0</v>
      </c>
      <c r="AI58" s="19">
        <v>0</v>
      </c>
      <c r="AJ58" s="18" t="s">
        <v>86</v>
      </c>
      <c r="AK58" s="40">
        <v>0</v>
      </c>
      <c r="AL58" s="19">
        <v>0</v>
      </c>
      <c r="AM58" s="19">
        <v>0</v>
      </c>
      <c r="AN58" s="40">
        <v>0</v>
      </c>
      <c r="AO58" s="19">
        <v>0</v>
      </c>
      <c r="AP58" s="19">
        <v>0</v>
      </c>
      <c r="AQ58" s="18" t="s">
        <v>86</v>
      </c>
      <c r="AR58" s="40">
        <v>-0.25</v>
      </c>
      <c r="AS58" s="19">
        <v>12</v>
      </c>
      <c r="AT58" s="19">
        <v>2</v>
      </c>
      <c r="AU58" s="40">
        <v>0.17</v>
      </c>
      <c r="AV58" s="19">
        <v>4</v>
      </c>
      <c r="AW58" s="19">
        <v>1</v>
      </c>
      <c r="AX58" s="18" t="s">
        <v>86</v>
      </c>
      <c r="AY58" s="40">
        <v>0.26</v>
      </c>
      <c r="AZ58" s="19">
        <v>19</v>
      </c>
      <c r="BA58" s="19">
        <v>9</v>
      </c>
      <c r="BB58" s="40">
        <v>0.47</v>
      </c>
      <c r="BC58" s="19">
        <v>1</v>
      </c>
      <c r="BD58" s="19">
        <v>3</v>
      </c>
    </row>
    <row r="59" spans="1:56" ht="14.25" customHeight="1" x14ac:dyDescent="0.3">
      <c r="A59" s="11" t="s">
        <v>85</v>
      </c>
      <c r="B59" s="39">
        <v>7.8100000000000003E-2</v>
      </c>
      <c r="C59" s="19">
        <v>16</v>
      </c>
      <c r="D59" s="19">
        <v>1</v>
      </c>
      <c r="E59" s="19">
        <v>3</v>
      </c>
      <c r="F59" s="19">
        <v>1</v>
      </c>
      <c r="G59" s="19">
        <v>1</v>
      </c>
      <c r="H59" s="18" t="s">
        <v>85</v>
      </c>
      <c r="I59" s="40">
        <v>0</v>
      </c>
      <c r="J59" s="19">
        <v>0</v>
      </c>
      <c r="K59" s="19">
        <v>0</v>
      </c>
      <c r="L59" s="40">
        <v>0</v>
      </c>
      <c r="M59" s="19">
        <v>0</v>
      </c>
      <c r="N59" s="19">
        <v>0</v>
      </c>
      <c r="O59" s="18" t="s">
        <v>85</v>
      </c>
      <c r="P59" s="40">
        <v>0.33</v>
      </c>
      <c r="Q59" s="19">
        <v>9</v>
      </c>
      <c r="R59" s="19">
        <v>4</v>
      </c>
      <c r="S59" s="40">
        <v>0.44</v>
      </c>
      <c r="T59" s="19">
        <v>1</v>
      </c>
      <c r="U59" s="19">
        <v>0</v>
      </c>
      <c r="V59" s="18" t="s">
        <v>85</v>
      </c>
      <c r="W59" s="40">
        <v>0</v>
      </c>
      <c r="X59" s="19">
        <v>0</v>
      </c>
      <c r="Y59" s="19">
        <v>0</v>
      </c>
      <c r="Z59" s="40">
        <v>0</v>
      </c>
      <c r="AA59" s="19">
        <v>0</v>
      </c>
      <c r="AB59" s="19">
        <v>0</v>
      </c>
      <c r="AC59" s="18" t="s">
        <v>85</v>
      </c>
      <c r="AD59" s="40">
        <v>0</v>
      </c>
      <c r="AE59" s="19">
        <v>0</v>
      </c>
      <c r="AF59" s="19">
        <v>0</v>
      </c>
      <c r="AG59" s="40">
        <v>0</v>
      </c>
      <c r="AH59" s="19">
        <v>0</v>
      </c>
      <c r="AI59" s="19">
        <v>0</v>
      </c>
      <c r="AJ59" s="18" t="s">
        <v>85</v>
      </c>
      <c r="AK59" s="40">
        <v>0</v>
      </c>
      <c r="AL59" s="19">
        <v>0</v>
      </c>
      <c r="AM59" s="19">
        <v>0</v>
      </c>
      <c r="AN59" s="40">
        <v>0</v>
      </c>
      <c r="AO59" s="19">
        <v>0</v>
      </c>
      <c r="AP59" s="19">
        <v>0</v>
      </c>
      <c r="AQ59" s="18" t="s">
        <v>85</v>
      </c>
      <c r="AR59" s="40">
        <v>0.5</v>
      </c>
      <c r="AS59" s="19">
        <v>18</v>
      </c>
      <c r="AT59" s="19">
        <v>10</v>
      </c>
      <c r="AU59" s="40">
        <v>0.56000000000000005</v>
      </c>
      <c r="AV59" s="19">
        <v>1</v>
      </c>
      <c r="AW59" s="19">
        <v>0</v>
      </c>
      <c r="AX59" s="18" t="s">
        <v>85</v>
      </c>
      <c r="AY59" s="40">
        <v>0.4</v>
      </c>
      <c r="AZ59" s="19">
        <v>15</v>
      </c>
      <c r="BA59" s="19">
        <v>7</v>
      </c>
      <c r="BB59" s="40">
        <v>0.47</v>
      </c>
      <c r="BC59" s="19">
        <v>0</v>
      </c>
      <c r="BD59" s="19">
        <v>1</v>
      </c>
    </row>
    <row r="60" spans="1:56" ht="14.25" customHeight="1" x14ac:dyDescent="0.3">
      <c r="A60" s="11" t="s">
        <v>67</v>
      </c>
      <c r="B60" s="25" t="s">
        <v>80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8" t="s">
        <v>67</v>
      </c>
      <c r="I60" s="40">
        <v>0</v>
      </c>
      <c r="J60" s="19">
        <v>0</v>
      </c>
      <c r="K60" s="19">
        <v>0</v>
      </c>
      <c r="L60" s="40">
        <v>0</v>
      </c>
      <c r="M60" s="19">
        <v>0</v>
      </c>
      <c r="N60" s="19">
        <v>0</v>
      </c>
      <c r="O60" s="18" t="s">
        <v>67</v>
      </c>
      <c r="P60" s="40">
        <v>0</v>
      </c>
      <c r="Q60" s="19">
        <v>0</v>
      </c>
      <c r="R60" s="19">
        <v>0</v>
      </c>
      <c r="S60" s="40">
        <v>0</v>
      </c>
      <c r="T60" s="19">
        <v>0</v>
      </c>
      <c r="U60" s="19">
        <v>0</v>
      </c>
      <c r="V60" s="18" t="s">
        <v>67</v>
      </c>
      <c r="W60" s="40">
        <v>0</v>
      </c>
      <c r="X60" s="19">
        <v>0</v>
      </c>
      <c r="Y60" s="19">
        <v>0</v>
      </c>
      <c r="Z60" s="40">
        <v>0</v>
      </c>
      <c r="AA60" s="19">
        <v>0</v>
      </c>
      <c r="AB60" s="19">
        <v>0</v>
      </c>
      <c r="AC60" s="18" t="s">
        <v>67</v>
      </c>
      <c r="AD60" s="40">
        <v>0</v>
      </c>
      <c r="AE60" s="19">
        <v>0</v>
      </c>
      <c r="AF60" s="19">
        <v>0</v>
      </c>
      <c r="AG60" s="40">
        <v>0</v>
      </c>
      <c r="AH60" s="19">
        <v>0</v>
      </c>
      <c r="AI60" s="19">
        <v>0</v>
      </c>
      <c r="AJ60" s="18" t="s">
        <v>67</v>
      </c>
      <c r="AK60" s="40">
        <v>0</v>
      </c>
      <c r="AL60" s="19">
        <v>0</v>
      </c>
      <c r="AM60" s="19">
        <v>0</v>
      </c>
      <c r="AN60" s="40">
        <v>0</v>
      </c>
      <c r="AO60" s="19">
        <v>0</v>
      </c>
      <c r="AP60" s="19">
        <v>0</v>
      </c>
      <c r="AQ60" s="18" t="s">
        <v>67</v>
      </c>
      <c r="AR60" s="40">
        <v>0</v>
      </c>
      <c r="AS60" s="19">
        <v>0</v>
      </c>
      <c r="AT60" s="19">
        <v>0</v>
      </c>
      <c r="AU60" s="40">
        <v>0</v>
      </c>
      <c r="AV60" s="19">
        <v>0</v>
      </c>
      <c r="AW60" s="19">
        <v>0</v>
      </c>
      <c r="AX60" s="18" t="s">
        <v>67</v>
      </c>
      <c r="AY60" s="40">
        <v>0</v>
      </c>
      <c r="AZ60" s="19">
        <v>0</v>
      </c>
      <c r="BA60" s="19">
        <v>0</v>
      </c>
      <c r="BB60" s="40">
        <v>0</v>
      </c>
      <c r="BC60" s="19">
        <v>0</v>
      </c>
      <c r="BD60" s="19">
        <v>0</v>
      </c>
    </row>
    <row r="61" spans="1:56" ht="14.25" customHeight="1" x14ac:dyDescent="0.3">
      <c r="A61" s="11" t="s">
        <v>88</v>
      </c>
      <c r="B61" s="25" t="s">
        <v>80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8" t="s">
        <v>88</v>
      </c>
      <c r="I61" s="40">
        <v>0</v>
      </c>
      <c r="J61" s="19">
        <v>0</v>
      </c>
      <c r="K61" s="19">
        <v>0</v>
      </c>
      <c r="L61" s="40">
        <v>0</v>
      </c>
      <c r="M61" s="19">
        <v>0</v>
      </c>
      <c r="N61" s="19">
        <v>0</v>
      </c>
      <c r="O61" s="18" t="s">
        <v>88</v>
      </c>
      <c r="P61" s="40">
        <v>0</v>
      </c>
      <c r="Q61" s="19">
        <v>0</v>
      </c>
      <c r="R61" s="19">
        <v>0</v>
      </c>
      <c r="S61" s="40">
        <v>0</v>
      </c>
      <c r="T61" s="19">
        <v>0</v>
      </c>
      <c r="U61" s="19">
        <v>0</v>
      </c>
      <c r="V61" s="18" t="s">
        <v>88</v>
      </c>
      <c r="W61" s="40">
        <v>0</v>
      </c>
      <c r="X61" s="19">
        <v>0</v>
      </c>
      <c r="Y61" s="19">
        <v>0</v>
      </c>
      <c r="Z61" s="40">
        <v>0</v>
      </c>
      <c r="AA61" s="19">
        <v>0</v>
      </c>
      <c r="AB61" s="19">
        <v>0</v>
      </c>
      <c r="AC61" s="18" t="s">
        <v>88</v>
      </c>
      <c r="AD61" s="40">
        <v>0</v>
      </c>
      <c r="AE61" s="19">
        <v>0</v>
      </c>
      <c r="AF61" s="19">
        <v>0</v>
      </c>
      <c r="AG61" s="40">
        <v>0</v>
      </c>
      <c r="AH61" s="19">
        <v>0</v>
      </c>
      <c r="AI61" s="19">
        <v>0</v>
      </c>
      <c r="AJ61" s="18" t="s">
        <v>88</v>
      </c>
      <c r="AK61" s="40">
        <v>0</v>
      </c>
      <c r="AL61" s="19">
        <v>0</v>
      </c>
      <c r="AM61" s="19">
        <v>0</v>
      </c>
      <c r="AN61" s="40">
        <v>0</v>
      </c>
      <c r="AO61" s="19">
        <v>0</v>
      </c>
      <c r="AP61" s="19">
        <v>0</v>
      </c>
      <c r="AQ61" s="18" t="s">
        <v>88</v>
      </c>
      <c r="AR61" s="40">
        <v>0</v>
      </c>
      <c r="AS61" s="19">
        <v>0</v>
      </c>
      <c r="AT61" s="19">
        <v>0</v>
      </c>
      <c r="AU61" s="40">
        <v>0</v>
      </c>
      <c r="AV61" s="19">
        <v>0</v>
      </c>
      <c r="AW61" s="19">
        <v>0</v>
      </c>
      <c r="AX61" s="18" t="s">
        <v>88</v>
      </c>
      <c r="AY61" s="40">
        <v>0</v>
      </c>
      <c r="AZ61" s="19">
        <v>0</v>
      </c>
      <c r="BA61" s="19">
        <v>0</v>
      </c>
      <c r="BB61" s="40">
        <v>0</v>
      </c>
      <c r="BC61" s="19">
        <v>0</v>
      </c>
      <c r="BD61" s="19">
        <v>0</v>
      </c>
    </row>
    <row r="62" spans="1:56" ht="14.25" customHeight="1" x14ac:dyDescent="0.3">
      <c r="A62" s="11" t="s">
        <v>69</v>
      </c>
      <c r="B62" s="25" t="s">
        <v>80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8" t="s">
        <v>69</v>
      </c>
      <c r="I62" s="40">
        <v>0</v>
      </c>
      <c r="J62" s="19">
        <v>0</v>
      </c>
      <c r="K62" s="19">
        <v>0</v>
      </c>
      <c r="L62" s="40">
        <v>0</v>
      </c>
      <c r="M62" s="19">
        <v>0</v>
      </c>
      <c r="N62" s="19">
        <v>0</v>
      </c>
      <c r="O62" s="18" t="s">
        <v>69</v>
      </c>
      <c r="P62" s="40">
        <v>0</v>
      </c>
      <c r="Q62" s="19">
        <v>0</v>
      </c>
      <c r="R62" s="19">
        <v>0</v>
      </c>
      <c r="S62" s="40">
        <v>0</v>
      </c>
      <c r="T62" s="19">
        <v>0</v>
      </c>
      <c r="U62" s="19">
        <v>0</v>
      </c>
      <c r="V62" s="18" t="s">
        <v>69</v>
      </c>
      <c r="W62" s="40">
        <v>0</v>
      </c>
      <c r="X62" s="19">
        <v>0</v>
      </c>
      <c r="Y62" s="19">
        <v>0</v>
      </c>
      <c r="Z62" s="40">
        <v>0</v>
      </c>
      <c r="AA62" s="19">
        <v>0</v>
      </c>
      <c r="AB62" s="19">
        <v>0</v>
      </c>
      <c r="AC62" s="18" t="s">
        <v>69</v>
      </c>
      <c r="AD62" s="40">
        <v>0.54</v>
      </c>
      <c r="AE62" s="19">
        <v>13</v>
      </c>
      <c r="AF62" s="19">
        <v>8</v>
      </c>
      <c r="AG62" s="40">
        <v>0.62</v>
      </c>
      <c r="AH62" s="19">
        <v>1</v>
      </c>
      <c r="AI62" s="19">
        <v>0</v>
      </c>
      <c r="AJ62" s="18" t="s">
        <v>69</v>
      </c>
      <c r="AK62" s="40">
        <v>0</v>
      </c>
      <c r="AL62" s="19">
        <v>0</v>
      </c>
      <c r="AM62" s="19">
        <v>0</v>
      </c>
      <c r="AN62" s="40">
        <v>0</v>
      </c>
      <c r="AO62" s="19">
        <v>0</v>
      </c>
      <c r="AP62" s="19">
        <v>0</v>
      </c>
      <c r="AQ62" s="18" t="s">
        <v>69</v>
      </c>
      <c r="AR62" s="40">
        <v>0.33</v>
      </c>
      <c r="AS62" s="19">
        <v>6</v>
      </c>
      <c r="AT62" s="19">
        <v>2</v>
      </c>
      <c r="AU62" s="40">
        <v>0.33</v>
      </c>
      <c r="AV62" s="19">
        <v>0</v>
      </c>
      <c r="AW62" s="19">
        <v>0</v>
      </c>
      <c r="AX62" s="18" t="s">
        <v>69</v>
      </c>
      <c r="AY62" s="40">
        <v>0.62</v>
      </c>
      <c r="AZ62" s="19">
        <v>16</v>
      </c>
      <c r="BA62" s="19">
        <v>11</v>
      </c>
      <c r="BB62" s="40">
        <v>0.69</v>
      </c>
      <c r="BC62" s="19">
        <v>1</v>
      </c>
      <c r="BD62" s="19">
        <v>0</v>
      </c>
    </row>
    <row r="63" spans="1:56" ht="14.25" customHeight="1" x14ac:dyDescent="0.3">
      <c r="A63" s="42" t="s">
        <v>66</v>
      </c>
      <c r="B63" s="39">
        <v>-0.3125</v>
      </c>
      <c r="C63" s="29">
        <v>12</v>
      </c>
      <c r="D63" s="29">
        <v>1</v>
      </c>
      <c r="E63" s="29">
        <v>1</v>
      </c>
      <c r="F63" s="29">
        <v>0</v>
      </c>
      <c r="G63" s="29">
        <v>5</v>
      </c>
      <c r="H63" s="27" t="s">
        <v>66</v>
      </c>
      <c r="I63" s="40">
        <v>-0.5</v>
      </c>
      <c r="J63" s="19">
        <v>2</v>
      </c>
      <c r="K63" s="19">
        <v>0</v>
      </c>
      <c r="L63" s="40">
        <v>0</v>
      </c>
      <c r="M63" s="19">
        <v>1</v>
      </c>
      <c r="N63" s="19">
        <v>0</v>
      </c>
      <c r="O63" s="27" t="s">
        <v>66</v>
      </c>
      <c r="P63" s="40">
        <v>0</v>
      </c>
      <c r="Q63" s="19">
        <v>0</v>
      </c>
      <c r="R63" s="19">
        <v>0</v>
      </c>
      <c r="S63" s="40">
        <v>0</v>
      </c>
      <c r="T63" s="19">
        <v>0</v>
      </c>
      <c r="U63" s="19">
        <v>0</v>
      </c>
      <c r="V63" s="27" t="s">
        <v>66</v>
      </c>
      <c r="W63" s="40">
        <v>0</v>
      </c>
      <c r="X63" s="19">
        <v>0</v>
      </c>
      <c r="Y63" s="19">
        <v>0</v>
      </c>
      <c r="Z63" s="40">
        <v>0</v>
      </c>
      <c r="AA63" s="19">
        <v>0</v>
      </c>
      <c r="AB63" s="19">
        <v>0</v>
      </c>
      <c r="AC63" s="27" t="s">
        <v>66</v>
      </c>
      <c r="AD63" s="41">
        <v>0</v>
      </c>
      <c r="AE63" s="29">
        <v>0</v>
      </c>
      <c r="AF63" s="29">
        <v>0</v>
      </c>
      <c r="AG63" s="41">
        <v>0</v>
      </c>
      <c r="AH63" s="29">
        <v>0</v>
      </c>
      <c r="AI63" s="29">
        <v>0</v>
      </c>
      <c r="AJ63" s="27" t="s">
        <v>66</v>
      </c>
      <c r="AK63" s="41">
        <v>0</v>
      </c>
      <c r="AL63" s="29">
        <v>0</v>
      </c>
      <c r="AM63" s="29">
        <v>0</v>
      </c>
      <c r="AN63" s="41">
        <v>0</v>
      </c>
      <c r="AO63" s="29">
        <v>0</v>
      </c>
      <c r="AP63" s="29">
        <v>0</v>
      </c>
      <c r="AQ63" s="27" t="s">
        <v>66</v>
      </c>
      <c r="AR63" s="41">
        <v>0.27</v>
      </c>
      <c r="AS63" s="29">
        <v>15</v>
      </c>
      <c r="AT63" s="29">
        <v>7</v>
      </c>
      <c r="AU63" s="41">
        <v>0.47</v>
      </c>
      <c r="AV63" s="29">
        <v>1</v>
      </c>
      <c r="AW63" s="29">
        <v>2</v>
      </c>
      <c r="AX63" s="27" t="s">
        <v>66</v>
      </c>
      <c r="AY63" s="41">
        <v>0.33</v>
      </c>
      <c r="AZ63" s="29">
        <v>15</v>
      </c>
      <c r="BA63" s="29">
        <v>8</v>
      </c>
      <c r="BB63" s="41">
        <v>0.53</v>
      </c>
      <c r="BC63" s="29">
        <v>2</v>
      </c>
      <c r="BD63" s="29">
        <v>1</v>
      </c>
    </row>
    <row r="64" spans="1:56" ht="25.5" customHeight="1" x14ac:dyDescent="0.3">
      <c r="A64" s="42" t="s">
        <v>110</v>
      </c>
      <c r="B64" s="25" t="s">
        <v>80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7" t="s">
        <v>110</v>
      </c>
      <c r="I64" s="40">
        <v>0</v>
      </c>
      <c r="J64" s="19">
        <v>0</v>
      </c>
      <c r="K64" s="19">
        <v>0</v>
      </c>
      <c r="L64" s="40">
        <v>0</v>
      </c>
      <c r="M64" s="19">
        <v>0</v>
      </c>
      <c r="N64" s="19">
        <v>0</v>
      </c>
      <c r="O64" s="27" t="s">
        <v>110</v>
      </c>
      <c r="P64" s="40">
        <v>0</v>
      </c>
      <c r="Q64" s="19">
        <v>0</v>
      </c>
      <c r="R64" s="19">
        <v>0</v>
      </c>
      <c r="S64" s="40">
        <v>0</v>
      </c>
      <c r="T64" s="19">
        <v>0</v>
      </c>
      <c r="U64" s="19">
        <v>0</v>
      </c>
      <c r="V64" s="27" t="s">
        <v>110</v>
      </c>
      <c r="W64" s="40">
        <v>0</v>
      </c>
      <c r="X64" s="19">
        <v>0</v>
      </c>
      <c r="Y64" s="19">
        <v>0</v>
      </c>
      <c r="Z64" s="40">
        <v>0</v>
      </c>
      <c r="AA64" s="19">
        <v>0</v>
      </c>
      <c r="AB64" s="19">
        <v>0</v>
      </c>
      <c r="AC64" s="27" t="s">
        <v>110</v>
      </c>
      <c r="AD64" s="41">
        <v>0</v>
      </c>
      <c r="AE64" s="29">
        <v>0</v>
      </c>
      <c r="AF64" s="29">
        <v>0</v>
      </c>
      <c r="AG64" s="41">
        <v>0</v>
      </c>
      <c r="AH64" s="29">
        <v>0</v>
      </c>
      <c r="AI64" s="29">
        <v>0</v>
      </c>
      <c r="AJ64" s="27" t="s">
        <v>110</v>
      </c>
      <c r="AK64" s="41">
        <v>0</v>
      </c>
      <c r="AL64" s="29">
        <v>0</v>
      </c>
      <c r="AM64" s="29">
        <v>0</v>
      </c>
      <c r="AN64" s="41">
        <v>0</v>
      </c>
      <c r="AO64" s="29">
        <v>0</v>
      </c>
      <c r="AP64" s="29">
        <v>0</v>
      </c>
      <c r="AQ64" s="27" t="s">
        <v>110</v>
      </c>
      <c r="AR64" s="41">
        <v>0</v>
      </c>
      <c r="AS64" s="29">
        <v>0</v>
      </c>
      <c r="AT64" s="29">
        <v>0</v>
      </c>
      <c r="AU64" s="41">
        <v>0</v>
      </c>
      <c r="AV64" s="29">
        <v>0</v>
      </c>
      <c r="AW64" s="29">
        <v>0</v>
      </c>
      <c r="AX64" s="27" t="s">
        <v>110</v>
      </c>
      <c r="AY64" s="41">
        <v>0</v>
      </c>
      <c r="AZ64" s="29">
        <v>0</v>
      </c>
      <c r="BA64" s="29">
        <v>0</v>
      </c>
      <c r="BB64" s="41">
        <v>0</v>
      </c>
      <c r="BC64" s="29">
        <v>0</v>
      </c>
      <c r="BD64" s="29">
        <v>0</v>
      </c>
    </row>
    <row r="65" spans="1:35" ht="13.5" customHeight="1" x14ac:dyDescent="0.3"/>
    <row r="66" spans="1:35" ht="30" customHeight="1" x14ac:dyDescent="0.3">
      <c r="A66" s="155" t="s">
        <v>114</v>
      </c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N66" s="153" t="s">
        <v>115</v>
      </c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</row>
    <row r="67" spans="1:35" ht="25.5" customHeight="1" x14ac:dyDescent="0.3">
      <c r="B67" s="43" t="s">
        <v>97</v>
      </c>
      <c r="C67" s="44" t="s">
        <v>116</v>
      </c>
      <c r="D67" s="44" t="s">
        <v>117</v>
      </c>
      <c r="E67" s="45" t="s">
        <v>118</v>
      </c>
      <c r="F67" s="44" t="s">
        <v>119</v>
      </c>
      <c r="G67" s="45" t="s">
        <v>120</v>
      </c>
      <c r="H67" s="44" t="s">
        <v>121</v>
      </c>
      <c r="I67" s="45" t="s">
        <v>122</v>
      </c>
      <c r="J67" s="44" t="s">
        <v>123</v>
      </c>
      <c r="K67" s="44" t="s">
        <v>102</v>
      </c>
      <c r="O67" s="46" t="s">
        <v>94</v>
      </c>
      <c r="P67" s="44" t="s">
        <v>116</v>
      </c>
      <c r="Q67" s="44" t="s">
        <v>117</v>
      </c>
      <c r="R67" s="44" t="s">
        <v>118</v>
      </c>
      <c r="S67" s="44" t="s">
        <v>119</v>
      </c>
      <c r="T67" s="44" t="s">
        <v>120</v>
      </c>
      <c r="U67" s="44" t="s">
        <v>121</v>
      </c>
      <c r="V67" s="44" t="s">
        <v>122</v>
      </c>
      <c r="W67" s="44" t="s">
        <v>123</v>
      </c>
      <c r="X67" s="44" t="s">
        <v>102</v>
      </c>
    </row>
    <row r="68" spans="1:35" ht="24" customHeight="1" x14ac:dyDescent="0.3">
      <c r="A68" s="43" t="s">
        <v>97</v>
      </c>
      <c r="B68" s="43" t="s">
        <v>124</v>
      </c>
      <c r="C68" s="47">
        <v>3</v>
      </c>
      <c r="D68" s="48">
        <f>IF(K68&gt;0,C68/K68,0)</f>
        <v>0.42857142857142855</v>
      </c>
      <c r="E68" s="47">
        <v>3</v>
      </c>
      <c r="F68" s="48">
        <f>IF(K68&gt;0,E68/K68,0)</f>
        <v>0.42857142857142855</v>
      </c>
      <c r="G68" s="47">
        <v>1</v>
      </c>
      <c r="H68" s="48">
        <f>IF(K68&gt;0,G68/K68,0)</f>
        <v>0.14285714285714285</v>
      </c>
      <c r="I68" s="47">
        <v>0</v>
      </c>
      <c r="J68" s="48">
        <f>IF(K68&gt;0,I68/K68,0)</f>
        <v>0</v>
      </c>
      <c r="K68" s="47">
        <v>7</v>
      </c>
      <c r="N68" s="46" t="s">
        <v>94</v>
      </c>
      <c r="O68" s="46" t="s">
        <v>124</v>
      </c>
      <c r="P68" s="49">
        <v>2</v>
      </c>
      <c r="Q68" s="48">
        <f>IF(X68&gt;0,P68/X68,0)</f>
        <v>1</v>
      </c>
      <c r="R68" s="49">
        <v>0</v>
      </c>
      <c r="S68" s="48">
        <f>IF(X68&gt;0,R68/X68,0)</f>
        <v>0</v>
      </c>
      <c r="T68" s="49">
        <v>0</v>
      </c>
      <c r="U68" s="48">
        <f>IF(X68&gt;0,T68/X68,0)</f>
        <v>0</v>
      </c>
      <c r="V68" s="49">
        <v>0</v>
      </c>
      <c r="W68" s="48">
        <f>IF(X68&gt;0,V68/X68,0)</f>
        <v>0</v>
      </c>
      <c r="X68" s="49">
        <v>2</v>
      </c>
      <c r="AA68" s="43"/>
      <c r="AB68" s="44" t="s">
        <v>101</v>
      </c>
      <c r="AD68" s="43" t="s">
        <v>97</v>
      </c>
      <c r="AE68" s="44" t="s">
        <v>101</v>
      </c>
      <c r="AF68" s="44" t="s">
        <v>102</v>
      </c>
      <c r="AG68" s="44" t="s">
        <v>26</v>
      </c>
      <c r="AH68" s="44" t="s">
        <v>106</v>
      </c>
      <c r="AI68" s="44" t="s">
        <v>125</v>
      </c>
    </row>
    <row r="69" spans="1:35" ht="21.75" customHeight="1" x14ac:dyDescent="0.3">
      <c r="A69" s="43" t="s">
        <v>97</v>
      </c>
      <c r="B69" s="50"/>
      <c r="C69" s="51">
        <v>1</v>
      </c>
      <c r="D69" s="48">
        <f>IF(C68&gt;0,C69/C68,0)</f>
        <v>0.33333333333333331</v>
      </c>
      <c r="E69" s="51">
        <v>2</v>
      </c>
      <c r="F69" s="48">
        <f>IF(E68&gt;0,E69/E68,0)</f>
        <v>0.66666666666666663</v>
      </c>
      <c r="G69" s="51">
        <v>1</v>
      </c>
      <c r="H69" s="48">
        <f>IF(G68&gt;0,G69/G68,0)</f>
        <v>1</v>
      </c>
      <c r="I69" s="51">
        <v>0</v>
      </c>
      <c r="J69" s="48">
        <f>IF(I68&gt;0,I69/I68,0)</f>
        <v>0</v>
      </c>
      <c r="K69" s="51"/>
      <c r="N69" s="46" t="s">
        <v>94</v>
      </c>
      <c r="O69" s="50"/>
      <c r="P69" s="52">
        <v>0</v>
      </c>
      <c r="Q69" s="48">
        <f>IF(P68&gt;0,P69/P68,0)</f>
        <v>0</v>
      </c>
      <c r="R69" s="52">
        <v>0</v>
      </c>
      <c r="S69" s="48">
        <f>IF(R68&gt;0,R69/R68,0)</f>
        <v>0</v>
      </c>
      <c r="T69" s="52">
        <v>0</v>
      </c>
      <c r="U69" s="48">
        <f>IF(T68&gt;0,T69/T68,0)</f>
        <v>0</v>
      </c>
      <c r="V69" s="52">
        <v>0</v>
      </c>
      <c r="W69" s="48">
        <f>IF(V68&gt;0,V69/V68,0)</f>
        <v>0</v>
      </c>
      <c r="X69" s="52"/>
      <c r="AA69" s="44" t="s">
        <v>126</v>
      </c>
      <c r="AB69" s="53">
        <v>0.42</v>
      </c>
      <c r="AD69" s="43" t="s">
        <v>124</v>
      </c>
      <c r="AE69" s="53">
        <v>0.56999999999999995</v>
      </c>
      <c r="AF69" s="51">
        <v>7</v>
      </c>
      <c r="AG69" s="51">
        <v>4</v>
      </c>
      <c r="AH69" s="53">
        <v>0.56999999999999995</v>
      </c>
      <c r="AI69" s="53">
        <v>0</v>
      </c>
    </row>
    <row r="70" spans="1:35" ht="21.75" customHeight="1" x14ac:dyDescent="0.3">
      <c r="A70" s="43" t="s">
        <v>97</v>
      </c>
      <c r="B70" s="43" t="s">
        <v>127</v>
      </c>
      <c r="C70" s="47">
        <v>4</v>
      </c>
      <c r="D70" s="48">
        <f>IF(K70&gt;0,C70/K70,0)</f>
        <v>0.44444444444444442</v>
      </c>
      <c r="E70" s="47">
        <v>3</v>
      </c>
      <c r="F70" s="48">
        <f>IF(K70&gt;0,E70/K70,0)</f>
        <v>0.33333333333333331</v>
      </c>
      <c r="G70" s="47">
        <v>2</v>
      </c>
      <c r="H70" s="48">
        <f>IF(K70&gt;0,G70/K70,0)</f>
        <v>0.22222222222222221</v>
      </c>
      <c r="I70" s="47">
        <v>0</v>
      </c>
      <c r="J70" s="48">
        <f>IF(K70&gt;0,I70/K70,0)</f>
        <v>0</v>
      </c>
      <c r="K70" s="47">
        <v>9</v>
      </c>
      <c r="N70" s="46" t="s">
        <v>94</v>
      </c>
      <c r="O70" s="46" t="s">
        <v>127</v>
      </c>
      <c r="P70" s="49">
        <v>0</v>
      </c>
      <c r="Q70" s="48">
        <f>IF(X70&gt;0,P70/X70,0)</f>
        <v>0</v>
      </c>
      <c r="R70" s="49">
        <v>2</v>
      </c>
      <c r="S70" s="48">
        <f>IF(X70&gt;0,R70/X70,0)</f>
        <v>0.5</v>
      </c>
      <c r="T70" s="49">
        <v>2</v>
      </c>
      <c r="U70" s="48">
        <f>IF(X70&gt;0,T70/X70,0)</f>
        <v>0.5</v>
      </c>
      <c r="V70" s="49">
        <v>0</v>
      </c>
      <c r="W70" s="48">
        <f>IF(X70&gt;0,V70/X70,0)</f>
        <v>0</v>
      </c>
      <c r="X70" s="49">
        <v>4</v>
      </c>
      <c r="AA70" s="44" t="s">
        <v>128</v>
      </c>
      <c r="AB70" s="53">
        <v>0.47</v>
      </c>
      <c r="AD70" s="43" t="s">
        <v>127</v>
      </c>
      <c r="AE70" s="53">
        <v>0.44</v>
      </c>
      <c r="AF70" s="51">
        <v>9</v>
      </c>
      <c r="AG70" s="51">
        <v>6</v>
      </c>
      <c r="AH70" s="53">
        <v>0.67</v>
      </c>
      <c r="AI70" s="53">
        <v>0.22</v>
      </c>
    </row>
    <row r="71" spans="1:35" ht="21.75" customHeight="1" x14ac:dyDescent="0.3">
      <c r="A71" s="43" t="s">
        <v>97</v>
      </c>
      <c r="B71" s="50"/>
      <c r="C71" s="51">
        <v>2</v>
      </c>
      <c r="D71" s="48">
        <f>IF(C70&gt;0,C71/C70,0)</f>
        <v>0.5</v>
      </c>
      <c r="E71" s="51">
        <v>2</v>
      </c>
      <c r="F71" s="48">
        <f>IF(E70&gt;0,E71/E70,0)</f>
        <v>0.66666666666666663</v>
      </c>
      <c r="G71" s="51">
        <v>2</v>
      </c>
      <c r="H71" s="48">
        <f>IF(G70&gt;0,G71/G70,0)</f>
        <v>1</v>
      </c>
      <c r="I71" s="51">
        <v>0</v>
      </c>
      <c r="J71" s="48">
        <f>IF(I70&gt;0,I71/I70,0)</f>
        <v>0</v>
      </c>
      <c r="K71" s="51"/>
      <c r="N71" s="46" t="s">
        <v>94</v>
      </c>
      <c r="O71" s="50"/>
      <c r="P71" s="52">
        <v>0</v>
      </c>
      <c r="Q71" s="48">
        <f>IF(P70&gt;0,P71/P70,0)</f>
        <v>0</v>
      </c>
      <c r="R71" s="52">
        <v>1</v>
      </c>
      <c r="S71" s="48">
        <f>IF(R70&gt;0,R71/R70,0)</f>
        <v>0.5</v>
      </c>
      <c r="T71" s="52">
        <v>0</v>
      </c>
      <c r="U71" s="48">
        <f>IF(T70&gt;0,T71/T70,0)</f>
        <v>0</v>
      </c>
      <c r="V71" s="52">
        <v>0</v>
      </c>
      <c r="W71" s="48">
        <f>IF(V70&gt;0,V71/V70,0)</f>
        <v>0</v>
      </c>
      <c r="X71" s="52"/>
      <c r="AA71" s="44" t="s">
        <v>129</v>
      </c>
      <c r="AB71" s="53">
        <v>0.27</v>
      </c>
      <c r="AD71" s="43" t="s">
        <v>130</v>
      </c>
      <c r="AE71" s="53">
        <v>0</v>
      </c>
      <c r="AF71" s="51">
        <v>6</v>
      </c>
      <c r="AG71" s="51">
        <v>2</v>
      </c>
      <c r="AH71" s="53">
        <v>0.33</v>
      </c>
      <c r="AI71" s="53">
        <v>0.33</v>
      </c>
    </row>
    <row r="72" spans="1:35" ht="21.75" customHeight="1" x14ac:dyDescent="0.3">
      <c r="A72" s="43" t="s">
        <v>97</v>
      </c>
      <c r="B72" s="43" t="s">
        <v>130</v>
      </c>
      <c r="C72" s="47">
        <v>3</v>
      </c>
      <c r="D72" s="48">
        <f>IF(K72&gt;0,C72/K72,0)</f>
        <v>0.5</v>
      </c>
      <c r="E72" s="47">
        <v>1</v>
      </c>
      <c r="F72" s="48">
        <f>IF(K72&gt;0,E72/K72,0)</f>
        <v>0.16666666666666666</v>
      </c>
      <c r="G72" s="47">
        <v>2</v>
      </c>
      <c r="H72" s="48">
        <f>IF(K72&gt;0,G72/K72,0)</f>
        <v>0.33333333333333331</v>
      </c>
      <c r="I72" s="47">
        <v>0</v>
      </c>
      <c r="J72" s="48">
        <f>IF(K72&gt;0,I72/K72,0)</f>
        <v>0</v>
      </c>
      <c r="K72" s="47">
        <v>6</v>
      </c>
      <c r="N72" s="46" t="s">
        <v>94</v>
      </c>
      <c r="O72" s="46" t="s">
        <v>130</v>
      </c>
      <c r="P72" s="49">
        <v>1</v>
      </c>
      <c r="Q72" s="48">
        <f>IF(X72&gt;0,P72/X72,0)</f>
        <v>1</v>
      </c>
      <c r="R72" s="49">
        <v>0</v>
      </c>
      <c r="S72" s="48">
        <f>IF(X72&gt;0,R72/X72,0)</f>
        <v>0</v>
      </c>
      <c r="T72" s="49">
        <v>0</v>
      </c>
      <c r="U72" s="48">
        <f>IF(X72&gt;0,T72/X72,0)</f>
        <v>0</v>
      </c>
      <c r="V72" s="49">
        <v>0</v>
      </c>
      <c r="W72" s="48">
        <f>IF(X72&gt;0,V72/X72,0)</f>
        <v>0</v>
      </c>
      <c r="X72" s="49">
        <v>1</v>
      </c>
      <c r="AA72" s="44" t="s">
        <v>131</v>
      </c>
      <c r="AB72" s="53">
        <v>0.53</v>
      </c>
      <c r="AD72" s="43" t="s">
        <v>132</v>
      </c>
      <c r="AE72" s="53">
        <v>0.17</v>
      </c>
      <c r="AF72" s="51">
        <v>6</v>
      </c>
      <c r="AG72" s="51">
        <v>3</v>
      </c>
      <c r="AH72" s="53">
        <v>0.5</v>
      </c>
      <c r="AI72" s="53">
        <v>0.33</v>
      </c>
    </row>
    <row r="73" spans="1:35" ht="21.75" customHeight="1" x14ac:dyDescent="0.3">
      <c r="A73" s="43" t="s">
        <v>97</v>
      </c>
      <c r="B73" s="50"/>
      <c r="C73" s="51">
        <v>2</v>
      </c>
      <c r="D73" s="48">
        <f>IF(C72&gt;0,C73/C72,0)</f>
        <v>0.66666666666666663</v>
      </c>
      <c r="E73" s="51">
        <v>0</v>
      </c>
      <c r="F73" s="48">
        <f>IF(E72&gt;0,E73/E72,0)</f>
        <v>0</v>
      </c>
      <c r="G73" s="51">
        <v>0</v>
      </c>
      <c r="H73" s="48">
        <f>IF(G72&gt;0,G73/G72,0)</f>
        <v>0</v>
      </c>
      <c r="I73" s="51">
        <v>0</v>
      </c>
      <c r="J73" s="48">
        <f>IF(I72&gt;0,I73/I72,0)</f>
        <v>0</v>
      </c>
      <c r="K73" s="51"/>
      <c r="N73" s="46" t="s">
        <v>94</v>
      </c>
      <c r="O73" s="50"/>
      <c r="P73" s="52">
        <v>1</v>
      </c>
      <c r="Q73" s="48">
        <f>IF(P72&gt;0,P73/P72,0)</f>
        <v>1</v>
      </c>
      <c r="R73" s="52">
        <v>0</v>
      </c>
      <c r="S73" s="48">
        <f>IF(R72&gt;0,R73/R72,0)</f>
        <v>0</v>
      </c>
      <c r="T73" s="52">
        <v>0</v>
      </c>
      <c r="U73" s="48">
        <f>IF(T72&gt;0,T73/T72,0)</f>
        <v>0</v>
      </c>
      <c r="V73" s="52">
        <v>0</v>
      </c>
      <c r="W73" s="48">
        <f>IF(V72&gt;0,V73/V72,0)</f>
        <v>0</v>
      </c>
      <c r="X73" s="52"/>
      <c r="AA73" s="44" t="s">
        <v>133</v>
      </c>
      <c r="AB73" s="53">
        <v>0.33</v>
      </c>
      <c r="AD73" s="43" t="s">
        <v>134</v>
      </c>
      <c r="AE73" s="53">
        <v>0.5</v>
      </c>
      <c r="AF73" s="51">
        <v>4</v>
      </c>
      <c r="AG73" s="51">
        <v>2</v>
      </c>
      <c r="AH73" s="53">
        <v>0.5</v>
      </c>
      <c r="AI73" s="53">
        <v>0</v>
      </c>
    </row>
    <row r="74" spans="1:35" ht="21.75" customHeight="1" x14ac:dyDescent="0.3">
      <c r="A74" s="43" t="s">
        <v>97</v>
      </c>
      <c r="B74" s="43" t="s">
        <v>132</v>
      </c>
      <c r="C74" s="47">
        <v>2</v>
      </c>
      <c r="D74" s="48">
        <f>IF(K74&gt;0,C74/K74,0)</f>
        <v>0.33333333333333331</v>
      </c>
      <c r="E74" s="47">
        <v>2</v>
      </c>
      <c r="F74" s="48">
        <f>IF(K74&gt;0,E74/K74,0)</f>
        <v>0.33333333333333331</v>
      </c>
      <c r="G74" s="47">
        <v>2</v>
      </c>
      <c r="H74" s="48">
        <f>IF(K74&gt;0,G74/K74,0)</f>
        <v>0.33333333333333331</v>
      </c>
      <c r="I74" s="47">
        <v>0</v>
      </c>
      <c r="J74" s="48">
        <f>IF(K74&gt;0,I74/K74,0)</f>
        <v>0</v>
      </c>
      <c r="K74" s="47">
        <v>6</v>
      </c>
      <c r="N74" s="46" t="s">
        <v>94</v>
      </c>
      <c r="O74" s="46" t="s">
        <v>132</v>
      </c>
      <c r="P74" s="49">
        <v>1</v>
      </c>
      <c r="Q74" s="48">
        <f>IF(X74&gt;0,P74/X74,0)</f>
        <v>0.5</v>
      </c>
      <c r="R74" s="49">
        <v>1</v>
      </c>
      <c r="S74" s="48">
        <f>IF(X74&gt;0,R74/X74,0)</f>
        <v>0.5</v>
      </c>
      <c r="T74" s="49">
        <v>0</v>
      </c>
      <c r="U74" s="48">
        <f>IF(X74&gt;0,T74/X74,0)</f>
        <v>0</v>
      </c>
      <c r="V74" s="49">
        <v>0</v>
      </c>
      <c r="W74" s="48">
        <f>IF(X74&gt;0,V74/X74,0)</f>
        <v>0</v>
      </c>
      <c r="X74" s="49">
        <v>2</v>
      </c>
      <c r="AA74" s="44" t="s">
        <v>135</v>
      </c>
      <c r="AB74" s="53">
        <v>0.3</v>
      </c>
      <c r="AD74" s="43" t="s">
        <v>136</v>
      </c>
      <c r="AE74" s="53">
        <v>0.44</v>
      </c>
      <c r="AF74" s="51">
        <v>9</v>
      </c>
      <c r="AG74" s="51">
        <v>5</v>
      </c>
      <c r="AH74" s="53">
        <v>0.56000000000000005</v>
      </c>
      <c r="AI74" s="53">
        <v>0.11</v>
      </c>
    </row>
    <row r="75" spans="1:35" ht="21.75" customHeight="1" x14ac:dyDescent="0.3">
      <c r="A75" s="43" t="s">
        <v>97</v>
      </c>
      <c r="B75" s="50"/>
      <c r="C75" s="51">
        <v>1</v>
      </c>
      <c r="D75" s="48">
        <f>IF(C74&gt;0,C75/C74,0)</f>
        <v>0.5</v>
      </c>
      <c r="E75" s="51">
        <v>1</v>
      </c>
      <c r="F75" s="48">
        <f>IF(E74&gt;0,E75/E74,0)</f>
        <v>0.5</v>
      </c>
      <c r="G75" s="51">
        <v>1</v>
      </c>
      <c r="H75" s="48">
        <f>IF(G74&gt;0,G75/G74,0)</f>
        <v>0.5</v>
      </c>
      <c r="I75" s="51">
        <v>0</v>
      </c>
      <c r="J75" s="48">
        <f>IF(I74&gt;0,I75/I74,0)</f>
        <v>0</v>
      </c>
      <c r="K75" s="51"/>
      <c r="N75" s="46" t="s">
        <v>94</v>
      </c>
      <c r="O75" s="50"/>
      <c r="P75" s="52">
        <v>0</v>
      </c>
      <c r="Q75" s="48">
        <f>IF(P74&gt;0,P75/P74,0)</f>
        <v>0</v>
      </c>
      <c r="R75" s="52">
        <v>1</v>
      </c>
      <c r="S75" s="48">
        <f>IF(R74&gt;0,R75/R74,0)</f>
        <v>1</v>
      </c>
      <c r="T75" s="52">
        <v>0</v>
      </c>
      <c r="U75" s="48">
        <f>IF(T74&gt;0,T75/T74,0)</f>
        <v>0</v>
      </c>
      <c r="V75" s="52">
        <v>0</v>
      </c>
      <c r="W75" s="48">
        <f>IF(V74&gt;0,V75/V74,0)</f>
        <v>0</v>
      </c>
      <c r="X75" s="52"/>
      <c r="AD75" s="43" t="s">
        <v>137</v>
      </c>
      <c r="AE75" s="53">
        <v>0.37</v>
      </c>
      <c r="AF75" s="51">
        <v>41</v>
      </c>
      <c r="AG75" s="51">
        <v>22</v>
      </c>
      <c r="AH75" s="53">
        <v>0.54</v>
      </c>
      <c r="AI75" s="53">
        <v>0.17</v>
      </c>
    </row>
    <row r="76" spans="1:35" ht="21.75" customHeight="1" x14ac:dyDescent="0.3">
      <c r="A76" s="43" t="s">
        <v>97</v>
      </c>
      <c r="B76" s="43" t="s">
        <v>134</v>
      </c>
      <c r="C76" s="47">
        <v>1</v>
      </c>
      <c r="D76" s="48">
        <f>IF(K76&gt;0,C76/K76,0)</f>
        <v>0.25</v>
      </c>
      <c r="E76" s="47">
        <v>3</v>
      </c>
      <c r="F76" s="48">
        <f>IF(K76&gt;0,E76/K76,0)</f>
        <v>0.75</v>
      </c>
      <c r="G76" s="47">
        <v>0</v>
      </c>
      <c r="H76" s="48">
        <f>IF(K76&gt;0,G76/K76,0)</f>
        <v>0</v>
      </c>
      <c r="I76" s="47">
        <v>0</v>
      </c>
      <c r="J76" s="48">
        <f>IF(K76&gt;0,I76/K76,0)</f>
        <v>0</v>
      </c>
      <c r="K76" s="47">
        <v>4</v>
      </c>
      <c r="N76" s="46" t="s">
        <v>94</v>
      </c>
      <c r="O76" s="46" t="s">
        <v>134</v>
      </c>
      <c r="P76" s="49">
        <v>1</v>
      </c>
      <c r="Q76" s="48">
        <f>IF(X76&gt;0,P76/X76,0)</f>
        <v>1</v>
      </c>
      <c r="R76" s="49">
        <v>0</v>
      </c>
      <c r="S76" s="48">
        <f>IF(X76&gt;0,R76/X76,0)</f>
        <v>0</v>
      </c>
      <c r="T76" s="49">
        <v>0</v>
      </c>
      <c r="U76" s="48">
        <f>IF(X76&gt;0,T76/X76,0)</f>
        <v>0</v>
      </c>
      <c r="V76" s="49">
        <v>0</v>
      </c>
      <c r="W76" s="48">
        <f>IF(X76&gt;0,V76/X76,0)</f>
        <v>0</v>
      </c>
      <c r="X76" s="49">
        <v>1</v>
      </c>
      <c r="AD76" s="43" t="s">
        <v>138</v>
      </c>
      <c r="AE76" s="53">
        <v>0.3</v>
      </c>
      <c r="AF76" s="51">
        <v>43</v>
      </c>
      <c r="AG76" s="51">
        <v>20</v>
      </c>
      <c r="AH76" s="53">
        <v>0.47</v>
      </c>
      <c r="AI76" s="53">
        <v>0.16</v>
      </c>
    </row>
    <row r="77" spans="1:35" ht="21.75" customHeight="1" x14ac:dyDescent="0.3">
      <c r="A77" s="43" t="s">
        <v>97</v>
      </c>
      <c r="B77" s="50"/>
      <c r="C77" s="51">
        <v>0</v>
      </c>
      <c r="D77" s="48">
        <f>IF(C76&gt;0,C77/C76,0)</f>
        <v>0</v>
      </c>
      <c r="E77" s="51">
        <v>2</v>
      </c>
      <c r="F77" s="48">
        <f>IF(E76&gt;0,E77/E76,0)</f>
        <v>0.66666666666666663</v>
      </c>
      <c r="G77" s="51">
        <v>0</v>
      </c>
      <c r="H77" s="48">
        <f>IF(G76&gt;0,G77/G76,0)</f>
        <v>0</v>
      </c>
      <c r="I77" s="51">
        <v>0</v>
      </c>
      <c r="J77" s="48">
        <f>IF(I76&gt;0,I77/I76,0)</f>
        <v>0</v>
      </c>
      <c r="K77" s="51"/>
      <c r="N77" s="46" t="s">
        <v>94</v>
      </c>
      <c r="O77" s="50"/>
      <c r="P77" s="52">
        <v>0</v>
      </c>
      <c r="Q77" s="48">
        <f>IF(P76&gt;0,P77/P76,0)</f>
        <v>0</v>
      </c>
      <c r="R77" s="52">
        <v>0</v>
      </c>
      <c r="S77" s="48">
        <f>IF(R76&gt;0,R77/R76,0)</f>
        <v>0</v>
      </c>
      <c r="T77" s="52">
        <v>0</v>
      </c>
      <c r="U77" s="48">
        <f>IF(T76&gt;0,T77/T76,0)</f>
        <v>0</v>
      </c>
      <c r="V77" s="52">
        <v>0</v>
      </c>
      <c r="W77" s="48">
        <f>IF(V76&gt;0,V77/V76,0)</f>
        <v>0</v>
      </c>
      <c r="X77" s="52"/>
      <c r="AE77" s="54"/>
      <c r="AH77" s="54"/>
      <c r="AI77" s="54"/>
    </row>
    <row r="78" spans="1:35" ht="24" customHeight="1" x14ac:dyDescent="0.3">
      <c r="A78" s="43" t="s">
        <v>97</v>
      </c>
      <c r="B78" s="43" t="s">
        <v>136</v>
      </c>
      <c r="C78" s="47">
        <v>3</v>
      </c>
      <c r="D78" s="48">
        <f>IF(K78&gt;0,C78/K78,0)</f>
        <v>0.33333333333333331</v>
      </c>
      <c r="E78" s="47">
        <v>4</v>
      </c>
      <c r="F78" s="48">
        <f>IF(K78&gt;0,E78/K78,0)</f>
        <v>0.44444444444444442</v>
      </c>
      <c r="G78" s="47">
        <v>1</v>
      </c>
      <c r="H78" s="48">
        <f>IF(K78&gt;0,G78/K78,0)</f>
        <v>0.1111111111111111</v>
      </c>
      <c r="I78" s="47">
        <v>1</v>
      </c>
      <c r="J78" s="48">
        <f>IF(K78&gt;0,I78/K78,0)</f>
        <v>0.1111111111111111</v>
      </c>
      <c r="K78" s="47">
        <v>9</v>
      </c>
      <c r="N78" s="46" t="s">
        <v>94</v>
      </c>
      <c r="O78" s="46" t="s">
        <v>136</v>
      </c>
      <c r="P78" s="49">
        <v>0</v>
      </c>
      <c r="Q78" s="48">
        <f>IF(X78&gt;0,P78/X78,0)</f>
        <v>0</v>
      </c>
      <c r="R78" s="49">
        <v>0</v>
      </c>
      <c r="S78" s="48">
        <f>IF(X78&gt;0,R78/X78,0)</f>
        <v>0</v>
      </c>
      <c r="T78" s="49">
        <v>0</v>
      </c>
      <c r="U78" s="48">
        <f>IF(X78&gt;0,T78/X78,0)</f>
        <v>0</v>
      </c>
      <c r="V78" s="49">
        <v>0</v>
      </c>
      <c r="W78" s="48">
        <f>IF(X78&gt;0,V78/X78,0)</f>
        <v>0</v>
      </c>
      <c r="X78" s="49">
        <v>0</v>
      </c>
      <c r="AA78" s="46"/>
      <c r="AB78" s="44" t="s">
        <v>101</v>
      </c>
      <c r="AD78" s="46" t="s">
        <v>94</v>
      </c>
      <c r="AE78" s="55" t="s">
        <v>101</v>
      </c>
      <c r="AF78" s="44" t="s">
        <v>102</v>
      </c>
      <c r="AG78" s="44" t="s">
        <v>26</v>
      </c>
      <c r="AH78" s="55" t="s">
        <v>106</v>
      </c>
      <c r="AI78" s="55" t="s">
        <v>125</v>
      </c>
    </row>
    <row r="79" spans="1:35" ht="21.75" customHeight="1" x14ac:dyDescent="0.3">
      <c r="A79" s="43" t="s">
        <v>97</v>
      </c>
      <c r="B79" s="50"/>
      <c r="C79" s="51">
        <v>1</v>
      </c>
      <c r="D79" s="48">
        <f>IF(C78&gt;0,C79/C78,0)</f>
        <v>0.33333333333333331</v>
      </c>
      <c r="E79" s="51">
        <v>3</v>
      </c>
      <c r="F79" s="48">
        <f>IF(E78&gt;0,E79/E78,0)</f>
        <v>0.75</v>
      </c>
      <c r="G79" s="51">
        <v>1</v>
      </c>
      <c r="H79" s="48">
        <f>IF(G78&gt;0,G79/G78,0)</f>
        <v>1</v>
      </c>
      <c r="I79" s="51">
        <v>0</v>
      </c>
      <c r="J79" s="48">
        <f>IF(I78&gt;0,I79/I78,0)</f>
        <v>0</v>
      </c>
      <c r="K79" s="51"/>
      <c r="N79" s="46" t="s">
        <v>94</v>
      </c>
      <c r="O79" s="50"/>
      <c r="P79" s="52">
        <v>0</v>
      </c>
      <c r="Q79" s="48">
        <f>IF(P78&gt;0,P79/P78,0)</f>
        <v>0</v>
      </c>
      <c r="R79" s="52">
        <v>0</v>
      </c>
      <c r="S79" s="48">
        <f>IF(R78&gt;0,R79/R78,0)</f>
        <v>0</v>
      </c>
      <c r="T79" s="52">
        <v>0</v>
      </c>
      <c r="U79" s="48">
        <f>IF(T78&gt;0,T79/T78,0)</f>
        <v>0</v>
      </c>
      <c r="V79" s="52">
        <v>0</v>
      </c>
      <c r="W79" s="48">
        <f>IF(V78&gt;0,V79/V78,0)</f>
        <v>0</v>
      </c>
      <c r="X79" s="52"/>
      <c r="AA79" s="44" t="s">
        <v>126</v>
      </c>
      <c r="AB79" s="53">
        <v>0.31</v>
      </c>
      <c r="AD79" s="46" t="s">
        <v>124</v>
      </c>
      <c r="AE79" s="53">
        <v>-0.5</v>
      </c>
      <c r="AF79" s="51">
        <v>2</v>
      </c>
      <c r="AG79" s="51">
        <v>0</v>
      </c>
      <c r="AH79" s="53">
        <v>0</v>
      </c>
      <c r="AI79" s="53">
        <v>0.5</v>
      </c>
    </row>
    <row r="80" spans="1:35" ht="21.75" customHeight="1" x14ac:dyDescent="0.3">
      <c r="A80" s="162" t="s">
        <v>139</v>
      </c>
      <c r="B80" s="163"/>
      <c r="C80" s="163"/>
      <c r="D80" s="163"/>
      <c r="E80" s="163"/>
      <c r="F80" s="164"/>
      <c r="G80" s="157" t="s">
        <v>140</v>
      </c>
      <c r="H80" s="158"/>
      <c r="I80" s="158"/>
      <c r="J80" s="158"/>
      <c r="K80" s="158"/>
      <c r="L80" s="158"/>
      <c r="N80" s="162" t="s">
        <v>139</v>
      </c>
      <c r="O80" s="163"/>
      <c r="P80" s="163"/>
      <c r="Q80" s="163"/>
      <c r="R80" s="163"/>
      <c r="S80" s="164"/>
      <c r="T80" s="157" t="s">
        <v>140</v>
      </c>
      <c r="U80" s="158"/>
      <c r="V80" s="158"/>
      <c r="W80" s="158"/>
      <c r="X80" s="158"/>
      <c r="Y80" s="158"/>
      <c r="AA80" s="44" t="s">
        <v>128</v>
      </c>
      <c r="AB80" s="53">
        <v>0</v>
      </c>
      <c r="AD80" s="46" t="s">
        <v>127</v>
      </c>
      <c r="AE80" s="53">
        <v>0.25</v>
      </c>
      <c r="AF80" s="51">
        <v>4</v>
      </c>
      <c r="AG80" s="51">
        <v>1</v>
      </c>
      <c r="AH80" s="53">
        <v>0.25</v>
      </c>
      <c r="AI80" s="53">
        <v>0</v>
      </c>
    </row>
    <row r="81" spans="1:48" ht="21.75" customHeight="1" x14ac:dyDescent="0.3">
      <c r="A81" s="56">
        <v>16</v>
      </c>
      <c r="B81" s="57"/>
      <c r="C81" s="58">
        <v>16</v>
      </c>
      <c r="D81" s="57"/>
      <c r="E81" s="58">
        <v>5</v>
      </c>
      <c r="F81" s="57"/>
      <c r="G81" s="56">
        <v>20</v>
      </c>
      <c r="H81" s="57"/>
      <c r="I81" s="56">
        <v>9</v>
      </c>
      <c r="J81" s="57"/>
      <c r="K81" s="56">
        <v>8</v>
      </c>
      <c r="L81" s="57"/>
      <c r="N81" s="56">
        <v>5</v>
      </c>
      <c r="O81" s="57"/>
      <c r="P81" s="58">
        <v>3</v>
      </c>
      <c r="Q81" s="57"/>
      <c r="R81" s="58">
        <v>2</v>
      </c>
      <c r="S81" s="57"/>
      <c r="T81" s="56">
        <v>3</v>
      </c>
      <c r="U81" s="57"/>
      <c r="V81" s="56">
        <v>2</v>
      </c>
      <c r="W81" s="57"/>
      <c r="X81" s="56">
        <v>0</v>
      </c>
      <c r="Y81" s="57"/>
      <c r="AA81" s="44" t="s">
        <v>129</v>
      </c>
      <c r="AB81" s="53">
        <v>0.5</v>
      </c>
      <c r="AD81" s="46" t="s">
        <v>130</v>
      </c>
      <c r="AE81" s="53">
        <v>1</v>
      </c>
      <c r="AF81" s="51">
        <v>1</v>
      </c>
      <c r="AG81" s="51">
        <v>1</v>
      </c>
      <c r="AH81" s="53">
        <v>1</v>
      </c>
      <c r="AI81" s="53">
        <v>0</v>
      </c>
    </row>
    <row r="82" spans="1:48" ht="21.75" customHeight="1" x14ac:dyDescent="0.3">
      <c r="A82" s="59">
        <v>7</v>
      </c>
      <c r="B82" s="60">
        <v>0.44</v>
      </c>
      <c r="C82" s="61">
        <v>10</v>
      </c>
      <c r="D82" s="60">
        <v>0.62</v>
      </c>
      <c r="E82" s="61">
        <v>3</v>
      </c>
      <c r="F82" s="60">
        <v>0.6</v>
      </c>
      <c r="G82" s="59">
        <v>11</v>
      </c>
      <c r="H82" s="60">
        <v>0.55000000000000004</v>
      </c>
      <c r="I82" s="59">
        <v>3</v>
      </c>
      <c r="J82" s="60">
        <v>0.33</v>
      </c>
      <c r="K82" s="59">
        <v>4</v>
      </c>
      <c r="L82" s="60">
        <v>0.5</v>
      </c>
      <c r="N82" s="59">
        <v>1</v>
      </c>
      <c r="O82" s="60">
        <v>0.2</v>
      </c>
      <c r="P82" s="61">
        <v>2</v>
      </c>
      <c r="Q82" s="60">
        <v>0.67</v>
      </c>
      <c r="R82" s="61">
        <v>0</v>
      </c>
      <c r="S82" s="60">
        <v>0</v>
      </c>
      <c r="T82" s="59">
        <v>1</v>
      </c>
      <c r="U82" s="60">
        <v>0.33</v>
      </c>
      <c r="V82" s="59">
        <v>1</v>
      </c>
      <c r="W82" s="60">
        <v>0.5</v>
      </c>
      <c r="X82" s="59">
        <v>0</v>
      </c>
      <c r="Y82" s="60">
        <v>0</v>
      </c>
      <c r="AA82" s="44" t="s">
        <v>131</v>
      </c>
      <c r="AB82" s="53">
        <v>0.5</v>
      </c>
      <c r="AD82" s="46" t="s">
        <v>132</v>
      </c>
      <c r="AE82" s="53">
        <v>0.5</v>
      </c>
      <c r="AF82" s="51">
        <v>2</v>
      </c>
      <c r="AG82" s="51">
        <v>1</v>
      </c>
      <c r="AH82" s="53">
        <v>0.5</v>
      </c>
      <c r="AI82" s="53">
        <v>0</v>
      </c>
    </row>
    <row r="83" spans="1:48" ht="21.75" customHeight="1" x14ac:dyDescent="0.3">
      <c r="A83" s="62"/>
      <c r="B83" s="63"/>
      <c r="C83" s="58">
        <v>1</v>
      </c>
      <c r="D83" s="57"/>
      <c r="E83" s="64">
        <v>3</v>
      </c>
      <c r="F83" s="57"/>
      <c r="G83" s="56"/>
      <c r="H83" s="57"/>
      <c r="I83" s="64">
        <v>2</v>
      </c>
      <c r="J83" s="65"/>
      <c r="K83" s="56">
        <v>4</v>
      </c>
      <c r="L83" s="57"/>
      <c r="N83" s="62"/>
      <c r="O83" s="63"/>
      <c r="P83" s="58">
        <v>0</v>
      </c>
      <c r="Q83" s="57"/>
      <c r="R83" s="64">
        <v>0</v>
      </c>
      <c r="S83" s="57"/>
      <c r="T83" s="56"/>
      <c r="U83" s="57"/>
      <c r="V83" s="64">
        <v>0</v>
      </c>
      <c r="W83" s="65"/>
      <c r="X83" s="56">
        <v>1</v>
      </c>
      <c r="Y83" s="57"/>
      <c r="AA83" s="44" t="s">
        <v>133</v>
      </c>
      <c r="AB83" s="53">
        <v>1</v>
      </c>
      <c r="AD83" s="46" t="s">
        <v>134</v>
      </c>
      <c r="AE83" s="53">
        <v>0</v>
      </c>
      <c r="AF83" s="51">
        <v>1</v>
      </c>
      <c r="AG83" s="51">
        <v>0</v>
      </c>
      <c r="AH83" s="53">
        <v>0</v>
      </c>
      <c r="AI83" s="53">
        <v>0</v>
      </c>
    </row>
    <row r="84" spans="1:48" ht="21.75" customHeight="1" x14ac:dyDescent="0.3">
      <c r="A84" s="66"/>
      <c r="B84" s="67"/>
      <c r="C84" s="61">
        <v>0</v>
      </c>
      <c r="D84" s="60">
        <v>0</v>
      </c>
      <c r="E84" s="68">
        <v>2</v>
      </c>
      <c r="F84" s="69">
        <v>0.67</v>
      </c>
      <c r="G84" s="59"/>
      <c r="H84" s="60"/>
      <c r="I84" s="68">
        <v>0</v>
      </c>
      <c r="J84" s="70">
        <v>0</v>
      </c>
      <c r="K84" s="59">
        <v>2</v>
      </c>
      <c r="L84" s="60">
        <v>0.5</v>
      </c>
      <c r="N84" s="66"/>
      <c r="O84" s="67"/>
      <c r="P84" s="61">
        <v>0</v>
      </c>
      <c r="Q84" s="60">
        <v>0</v>
      </c>
      <c r="R84" s="68">
        <v>0</v>
      </c>
      <c r="S84" s="69">
        <v>0</v>
      </c>
      <c r="T84" s="59"/>
      <c r="U84" s="60"/>
      <c r="V84" s="68">
        <v>0</v>
      </c>
      <c r="W84" s="70">
        <v>0</v>
      </c>
      <c r="X84" s="59">
        <v>1</v>
      </c>
      <c r="Y84" s="60">
        <v>1</v>
      </c>
      <c r="AA84" s="44" t="s">
        <v>135</v>
      </c>
      <c r="AB84" s="53">
        <v>0.33</v>
      </c>
      <c r="AD84" s="46" t="s">
        <v>136</v>
      </c>
      <c r="AE84" s="53">
        <v>0</v>
      </c>
      <c r="AF84" s="51">
        <v>0</v>
      </c>
      <c r="AG84" s="51">
        <v>0</v>
      </c>
      <c r="AH84" s="53">
        <v>0</v>
      </c>
      <c r="AI84" s="53">
        <v>0</v>
      </c>
    </row>
    <row r="85" spans="1:48" ht="21.75" customHeight="1" x14ac:dyDescent="0.3">
      <c r="A85" s="71"/>
      <c r="B85" s="72"/>
      <c r="AD85" s="46" t="s">
        <v>137</v>
      </c>
      <c r="AE85" s="53">
        <v>0.2</v>
      </c>
      <c r="AF85" s="51">
        <v>10</v>
      </c>
      <c r="AG85" s="51">
        <v>3</v>
      </c>
      <c r="AH85" s="53">
        <v>0.3</v>
      </c>
      <c r="AI85" s="53">
        <v>0.1</v>
      </c>
    </row>
    <row r="86" spans="1:48" ht="21.75" customHeight="1" x14ac:dyDescent="0.3">
      <c r="D86" s="73"/>
      <c r="AD86" s="46" t="s">
        <v>138</v>
      </c>
      <c r="AE86" s="53">
        <v>0.33</v>
      </c>
      <c r="AF86" s="51">
        <v>6</v>
      </c>
      <c r="AG86" s="51">
        <v>3</v>
      </c>
      <c r="AH86" s="53">
        <v>0.5</v>
      </c>
      <c r="AI86" s="53">
        <v>0.17</v>
      </c>
    </row>
    <row r="89" spans="1:48" ht="14.25" customHeight="1" x14ac:dyDescent="0.3">
      <c r="A89" s="74"/>
      <c r="B89" s="75" t="s">
        <v>142</v>
      </c>
      <c r="C89" s="75" t="s">
        <v>102</v>
      </c>
      <c r="D89" s="75" t="s">
        <v>143</v>
      </c>
      <c r="E89" s="75" t="s">
        <v>26</v>
      </c>
      <c r="F89" s="12" t="s">
        <v>103</v>
      </c>
      <c r="G89" s="74" t="s">
        <v>104</v>
      </c>
      <c r="H89" s="75" t="s">
        <v>105</v>
      </c>
      <c r="I89" s="74"/>
      <c r="J89" s="75" t="s">
        <v>142</v>
      </c>
      <c r="K89" s="75" t="s">
        <v>102</v>
      </c>
      <c r="L89" s="75" t="s">
        <v>143</v>
      </c>
      <c r="M89" s="75" t="s">
        <v>26</v>
      </c>
      <c r="N89" s="12" t="s">
        <v>103</v>
      </c>
      <c r="O89" s="74" t="s">
        <v>104</v>
      </c>
      <c r="P89" s="75" t="s">
        <v>105</v>
      </c>
      <c r="Q89" s="74"/>
      <c r="R89" s="75" t="s">
        <v>142</v>
      </c>
      <c r="S89" s="75" t="s">
        <v>102</v>
      </c>
      <c r="T89" s="75" t="s">
        <v>143</v>
      </c>
      <c r="U89" s="75" t="s">
        <v>26</v>
      </c>
      <c r="V89" s="75" t="s">
        <v>103</v>
      </c>
      <c r="W89" s="75" t="s">
        <v>104</v>
      </c>
      <c r="X89" s="12" t="s">
        <v>105</v>
      </c>
      <c r="Y89" s="74"/>
      <c r="Z89" s="75" t="s">
        <v>142</v>
      </c>
      <c r="AA89" s="75" t="s">
        <v>102</v>
      </c>
      <c r="AB89" s="75" t="s">
        <v>143</v>
      </c>
      <c r="AC89" s="75" t="s">
        <v>26</v>
      </c>
      <c r="AD89" s="12" t="s">
        <v>103</v>
      </c>
      <c r="AE89" s="74" t="s">
        <v>104</v>
      </c>
      <c r="AF89" s="75" t="s">
        <v>105</v>
      </c>
      <c r="AG89" s="74"/>
      <c r="AH89" s="75" t="s">
        <v>142</v>
      </c>
      <c r="AI89" s="75" t="s">
        <v>102</v>
      </c>
      <c r="AJ89" s="75" t="s">
        <v>143</v>
      </c>
      <c r="AK89" s="75" t="s">
        <v>26</v>
      </c>
      <c r="AL89" s="75" t="s">
        <v>103</v>
      </c>
      <c r="AM89" s="75" t="s">
        <v>104</v>
      </c>
      <c r="AN89" s="12" t="s">
        <v>105</v>
      </c>
      <c r="AO89" s="74"/>
      <c r="AP89" s="75" t="s">
        <v>142</v>
      </c>
      <c r="AQ89" s="75" t="s">
        <v>102</v>
      </c>
      <c r="AR89" s="75" t="s">
        <v>143</v>
      </c>
      <c r="AS89" s="75" t="s">
        <v>26</v>
      </c>
      <c r="AT89" s="75" t="s">
        <v>103</v>
      </c>
      <c r="AU89" s="75" t="s">
        <v>104</v>
      </c>
      <c r="AV89" s="12" t="s">
        <v>105</v>
      </c>
    </row>
    <row r="90" spans="1:48" ht="14.25" customHeight="1" x14ac:dyDescent="0.3">
      <c r="A90" s="76" t="s">
        <v>144</v>
      </c>
      <c r="B90" s="10" t="s">
        <v>145</v>
      </c>
      <c r="C90" s="77">
        <v>2</v>
      </c>
      <c r="D90" s="79">
        <v>0.33329999999999999</v>
      </c>
      <c r="E90" s="77">
        <v>0</v>
      </c>
      <c r="F90" s="78">
        <v>2</v>
      </c>
      <c r="G90" s="78">
        <v>0</v>
      </c>
      <c r="H90" s="77">
        <v>0</v>
      </c>
      <c r="I90" s="76" t="s">
        <v>146</v>
      </c>
      <c r="J90" s="10" t="s">
        <v>145</v>
      </c>
      <c r="K90" s="77">
        <v>0</v>
      </c>
      <c r="L90" s="10" t="s">
        <v>80</v>
      </c>
      <c r="M90" s="77">
        <v>0</v>
      </c>
      <c r="N90" s="78">
        <v>0</v>
      </c>
      <c r="O90" s="78">
        <v>0</v>
      </c>
      <c r="P90" s="77">
        <v>0</v>
      </c>
      <c r="Q90" s="76" t="s">
        <v>87</v>
      </c>
      <c r="R90" s="10" t="s">
        <v>145</v>
      </c>
      <c r="S90" s="77">
        <v>0</v>
      </c>
      <c r="T90" s="10" t="s">
        <v>80</v>
      </c>
      <c r="U90" s="77">
        <v>0</v>
      </c>
      <c r="V90" s="77">
        <v>0</v>
      </c>
      <c r="W90" s="77">
        <v>0</v>
      </c>
      <c r="X90" s="78">
        <v>0</v>
      </c>
      <c r="Y90" s="76" t="s">
        <v>85</v>
      </c>
      <c r="Z90" s="10" t="s">
        <v>145</v>
      </c>
      <c r="AA90" s="77">
        <v>0</v>
      </c>
      <c r="AB90" s="10" t="s">
        <v>80</v>
      </c>
      <c r="AC90" s="77">
        <v>0</v>
      </c>
      <c r="AD90" s="78">
        <v>0</v>
      </c>
      <c r="AE90" s="78">
        <v>0</v>
      </c>
      <c r="AF90" s="77">
        <v>0</v>
      </c>
      <c r="AG90" s="76" t="s">
        <v>86</v>
      </c>
      <c r="AH90" s="10" t="s">
        <v>145</v>
      </c>
      <c r="AI90" s="77">
        <v>1</v>
      </c>
      <c r="AJ90" s="79">
        <v>0.5</v>
      </c>
      <c r="AK90" s="77">
        <v>0</v>
      </c>
      <c r="AL90" s="77">
        <v>1</v>
      </c>
      <c r="AM90" s="77">
        <v>0</v>
      </c>
      <c r="AN90" s="78">
        <v>0</v>
      </c>
      <c r="AO90" s="76" t="s">
        <v>88</v>
      </c>
      <c r="AP90" s="10" t="s">
        <v>145</v>
      </c>
      <c r="AQ90" s="77">
        <v>0</v>
      </c>
      <c r="AR90" s="10" t="s">
        <v>80</v>
      </c>
      <c r="AS90" s="77">
        <v>0</v>
      </c>
      <c r="AT90" s="77">
        <v>0</v>
      </c>
      <c r="AU90" s="77">
        <v>0</v>
      </c>
      <c r="AV90" s="78">
        <v>0</v>
      </c>
    </row>
    <row r="91" spans="1:48" ht="14.25" customHeight="1" x14ac:dyDescent="0.3">
      <c r="A91" s="76" t="s">
        <v>144</v>
      </c>
      <c r="B91" s="10" t="s">
        <v>147</v>
      </c>
      <c r="C91" s="77">
        <v>7</v>
      </c>
      <c r="D91" s="79">
        <v>0.64290000000000003</v>
      </c>
      <c r="E91" s="77">
        <v>3</v>
      </c>
      <c r="F91" s="78">
        <v>3</v>
      </c>
      <c r="G91" s="80">
        <v>0</v>
      </c>
      <c r="H91" s="77">
        <v>0</v>
      </c>
      <c r="I91" s="76" t="s">
        <v>146</v>
      </c>
      <c r="J91" s="10" t="s">
        <v>147</v>
      </c>
      <c r="K91" s="77">
        <v>0</v>
      </c>
      <c r="L91" s="10" t="s">
        <v>80</v>
      </c>
      <c r="M91" s="77">
        <v>0</v>
      </c>
      <c r="N91" s="78">
        <v>0</v>
      </c>
      <c r="O91" s="80">
        <v>0</v>
      </c>
      <c r="P91" s="77">
        <v>0</v>
      </c>
      <c r="Q91" s="76" t="s">
        <v>87</v>
      </c>
      <c r="R91" s="10" t="s">
        <v>147</v>
      </c>
      <c r="S91" s="77">
        <v>1</v>
      </c>
      <c r="T91" s="77">
        <v>0</v>
      </c>
      <c r="U91" s="77">
        <v>0</v>
      </c>
      <c r="V91" s="77">
        <v>0</v>
      </c>
      <c r="W91" s="77">
        <v>0</v>
      </c>
      <c r="X91" s="78">
        <v>0</v>
      </c>
      <c r="Y91" s="76" t="s">
        <v>85</v>
      </c>
      <c r="Z91" s="10" t="s">
        <v>147</v>
      </c>
      <c r="AA91" s="77">
        <v>4</v>
      </c>
      <c r="AB91" s="79">
        <v>0.625</v>
      </c>
      <c r="AC91" s="77">
        <v>2</v>
      </c>
      <c r="AD91" s="78">
        <v>1</v>
      </c>
      <c r="AE91" s="80">
        <v>0</v>
      </c>
      <c r="AF91" s="77">
        <v>0</v>
      </c>
      <c r="AG91" s="76" t="s">
        <v>86</v>
      </c>
      <c r="AH91" s="10" t="s">
        <v>147</v>
      </c>
      <c r="AI91" s="77">
        <v>7</v>
      </c>
      <c r="AJ91" s="79">
        <v>0.35709999999999997</v>
      </c>
      <c r="AK91" s="77">
        <v>1</v>
      </c>
      <c r="AL91" s="77">
        <v>4</v>
      </c>
      <c r="AM91" s="77">
        <v>1</v>
      </c>
      <c r="AN91" s="78">
        <v>0</v>
      </c>
      <c r="AO91" s="76" t="s">
        <v>88</v>
      </c>
      <c r="AP91" s="10" t="s">
        <v>147</v>
      </c>
      <c r="AQ91" s="77">
        <v>0</v>
      </c>
      <c r="AR91" s="10" t="s">
        <v>80</v>
      </c>
      <c r="AS91" s="77">
        <v>0</v>
      </c>
      <c r="AT91" s="77">
        <v>0</v>
      </c>
      <c r="AU91" s="77">
        <v>0</v>
      </c>
      <c r="AV91" s="78">
        <v>0</v>
      </c>
    </row>
    <row r="92" spans="1:48" ht="14.25" customHeight="1" x14ac:dyDescent="0.3">
      <c r="A92" s="76" t="s">
        <v>144</v>
      </c>
      <c r="B92" s="10" t="s">
        <v>148</v>
      </c>
      <c r="C92" s="77">
        <v>0</v>
      </c>
      <c r="D92" s="10" t="s">
        <v>80</v>
      </c>
      <c r="E92" s="77">
        <v>0</v>
      </c>
      <c r="F92" s="78">
        <v>0</v>
      </c>
      <c r="G92" s="80">
        <v>0</v>
      </c>
      <c r="H92" s="77">
        <v>0</v>
      </c>
      <c r="I92" s="76" t="s">
        <v>146</v>
      </c>
      <c r="J92" s="10" t="s">
        <v>148</v>
      </c>
      <c r="K92" s="77">
        <v>0</v>
      </c>
      <c r="L92" s="10" t="s">
        <v>80</v>
      </c>
      <c r="M92" s="77">
        <v>0</v>
      </c>
      <c r="N92" s="78">
        <v>0</v>
      </c>
      <c r="O92" s="80">
        <v>0</v>
      </c>
      <c r="P92" s="77">
        <v>0</v>
      </c>
      <c r="Q92" s="76" t="s">
        <v>87</v>
      </c>
      <c r="R92" s="10" t="s">
        <v>148</v>
      </c>
      <c r="S92" s="77">
        <v>0</v>
      </c>
      <c r="T92" s="10" t="s">
        <v>80</v>
      </c>
      <c r="U92" s="77">
        <v>0</v>
      </c>
      <c r="V92" s="77">
        <v>0</v>
      </c>
      <c r="W92" s="77">
        <v>0</v>
      </c>
      <c r="X92" s="78">
        <v>0</v>
      </c>
      <c r="Y92" s="76" t="s">
        <v>85</v>
      </c>
      <c r="Z92" s="10" t="s">
        <v>148</v>
      </c>
      <c r="AA92" s="77">
        <v>17</v>
      </c>
      <c r="AB92" s="79">
        <v>0.70589999999999997</v>
      </c>
      <c r="AC92" s="77">
        <v>10</v>
      </c>
      <c r="AD92" s="78">
        <v>4</v>
      </c>
      <c r="AE92" s="80">
        <v>0</v>
      </c>
      <c r="AF92" s="77">
        <v>0</v>
      </c>
      <c r="AG92" s="76" t="s">
        <v>86</v>
      </c>
      <c r="AH92" s="10" t="s">
        <v>148</v>
      </c>
      <c r="AI92" s="77">
        <v>12</v>
      </c>
      <c r="AJ92" s="79">
        <v>0.33329999999999999</v>
      </c>
      <c r="AK92" s="77">
        <v>1</v>
      </c>
      <c r="AL92" s="77">
        <v>6</v>
      </c>
      <c r="AM92" s="77">
        <v>0</v>
      </c>
      <c r="AN92" s="78">
        <v>0</v>
      </c>
      <c r="AO92" s="76" t="s">
        <v>88</v>
      </c>
      <c r="AP92" s="10" t="s">
        <v>148</v>
      </c>
      <c r="AQ92" s="77">
        <v>0</v>
      </c>
      <c r="AR92" s="10" t="s">
        <v>80</v>
      </c>
      <c r="AS92" s="77">
        <v>0</v>
      </c>
      <c r="AT92" s="77">
        <v>0</v>
      </c>
      <c r="AU92" s="77">
        <v>0</v>
      </c>
      <c r="AV92" s="78">
        <v>0</v>
      </c>
    </row>
    <row r="93" spans="1:48" ht="14.25" customHeight="1" x14ac:dyDescent="0.3">
      <c r="A93" s="76" t="s">
        <v>144</v>
      </c>
      <c r="B93" s="10" t="s">
        <v>149</v>
      </c>
      <c r="C93" s="77">
        <v>4</v>
      </c>
      <c r="D93" s="79">
        <v>-0.5</v>
      </c>
      <c r="E93" s="77">
        <v>0</v>
      </c>
      <c r="F93" s="78">
        <v>0</v>
      </c>
      <c r="G93" s="80">
        <v>0</v>
      </c>
      <c r="H93" s="77">
        <v>2</v>
      </c>
      <c r="I93" s="76" t="s">
        <v>146</v>
      </c>
      <c r="J93" s="10" t="s">
        <v>149</v>
      </c>
      <c r="K93" s="77">
        <v>0</v>
      </c>
      <c r="L93" s="10" t="s">
        <v>80</v>
      </c>
      <c r="M93" s="77">
        <v>0</v>
      </c>
      <c r="N93" s="78">
        <v>0</v>
      </c>
      <c r="O93" s="80">
        <v>0</v>
      </c>
      <c r="P93" s="77">
        <v>0</v>
      </c>
      <c r="Q93" s="76" t="s">
        <v>87</v>
      </c>
      <c r="R93" s="10" t="s">
        <v>149</v>
      </c>
      <c r="S93" s="77">
        <v>0</v>
      </c>
      <c r="T93" s="10" t="s">
        <v>80</v>
      </c>
      <c r="U93" s="77">
        <v>0</v>
      </c>
      <c r="V93" s="77">
        <v>0</v>
      </c>
      <c r="W93" s="77">
        <v>0</v>
      </c>
      <c r="X93" s="78">
        <v>0</v>
      </c>
      <c r="Y93" s="76" t="s">
        <v>85</v>
      </c>
      <c r="Z93" s="10" t="s">
        <v>149</v>
      </c>
      <c r="AA93" s="77">
        <v>3</v>
      </c>
      <c r="AB93" s="79">
        <v>0.16669999999999999</v>
      </c>
      <c r="AC93" s="77">
        <v>0</v>
      </c>
      <c r="AD93" s="78">
        <v>1</v>
      </c>
      <c r="AE93" s="80">
        <v>0</v>
      </c>
      <c r="AF93" s="77">
        <v>0</v>
      </c>
      <c r="AG93" s="76" t="s">
        <v>86</v>
      </c>
      <c r="AH93" s="10" t="s">
        <v>149</v>
      </c>
      <c r="AI93" s="77">
        <v>0</v>
      </c>
      <c r="AJ93" s="10" t="s">
        <v>80</v>
      </c>
      <c r="AK93" s="77">
        <v>0</v>
      </c>
      <c r="AL93" s="77">
        <v>0</v>
      </c>
      <c r="AM93" s="77">
        <v>0</v>
      </c>
      <c r="AN93" s="78">
        <v>0</v>
      </c>
      <c r="AO93" s="76" t="s">
        <v>88</v>
      </c>
      <c r="AP93" s="10" t="s">
        <v>149</v>
      </c>
      <c r="AQ93" s="77">
        <v>0</v>
      </c>
      <c r="AR93" s="10" t="s">
        <v>80</v>
      </c>
      <c r="AS93" s="77">
        <v>0</v>
      </c>
      <c r="AT93" s="77">
        <v>0</v>
      </c>
      <c r="AU93" s="77">
        <v>0</v>
      </c>
      <c r="AV93" s="78">
        <v>0</v>
      </c>
    </row>
    <row r="94" spans="1:48" ht="14.25" customHeight="1" x14ac:dyDescent="0.3">
      <c r="A94" s="76" t="s">
        <v>144</v>
      </c>
      <c r="B94" s="10" t="s">
        <v>150</v>
      </c>
      <c r="C94" s="77">
        <v>3</v>
      </c>
      <c r="D94" s="79">
        <v>0.5</v>
      </c>
      <c r="E94" s="77">
        <v>1</v>
      </c>
      <c r="F94" s="78">
        <v>1</v>
      </c>
      <c r="G94" s="80">
        <v>0</v>
      </c>
      <c r="H94" s="77">
        <v>0</v>
      </c>
      <c r="I94" s="76" t="s">
        <v>146</v>
      </c>
      <c r="J94" s="10" t="s">
        <v>150</v>
      </c>
      <c r="K94" s="77">
        <v>0</v>
      </c>
      <c r="L94" s="10" t="s">
        <v>80</v>
      </c>
      <c r="M94" s="77">
        <v>0</v>
      </c>
      <c r="N94" s="78">
        <v>0</v>
      </c>
      <c r="O94" s="80">
        <v>0</v>
      </c>
      <c r="P94" s="77">
        <v>0</v>
      </c>
      <c r="Q94" s="76" t="s">
        <v>87</v>
      </c>
      <c r="R94" s="10" t="s">
        <v>150</v>
      </c>
      <c r="S94" s="77">
        <v>2</v>
      </c>
      <c r="T94" s="77">
        <v>1</v>
      </c>
      <c r="U94" s="77">
        <v>2</v>
      </c>
      <c r="V94" s="77">
        <v>0</v>
      </c>
      <c r="W94" s="77">
        <v>0</v>
      </c>
      <c r="X94" s="78">
        <v>0</v>
      </c>
      <c r="Y94" s="76" t="s">
        <v>85</v>
      </c>
      <c r="Z94" s="10" t="s">
        <v>150</v>
      </c>
      <c r="AA94" s="77">
        <v>6</v>
      </c>
      <c r="AB94" s="79">
        <v>0.41670000000000001</v>
      </c>
      <c r="AC94" s="77">
        <v>2</v>
      </c>
      <c r="AD94" s="78">
        <v>1</v>
      </c>
      <c r="AE94" s="80">
        <v>0</v>
      </c>
      <c r="AF94" s="77">
        <v>0</v>
      </c>
      <c r="AG94" s="76" t="s">
        <v>86</v>
      </c>
      <c r="AH94" s="10" t="s">
        <v>150</v>
      </c>
      <c r="AI94" s="77">
        <v>6</v>
      </c>
      <c r="AJ94" s="79">
        <v>0.16669999999999999</v>
      </c>
      <c r="AK94" s="77">
        <v>1</v>
      </c>
      <c r="AL94" s="77">
        <v>1</v>
      </c>
      <c r="AM94" s="77">
        <v>1</v>
      </c>
      <c r="AN94" s="78">
        <v>0</v>
      </c>
      <c r="AO94" s="76" t="s">
        <v>88</v>
      </c>
      <c r="AP94" s="10" t="s">
        <v>150</v>
      </c>
      <c r="AQ94" s="77">
        <v>0</v>
      </c>
      <c r="AR94" s="10" t="s">
        <v>80</v>
      </c>
      <c r="AS94" s="77">
        <v>0</v>
      </c>
      <c r="AT94" s="77">
        <v>0</v>
      </c>
      <c r="AU94" s="77">
        <v>0</v>
      </c>
      <c r="AV94" s="78">
        <v>0</v>
      </c>
    </row>
    <row r="95" spans="1:48" ht="14.25" customHeight="1" x14ac:dyDescent="0.3">
      <c r="A95" s="81" t="s">
        <v>144</v>
      </c>
      <c r="B95" s="82" t="s">
        <v>151</v>
      </c>
      <c r="C95" s="83">
        <v>0</v>
      </c>
      <c r="D95" s="10" t="s">
        <v>80</v>
      </c>
      <c r="E95" s="77">
        <v>0</v>
      </c>
      <c r="F95" s="78">
        <v>0</v>
      </c>
      <c r="G95" s="80">
        <v>0</v>
      </c>
      <c r="H95" s="77">
        <v>0</v>
      </c>
      <c r="I95" s="81" t="s">
        <v>146</v>
      </c>
      <c r="J95" s="82" t="s">
        <v>151</v>
      </c>
      <c r="K95" s="83">
        <v>0</v>
      </c>
      <c r="L95" s="10" t="s">
        <v>80</v>
      </c>
      <c r="M95" s="77">
        <v>0</v>
      </c>
      <c r="N95" s="78">
        <v>0</v>
      </c>
      <c r="O95" s="80">
        <v>0</v>
      </c>
      <c r="P95" s="77">
        <v>0</v>
      </c>
      <c r="Q95" s="76" t="s">
        <v>87</v>
      </c>
      <c r="R95" s="10" t="s">
        <v>151</v>
      </c>
      <c r="S95" s="77">
        <v>0</v>
      </c>
      <c r="T95" s="10" t="s">
        <v>80</v>
      </c>
      <c r="U95" s="77">
        <v>0</v>
      </c>
      <c r="V95" s="77">
        <v>0</v>
      </c>
      <c r="W95" s="77">
        <v>0</v>
      </c>
      <c r="X95" s="78">
        <v>0</v>
      </c>
      <c r="Y95" s="81" t="s">
        <v>85</v>
      </c>
      <c r="Z95" s="82" t="s">
        <v>151</v>
      </c>
      <c r="AA95" s="83">
        <v>3</v>
      </c>
      <c r="AB95" s="79">
        <v>-0.33329999999999999</v>
      </c>
      <c r="AC95" s="77">
        <v>0</v>
      </c>
      <c r="AD95" s="78">
        <v>0</v>
      </c>
      <c r="AE95" s="80">
        <v>0</v>
      </c>
      <c r="AF95" s="77">
        <v>1</v>
      </c>
      <c r="AG95" s="76" t="s">
        <v>86</v>
      </c>
      <c r="AH95" s="10" t="s">
        <v>151</v>
      </c>
      <c r="AI95" s="77">
        <v>8</v>
      </c>
      <c r="AJ95" s="79">
        <v>0.3125</v>
      </c>
      <c r="AK95" s="77">
        <v>2</v>
      </c>
      <c r="AL95" s="77">
        <v>1</v>
      </c>
      <c r="AM95" s="77">
        <v>0</v>
      </c>
      <c r="AN95" s="78">
        <v>0</v>
      </c>
      <c r="AO95" s="76" t="s">
        <v>88</v>
      </c>
      <c r="AP95" s="10" t="s">
        <v>151</v>
      </c>
      <c r="AQ95" s="77">
        <v>0</v>
      </c>
      <c r="AR95" s="10" t="s">
        <v>80</v>
      </c>
      <c r="AS95" s="77">
        <v>0</v>
      </c>
      <c r="AT95" s="77">
        <v>0</v>
      </c>
      <c r="AU95" s="77">
        <v>0</v>
      </c>
      <c r="AV95" s="78">
        <v>0</v>
      </c>
    </row>
    <row r="96" spans="1:48" ht="14.25" customHeight="1" x14ac:dyDescent="0.3">
      <c r="A96" s="84" t="s">
        <v>144</v>
      </c>
      <c r="B96" s="85" t="s">
        <v>152</v>
      </c>
      <c r="C96" s="86">
        <v>9</v>
      </c>
      <c r="D96" s="88">
        <v>0.61109999999999998</v>
      </c>
      <c r="E96" s="86">
        <v>3</v>
      </c>
      <c r="F96" s="86">
        <v>5</v>
      </c>
      <c r="G96" s="87">
        <v>0</v>
      </c>
      <c r="H96" s="86">
        <v>0</v>
      </c>
      <c r="I96" s="84" t="s">
        <v>146</v>
      </c>
      <c r="J96" s="85" t="s">
        <v>153</v>
      </c>
      <c r="K96" s="86">
        <v>0</v>
      </c>
      <c r="L96" s="85" t="s">
        <v>80</v>
      </c>
      <c r="M96" s="86">
        <v>0</v>
      </c>
      <c r="N96" s="86">
        <v>0</v>
      </c>
      <c r="O96" s="87">
        <v>0</v>
      </c>
      <c r="P96" s="86">
        <v>0</v>
      </c>
      <c r="Q96" s="84" t="s">
        <v>87</v>
      </c>
      <c r="R96" s="85" t="s">
        <v>153</v>
      </c>
      <c r="S96" s="86">
        <v>1</v>
      </c>
      <c r="T96" s="86">
        <v>0</v>
      </c>
      <c r="U96" s="86">
        <v>0</v>
      </c>
      <c r="V96" s="86">
        <v>0</v>
      </c>
      <c r="W96" s="86">
        <v>0</v>
      </c>
      <c r="X96" s="89">
        <v>0</v>
      </c>
      <c r="Y96" s="84" t="s">
        <v>85</v>
      </c>
      <c r="Z96" s="85" t="s">
        <v>153</v>
      </c>
      <c r="AA96" s="86">
        <v>21</v>
      </c>
      <c r="AB96" s="88">
        <v>0.6905</v>
      </c>
      <c r="AC96" s="86">
        <v>12</v>
      </c>
      <c r="AD96" s="86">
        <v>5</v>
      </c>
      <c r="AE96" s="87">
        <v>0</v>
      </c>
      <c r="AF96" s="86">
        <v>0</v>
      </c>
      <c r="AG96" s="84" t="s">
        <v>86</v>
      </c>
      <c r="AH96" s="85" t="s">
        <v>153</v>
      </c>
      <c r="AI96" s="86">
        <v>20</v>
      </c>
      <c r="AJ96" s="88">
        <v>0.35</v>
      </c>
      <c r="AK96" s="86">
        <v>2</v>
      </c>
      <c r="AL96" s="86">
        <v>11</v>
      </c>
      <c r="AM96" s="86">
        <v>1</v>
      </c>
      <c r="AN96" s="89">
        <v>0</v>
      </c>
      <c r="AO96" s="84" t="s">
        <v>88</v>
      </c>
      <c r="AP96" s="85" t="s">
        <v>153</v>
      </c>
      <c r="AQ96" s="86">
        <v>0</v>
      </c>
      <c r="AR96" s="85" t="s">
        <v>80</v>
      </c>
      <c r="AS96" s="86">
        <v>0</v>
      </c>
      <c r="AT96" s="86">
        <v>0</v>
      </c>
      <c r="AU96" s="86">
        <v>0</v>
      </c>
      <c r="AV96" s="89">
        <v>0</v>
      </c>
    </row>
    <row r="97" spans="1:48" ht="14.25" customHeight="1" x14ac:dyDescent="0.3">
      <c r="A97" s="90" t="s">
        <v>144</v>
      </c>
      <c r="B97" s="91" t="s">
        <v>154</v>
      </c>
      <c r="C97" s="92">
        <v>7</v>
      </c>
      <c r="D97" s="96">
        <v>-7.1400000000000005E-2</v>
      </c>
      <c r="E97" s="94">
        <v>1</v>
      </c>
      <c r="F97" s="94">
        <v>1</v>
      </c>
      <c r="G97" s="95">
        <v>0</v>
      </c>
      <c r="H97" s="94">
        <v>2</v>
      </c>
      <c r="I97" s="90" t="s">
        <v>146</v>
      </c>
      <c r="J97" s="91" t="s">
        <v>155</v>
      </c>
      <c r="K97" s="92">
        <v>0</v>
      </c>
      <c r="L97" s="93" t="s">
        <v>80</v>
      </c>
      <c r="M97" s="94">
        <v>0</v>
      </c>
      <c r="N97" s="94">
        <v>0</v>
      </c>
      <c r="O97" s="95">
        <v>0</v>
      </c>
      <c r="P97" s="94">
        <v>0</v>
      </c>
      <c r="Q97" s="90" t="s">
        <v>87</v>
      </c>
      <c r="R97" s="97" t="s">
        <v>155</v>
      </c>
      <c r="S97" s="98">
        <v>2</v>
      </c>
      <c r="T97" s="94">
        <v>1</v>
      </c>
      <c r="U97" s="99">
        <v>2</v>
      </c>
      <c r="V97" s="99">
        <v>0</v>
      </c>
      <c r="W97" s="99">
        <v>0</v>
      </c>
      <c r="X97" s="100">
        <v>0</v>
      </c>
      <c r="Y97" s="90" t="s">
        <v>85</v>
      </c>
      <c r="Z97" s="91" t="s">
        <v>155</v>
      </c>
      <c r="AA97" s="92">
        <v>12</v>
      </c>
      <c r="AB97" s="96">
        <v>0.16669999999999999</v>
      </c>
      <c r="AC97" s="94">
        <v>2</v>
      </c>
      <c r="AD97" s="94">
        <v>2</v>
      </c>
      <c r="AE97" s="95">
        <v>0</v>
      </c>
      <c r="AF97" s="94">
        <v>1</v>
      </c>
      <c r="AG97" s="90" t="s">
        <v>86</v>
      </c>
      <c r="AH97" s="97" t="s">
        <v>155</v>
      </c>
      <c r="AI97" s="98">
        <v>14</v>
      </c>
      <c r="AJ97" s="96">
        <v>0.25</v>
      </c>
      <c r="AK97" s="99">
        <v>3</v>
      </c>
      <c r="AL97" s="99">
        <v>2</v>
      </c>
      <c r="AM97" s="99">
        <v>1</v>
      </c>
      <c r="AN97" s="100">
        <v>0</v>
      </c>
      <c r="AO97" s="90" t="s">
        <v>88</v>
      </c>
      <c r="AP97" s="97" t="s">
        <v>155</v>
      </c>
      <c r="AQ97" s="98">
        <v>0</v>
      </c>
      <c r="AR97" s="93" t="s">
        <v>80</v>
      </c>
      <c r="AS97" s="99">
        <v>0</v>
      </c>
      <c r="AT97" s="99">
        <v>0</v>
      </c>
      <c r="AU97" s="99">
        <v>0</v>
      </c>
      <c r="AV97" s="100">
        <v>0</v>
      </c>
    </row>
    <row r="98" spans="1:48" ht="14.2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1"/>
      <c r="AJ98" s="10"/>
      <c r="AK98" s="10"/>
      <c r="AL98" s="10"/>
      <c r="AM98" s="26"/>
      <c r="AN98" s="32"/>
      <c r="AO98" s="10"/>
      <c r="AP98" s="10"/>
      <c r="AQ98" s="101"/>
      <c r="AR98" s="10"/>
      <c r="AS98" s="10"/>
      <c r="AT98" s="10"/>
      <c r="AU98" s="26"/>
      <c r="AV98" s="32"/>
    </row>
    <row r="99" spans="1:48" ht="14.25" customHeight="1" x14ac:dyDescent="0.3">
      <c r="A99" s="102"/>
      <c r="B99" s="103" t="s">
        <v>156</v>
      </c>
      <c r="C99" s="104" t="s">
        <v>102</v>
      </c>
      <c r="D99" s="104" t="s">
        <v>143</v>
      </c>
      <c r="E99" s="104" t="s">
        <v>26</v>
      </c>
      <c r="F99" s="104" t="s">
        <v>103</v>
      </c>
      <c r="G99" s="104" t="s">
        <v>104</v>
      </c>
      <c r="H99" s="104" t="s">
        <v>105</v>
      </c>
      <c r="I99" s="102"/>
      <c r="J99" s="103" t="s">
        <v>156</v>
      </c>
      <c r="K99" s="104" t="s">
        <v>102</v>
      </c>
      <c r="L99" s="104" t="s">
        <v>143</v>
      </c>
      <c r="M99" s="104" t="s">
        <v>26</v>
      </c>
      <c r="N99" s="104" t="s">
        <v>103</v>
      </c>
      <c r="O99" s="104" t="s">
        <v>104</v>
      </c>
      <c r="P99" s="104" t="s">
        <v>105</v>
      </c>
      <c r="Q99" s="10"/>
      <c r="R99" s="103" t="s">
        <v>156</v>
      </c>
      <c r="S99" s="104" t="s">
        <v>102</v>
      </c>
      <c r="T99" s="104" t="s">
        <v>143</v>
      </c>
      <c r="U99" s="104" t="s">
        <v>26</v>
      </c>
      <c r="V99" s="104" t="s">
        <v>103</v>
      </c>
      <c r="W99" s="104" t="s">
        <v>104</v>
      </c>
      <c r="X99" s="105" t="s">
        <v>105</v>
      </c>
      <c r="Y99" s="10"/>
      <c r="Z99" s="103" t="s">
        <v>156</v>
      </c>
      <c r="AA99" s="104" t="s">
        <v>102</v>
      </c>
      <c r="AB99" s="104" t="s">
        <v>143</v>
      </c>
      <c r="AC99" s="104" t="s">
        <v>26</v>
      </c>
      <c r="AD99" s="104" t="s">
        <v>103</v>
      </c>
      <c r="AE99" s="104" t="s">
        <v>104</v>
      </c>
      <c r="AF99" s="104" t="s">
        <v>105</v>
      </c>
      <c r="AG99" s="10"/>
      <c r="AH99" s="103" t="s">
        <v>156</v>
      </c>
      <c r="AI99" s="104" t="s">
        <v>102</v>
      </c>
      <c r="AJ99" s="104" t="s">
        <v>143</v>
      </c>
      <c r="AK99" s="104" t="s">
        <v>26</v>
      </c>
      <c r="AL99" s="104" t="s">
        <v>103</v>
      </c>
      <c r="AM99" s="104" t="s">
        <v>104</v>
      </c>
      <c r="AN99" s="105" t="s">
        <v>105</v>
      </c>
      <c r="AO99" s="10"/>
      <c r="AP99" s="103" t="s">
        <v>156</v>
      </c>
      <c r="AQ99" s="104" t="s">
        <v>102</v>
      </c>
      <c r="AR99" s="104" t="s">
        <v>143</v>
      </c>
      <c r="AS99" s="104" t="s">
        <v>26</v>
      </c>
      <c r="AT99" s="104" t="s">
        <v>103</v>
      </c>
      <c r="AU99" s="104" t="s">
        <v>104</v>
      </c>
      <c r="AV99" s="105" t="s">
        <v>105</v>
      </c>
    </row>
    <row r="100" spans="1:48" ht="14.25" customHeight="1" x14ac:dyDescent="0.3">
      <c r="A100" s="76" t="s">
        <v>144</v>
      </c>
      <c r="B100" s="106" t="s">
        <v>157</v>
      </c>
      <c r="C100" s="107">
        <v>3</v>
      </c>
      <c r="D100" s="111">
        <v>0.83330000000000004</v>
      </c>
      <c r="E100" s="107">
        <v>2</v>
      </c>
      <c r="F100" s="107">
        <v>1</v>
      </c>
      <c r="G100" s="107">
        <v>0</v>
      </c>
      <c r="H100" s="109">
        <v>0</v>
      </c>
      <c r="I100" s="76" t="s">
        <v>146</v>
      </c>
      <c r="J100" s="110" t="s">
        <v>157</v>
      </c>
      <c r="K100" s="92">
        <v>0</v>
      </c>
      <c r="L100" s="108" t="s">
        <v>80</v>
      </c>
      <c r="M100" s="92">
        <v>0</v>
      </c>
      <c r="N100" s="92">
        <v>0</v>
      </c>
      <c r="O100" s="92">
        <v>0</v>
      </c>
      <c r="P100" s="92">
        <v>0</v>
      </c>
      <c r="Q100" s="76" t="s">
        <v>87</v>
      </c>
      <c r="R100" s="110" t="s">
        <v>157</v>
      </c>
      <c r="S100" s="92">
        <v>1</v>
      </c>
      <c r="T100" s="107">
        <v>0</v>
      </c>
      <c r="U100" s="92">
        <v>0</v>
      </c>
      <c r="V100" s="92">
        <v>0</v>
      </c>
      <c r="W100" s="92">
        <v>0</v>
      </c>
      <c r="X100" s="112">
        <v>0</v>
      </c>
      <c r="Y100" s="76" t="s">
        <v>85</v>
      </c>
      <c r="Z100" s="110" t="s">
        <v>157</v>
      </c>
      <c r="AA100" s="92">
        <v>12</v>
      </c>
      <c r="AB100" s="111">
        <v>0.625</v>
      </c>
      <c r="AC100" s="92">
        <v>6</v>
      </c>
      <c r="AD100" s="92">
        <v>3</v>
      </c>
      <c r="AE100" s="92">
        <v>0</v>
      </c>
      <c r="AF100" s="92">
        <v>0</v>
      </c>
      <c r="AG100" s="76" t="s">
        <v>86</v>
      </c>
      <c r="AH100" s="110" t="s">
        <v>157</v>
      </c>
      <c r="AI100" s="92">
        <v>7</v>
      </c>
      <c r="AJ100" s="111">
        <v>0.5</v>
      </c>
      <c r="AK100" s="92">
        <v>1</v>
      </c>
      <c r="AL100" s="92">
        <v>5</v>
      </c>
      <c r="AM100" s="92">
        <v>0</v>
      </c>
      <c r="AN100" s="112">
        <v>0</v>
      </c>
      <c r="AO100" s="76" t="s">
        <v>88</v>
      </c>
      <c r="AP100" s="110" t="s">
        <v>157</v>
      </c>
      <c r="AQ100" s="92">
        <v>0</v>
      </c>
      <c r="AR100" s="108" t="s">
        <v>80</v>
      </c>
      <c r="AS100" s="92">
        <v>0</v>
      </c>
      <c r="AT100" s="92">
        <v>0</v>
      </c>
      <c r="AU100" s="92">
        <v>0</v>
      </c>
      <c r="AV100" s="112">
        <v>0</v>
      </c>
    </row>
    <row r="101" spans="1:48" ht="14.25" customHeight="1" x14ac:dyDescent="0.3">
      <c r="A101" s="76" t="s">
        <v>144</v>
      </c>
      <c r="B101" s="76" t="s">
        <v>158</v>
      </c>
      <c r="C101" s="77">
        <v>1</v>
      </c>
      <c r="D101" s="77">
        <v>0</v>
      </c>
      <c r="E101" s="77">
        <v>0</v>
      </c>
      <c r="F101" s="77">
        <v>0</v>
      </c>
      <c r="G101" s="77">
        <v>0</v>
      </c>
      <c r="H101" s="78">
        <v>0</v>
      </c>
      <c r="I101" s="76" t="s">
        <v>146</v>
      </c>
      <c r="J101" s="76" t="s">
        <v>158</v>
      </c>
      <c r="K101" s="77">
        <v>0</v>
      </c>
      <c r="L101" s="10" t="s">
        <v>80</v>
      </c>
      <c r="M101" s="77">
        <v>0</v>
      </c>
      <c r="N101" s="77">
        <v>0</v>
      </c>
      <c r="O101" s="77">
        <v>0</v>
      </c>
      <c r="P101" s="77">
        <v>0</v>
      </c>
      <c r="Q101" s="76" t="s">
        <v>87</v>
      </c>
      <c r="R101" s="76" t="s">
        <v>158</v>
      </c>
      <c r="S101" s="77">
        <v>0</v>
      </c>
      <c r="T101" s="10" t="s">
        <v>80</v>
      </c>
      <c r="U101" s="77">
        <v>0</v>
      </c>
      <c r="V101" s="77">
        <v>0</v>
      </c>
      <c r="W101" s="77">
        <v>0</v>
      </c>
      <c r="X101" s="78">
        <v>0</v>
      </c>
      <c r="Y101" s="76" t="s">
        <v>85</v>
      </c>
      <c r="Z101" s="76" t="s">
        <v>158</v>
      </c>
      <c r="AA101" s="77">
        <v>0</v>
      </c>
      <c r="AB101" s="10" t="s">
        <v>80</v>
      </c>
      <c r="AC101" s="77">
        <v>0</v>
      </c>
      <c r="AD101" s="77">
        <v>0</v>
      </c>
      <c r="AE101" s="77">
        <v>0</v>
      </c>
      <c r="AF101" s="77">
        <v>0</v>
      </c>
      <c r="AG101" s="76" t="s">
        <v>86</v>
      </c>
      <c r="AH101" s="76" t="s">
        <v>158</v>
      </c>
      <c r="AI101" s="77">
        <v>0</v>
      </c>
      <c r="AJ101" s="10" t="s">
        <v>80</v>
      </c>
      <c r="AK101" s="77">
        <v>0</v>
      </c>
      <c r="AL101" s="77">
        <v>0</v>
      </c>
      <c r="AM101" s="77">
        <v>0</v>
      </c>
      <c r="AN101" s="78">
        <v>0</v>
      </c>
      <c r="AO101" s="76" t="s">
        <v>88</v>
      </c>
      <c r="AP101" s="76" t="s">
        <v>158</v>
      </c>
      <c r="AQ101" s="77">
        <v>0</v>
      </c>
      <c r="AR101" s="10" t="s">
        <v>80</v>
      </c>
      <c r="AS101" s="77">
        <v>0</v>
      </c>
      <c r="AT101" s="77">
        <v>0</v>
      </c>
      <c r="AU101" s="77">
        <v>0</v>
      </c>
      <c r="AV101" s="78">
        <v>0</v>
      </c>
    </row>
    <row r="102" spans="1:48" ht="14.25" customHeight="1" x14ac:dyDescent="0.3">
      <c r="A102" s="76" t="s">
        <v>144</v>
      </c>
      <c r="B102" s="76" t="s">
        <v>159</v>
      </c>
      <c r="C102" s="77">
        <v>2</v>
      </c>
      <c r="D102" s="77">
        <v>1</v>
      </c>
      <c r="E102" s="77">
        <v>2</v>
      </c>
      <c r="F102" s="77">
        <v>0</v>
      </c>
      <c r="G102" s="77">
        <v>0</v>
      </c>
      <c r="H102" s="78">
        <v>0</v>
      </c>
      <c r="I102" s="76" t="s">
        <v>146</v>
      </c>
      <c r="J102" s="76" t="s">
        <v>159</v>
      </c>
      <c r="K102" s="77">
        <v>0</v>
      </c>
      <c r="L102" s="10" t="s">
        <v>80</v>
      </c>
      <c r="M102" s="77">
        <v>0</v>
      </c>
      <c r="N102" s="77">
        <v>0</v>
      </c>
      <c r="O102" s="77">
        <v>0</v>
      </c>
      <c r="P102" s="77">
        <v>0</v>
      </c>
      <c r="Q102" s="76" t="s">
        <v>87</v>
      </c>
      <c r="R102" s="76" t="s">
        <v>159</v>
      </c>
      <c r="S102" s="77">
        <v>1</v>
      </c>
      <c r="T102" s="77">
        <v>0</v>
      </c>
      <c r="U102" s="77">
        <v>0</v>
      </c>
      <c r="V102" s="77">
        <v>0</v>
      </c>
      <c r="W102" s="77">
        <v>0</v>
      </c>
      <c r="X102" s="78">
        <v>0</v>
      </c>
      <c r="Y102" s="76" t="s">
        <v>85</v>
      </c>
      <c r="Z102" s="76" t="s">
        <v>159</v>
      </c>
      <c r="AA102" s="77">
        <v>2</v>
      </c>
      <c r="AB102" s="79">
        <v>0.5</v>
      </c>
      <c r="AC102" s="77">
        <v>1</v>
      </c>
      <c r="AD102" s="77">
        <v>0</v>
      </c>
      <c r="AE102" s="77">
        <v>0</v>
      </c>
      <c r="AF102" s="77">
        <v>0</v>
      </c>
      <c r="AG102" s="76" t="s">
        <v>86</v>
      </c>
      <c r="AH102" s="76" t="s">
        <v>159</v>
      </c>
      <c r="AI102" s="77">
        <v>0</v>
      </c>
      <c r="AJ102" s="10" t="s">
        <v>80</v>
      </c>
      <c r="AK102" s="77">
        <v>0</v>
      </c>
      <c r="AL102" s="77">
        <v>0</v>
      </c>
      <c r="AM102" s="77">
        <v>0</v>
      </c>
      <c r="AN102" s="78">
        <v>0</v>
      </c>
      <c r="AO102" s="76" t="s">
        <v>88</v>
      </c>
      <c r="AP102" s="76" t="s">
        <v>159</v>
      </c>
      <c r="AQ102" s="77">
        <v>0</v>
      </c>
      <c r="AR102" s="10" t="s">
        <v>80</v>
      </c>
      <c r="AS102" s="77">
        <v>0</v>
      </c>
      <c r="AT102" s="77">
        <v>0</v>
      </c>
      <c r="AU102" s="77">
        <v>0</v>
      </c>
      <c r="AV102" s="78">
        <v>0</v>
      </c>
    </row>
    <row r="103" spans="1:48" ht="14.25" customHeight="1" x14ac:dyDescent="0.3">
      <c r="A103" s="76" t="s">
        <v>144</v>
      </c>
      <c r="B103" s="76" t="s">
        <v>160</v>
      </c>
      <c r="C103" s="77">
        <v>0</v>
      </c>
      <c r="D103" s="10" t="s">
        <v>80</v>
      </c>
      <c r="E103" s="77">
        <v>0</v>
      </c>
      <c r="F103" s="77">
        <v>0</v>
      </c>
      <c r="G103" s="77">
        <v>0</v>
      </c>
      <c r="H103" s="78">
        <v>0</v>
      </c>
      <c r="I103" s="76" t="s">
        <v>146</v>
      </c>
      <c r="J103" s="76" t="s">
        <v>160</v>
      </c>
      <c r="K103" s="77">
        <v>0</v>
      </c>
      <c r="L103" s="10" t="s">
        <v>80</v>
      </c>
      <c r="M103" s="77">
        <v>0</v>
      </c>
      <c r="N103" s="77">
        <v>0</v>
      </c>
      <c r="O103" s="77">
        <v>0</v>
      </c>
      <c r="P103" s="77">
        <v>0</v>
      </c>
      <c r="Q103" s="76" t="s">
        <v>87</v>
      </c>
      <c r="R103" s="76" t="s">
        <v>160</v>
      </c>
      <c r="S103" s="77">
        <v>0</v>
      </c>
      <c r="T103" s="10" t="s">
        <v>80</v>
      </c>
      <c r="U103" s="77">
        <v>0</v>
      </c>
      <c r="V103" s="77">
        <v>0</v>
      </c>
      <c r="W103" s="77">
        <v>0</v>
      </c>
      <c r="X103" s="78">
        <v>0</v>
      </c>
      <c r="Y103" s="76" t="s">
        <v>85</v>
      </c>
      <c r="Z103" s="76" t="s">
        <v>160</v>
      </c>
      <c r="AA103" s="77">
        <v>10</v>
      </c>
      <c r="AB103" s="79">
        <v>0.5</v>
      </c>
      <c r="AC103" s="77">
        <v>5</v>
      </c>
      <c r="AD103" s="77">
        <v>3</v>
      </c>
      <c r="AE103" s="77">
        <v>0</v>
      </c>
      <c r="AF103" s="77">
        <v>0</v>
      </c>
      <c r="AG103" s="76" t="s">
        <v>86</v>
      </c>
      <c r="AH103" s="76" t="s">
        <v>160</v>
      </c>
      <c r="AI103" s="77">
        <v>7</v>
      </c>
      <c r="AJ103" s="79">
        <v>0.1429</v>
      </c>
      <c r="AK103" s="77">
        <v>1</v>
      </c>
      <c r="AL103" s="77">
        <v>5</v>
      </c>
      <c r="AM103" s="77">
        <v>0</v>
      </c>
      <c r="AN103" s="78">
        <v>0</v>
      </c>
      <c r="AO103" s="76" t="s">
        <v>88</v>
      </c>
      <c r="AP103" s="76" t="s">
        <v>160</v>
      </c>
      <c r="AQ103" s="77">
        <v>0</v>
      </c>
      <c r="AR103" s="10" t="s">
        <v>80</v>
      </c>
      <c r="AS103" s="77">
        <v>0</v>
      </c>
      <c r="AT103" s="77">
        <v>0</v>
      </c>
      <c r="AU103" s="77">
        <v>0</v>
      </c>
      <c r="AV103" s="78">
        <v>0</v>
      </c>
    </row>
    <row r="104" spans="1:48" ht="14.25" customHeight="1" x14ac:dyDescent="0.3">
      <c r="A104" s="76" t="s">
        <v>144</v>
      </c>
      <c r="B104" s="110" t="s">
        <v>161</v>
      </c>
      <c r="C104" s="92">
        <v>2</v>
      </c>
      <c r="D104" s="113">
        <v>0.75</v>
      </c>
      <c r="E104" s="92">
        <v>1</v>
      </c>
      <c r="F104" s="92">
        <v>1</v>
      </c>
      <c r="G104" s="92">
        <v>0</v>
      </c>
      <c r="H104" s="112">
        <v>0</v>
      </c>
      <c r="I104" s="76" t="s">
        <v>146</v>
      </c>
      <c r="J104" s="110" t="s">
        <v>161</v>
      </c>
      <c r="K104" s="92">
        <v>0</v>
      </c>
      <c r="L104" s="91" t="s">
        <v>80</v>
      </c>
      <c r="M104" s="92">
        <v>0</v>
      </c>
      <c r="N104" s="92">
        <v>0</v>
      </c>
      <c r="O104" s="92">
        <v>0</v>
      </c>
      <c r="P104" s="92">
        <v>0</v>
      </c>
      <c r="Q104" s="76" t="s">
        <v>87</v>
      </c>
      <c r="R104" s="110" t="s">
        <v>161</v>
      </c>
      <c r="S104" s="92">
        <v>0</v>
      </c>
      <c r="T104" s="91" t="s">
        <v>80</v>
      </c>
      <c r="U104" s="92">
        <v>0</v>
      </c>
      <c r="V104" s="92">
        <v>0</v>
      </c>
      <c r="W104" s="92">
        <v>0</v>
      </c>
      <c r="X104" s="112">
        <v>0</v>
      </c>
      <c r="Y104" s="76" t="s">
        <v>85</v>
      </c>
      <c r="Z104" s="110" t="s">
        <v>161</v>
      </c>
      <c r="AA104" s="92">
        <v>3</v>
      </c>
      <c r="AB104" s="92">
        <v>1</v>
      </c>
      <c r="AC104" s="92">
        <v>2</v>
      </c>
      <c r="AD104" s="92">
        <v>1</v>
      </c>
      <c r="AE104" s="92">
        <v>0</v>
      </c>
      <c r="AF104" s="92">
        <v>0</v>
      </c>
      <c r="AG104" s="76" t="s">
        <v>86</v>
      </c>
      <c r="AH104" s="110" t="s">
        <v>161</v>
      </c>
      <c r="AI104" s="92">
        <v>5</v>
      </c>
      <c r="AJ104" s="92">
        <v>0</v>
      </c>
      <c r="AK104" s="92">
        <v>0</v>
      </c>
      <c r="AL104" s="92">
        <v>2</v>
      </c>
      <c r="AM104" s="92">
        <v>0</v>
      </c>
      <c r="AN104" s="112">
        <v>0</v>
      </c>
      <c r="AO104" s="76" t="s">
        <v>88</v>
      </c>
      <c r="AP104" s="110" t="s">
        <v>161</v>
      </c>
      <c r="AQ104" s="92">
        <v>0</v>
      </c>
      <c r="AR104" s="91" t="s">
        <v>80</v>
      </c>
      <c r="AS104" s="92">
        <v>0</v>
      </c>
      <c r="AT104" s="92">
        <v>0</v>
      </c>
      <c r="AU104" s="92">
        <v>0</v>
      </c>
      <c r="AV104" s="112">
        <v>0</v>
      </c>
    </row>
    <row r="105" spans="1:48" ht="14.25" customHeight="1" x14ac:dyDescent="0.3">
      <c r="A105" s="76" t="s">
        <v>144</v>
      </c>
      <c r="B105" s="76" t="s">
        <v>162</v>
      </c>
      <c r="C105" s="77">
        <v>0</v>
      </c>
      <c r="D105" s="10" t="s">
        <v>80</v>
      </c>
      <c r="E105" s="77">
        <v>0</v>
      </c>
      <c r="F105" s="77">
        <v>0</v>
      </c>
      <c r="G105" s="77">
        <v>0</v>
      </c>
      <c r="H105" s="78">
        <v>0</v>
      </c>
      <c r="I105" s="76" t="s">
        <v>146</v>
      </c>
      <c r="J105" s="76" t="s">
        <v>162</v>
      </c>
      <c r="K105" s="77">
        <v>0</v>
      </c>
      <c r="L105" s="10" t="s">
        <v>80</v>
      </c>
      <c r="M105" s="77">
        <v>0</v>
      </c>
      <c r="N105" s="77">
        <v>0</v>
      </c>
      <c r="O105" s="77">
        <v>0</v>
      </c>
      <c r="P105" s="77">
        <v>0</v>
      </c>
      <c r="Q105" s="76" t="s">
        <v>87</v>
      </c>
      <c r="R105" s="76" t="s">
        <v>162</v>
      </c>
      <c r="S105" s="77">
        <v>0</v>
      </c>
      <c r="T105" s="10" t="s">
        <v>80</v>
      </c>
      <c r="U105" s="77">
        <v>0</v>
      </c>
      <c r="V105" s="77">
        <v>0</v>
      </c>
      <c r="W105" s="77">
        <v>0</v>
      </c>
      <c r="X105" s="78">
        <v>0</v>
      </c>
      <c r="Y105" s="76" t="s">
        <v>85</v>
      </c>
      <c r="Z105" s="76" t="s">
        <v>162</v>
      </c>
      <c r="AA105" s="77">
        <v>0</v>
      </c>
      <c r="AB105" s="10" t="s">
        <v>80</v>
      </c>
      <c r="AC105" s="77">
        <v>0</v>
      </c>
      <c r="AD105" s="77">
        <v>0</v>
      </c>
      <c r="AE105" s="77">
        <v>0</v>
      </c>
      <c r="AF105" s="77">
        <v>0</v>
      </c>
      <c r="AG105" s="76" t="s">
        <v>86</v>
      </c>
      <c r="AH105" s="76" t="s">
        <v>162</v>
      </c>
      <c r="AI105" s="77">
        <v>0</v>
      </c>
      <c r="AJ105" s="10" t="s">
        <v>80</v>
      </c>
      <c r="AK105" s="77">
        <v>0</v>
      </c>
      <c r="AL105" s="77">
        <v>0</v>
      </c>
      <c r="AM105" s="77">
        <v>0</v>
      </c>
      <c r="AN105" s="78">
        <v>0</v>
      </c>
      <c r="AO105" s="76" t="s">
        <v>88</v>
      </c>
      <c r="AP105" s="76" t="s">
        <v>162</v>
      </c>
      <c r="AQ105" s="77">
        <v>0</v>
      </c>
      <c r="AR105" s="10" t="s">
        <v>80</v>
      </c>
      <c r="AS105" s="77">
        <v>0</v>
      </c>
      <c r="AT105" s="77">
        <v>0</v>
      </c>
      <c r="AU105" s="77">
        <v>0</v>
      </c>
      <c r="AV105" s="78">
        <v>0</v>
      </c>
    </row>
    <row r="106" spans="1:48" ht="14.25" customHeight="1" x14ac:dyDescent="0.3">
      <c r="A106" s="76" t="s">
        <v>144</v>
      </c>
      <c r="B106" s="76" t="s">
        <v>163</v>
      </c>
      <c r="C106" s="77">
        <v>2</v>
      </c>
      <c r="D106" s="79">
        <v>0.75</v>
      </c>
      <c r="E106" s="77">
        <v>1</v>
      </c>
      <c r="F106" s="77">
        <v>1</v>
      </c>
      <c r="G106" s="77">
        <v>0</v>
      </c>
      <c r="H106" s="78">
        <v>0</v>
      </c>
      <c r="I106" s="76" t="s">
        <v>146</v>
      </c>
      <c r="J106" s="76" t="s">
        <v>163</v>
      </c>
      <c r="K106" s="77">
        <v>0</v>
      </c>
      <c r="L106" s="10" t="s">
        <v>80</v>
      </c>
      <c r="M106" s="77">
        <v>0</v>
      </c>
      <c r="N106" s="77">
        <v>0</v>
      </c>
      <c r="O106" s="77">
        <v>0</v>
      </c>
      <c r="P106" s="77">
        <v>0</v>
      </c>
      <c r="Q106" s="76" t="s">
        <v>87</v>
      </c>
      <c r="R106" s="76" t="s">
        <v>163</v>
      </c>
      <c r="S106" s="77">
        <v>0</v>
      </c>
      <c r="T106" s="10" t="s">
        <v>80</v>
      </c>
      <c r="U106" s="77">
        <v>0</v>
      </c>
      <c r="V106" s="77">
        <v>0</v>
      </c>
      <c r="W106" s="77">
        <v>0</v>
      </c>
      <c r="X106" s="78">
        <v>0</v>
      </c>
      <c r="Y106" s="76" t="s">
        <v>85</v>
      </c>
      <c r="Z106" s="76" t="s">
        <v>163</v>
      </c>
      <c r="AA106" s="77">
        <v>2</v>
      </c>
      <c r="AB106" s="79">
        <v>0.75</v>
      </c>
      <c r="AC106" s="77">
        <v>1</v>
      </c>
      <c r="AD106" s="77">
        <v>1</v>
      </c>
      <c r="AE106" s="77">
        <v>0</v>
      </c>
      <c r="AF106" s="77">
        <v>0</v>
      </c>
      <c r="AG106" s="76" t="s">
        <v>86</v>
      </c>
      <c r="AH106" s="76" t="s">
        <v>163</v>
      </c>
      <c r="AI106" s="77">
        <v>1</v>
      </c>
      <c r="AJ106" s="79">
        <v>0.5</v>
      </c>
      <c r="AK106" s="77">
        <v>0</v>
      </c>
      <c r="AL106" s="77">
        <v>1</v>
      </c>
      <c r="AM106" s="77">
        <v>0</v>
      </c>
      <c r="AN106" s="78">
        <v>0</v>
      </c>
      <c r="AO106" s="76" t="s">
        <v>88</v>
      </c>
      <c r="AP106" s="76" t="s">
        <v>163</v>
      </c>
      <c r="AQ106" s="77">
        <v>0</v>
      </c>
      <c r="AR106" s="10" t="s">
        <v>80</v>
      </c>
      <c r="AS106" s="77">
        <v>0</v>
      </c>
      <c r="AT106" s="77">
        <v>0</v>
      </c>
      <c r="AU106" s="77">
        <v>0</v>
      </c>
      <c r="AV106" s="78">
        <v>0</v>
      </c>
    </row>
    <row r="107" spans="1:48" ht="14.25" customHeight="1" x14ac:dyDescent="0.3">
      <c r="A107" s="76" t="s">
        <v>144</v>
      </c>
      <c r="B107" s="76" t="s">
        <v>164</v>
      </c>
      <c r="C107" s="77">
        <v>0</v>
      </c>
      <c r="D107" s="10" t="s">
        <v>80</v>
      </c>
      <c r="E107" s="77">
        <v>0</v>
      </c>
      <c r="F107" s="77">
        <v>0</v>
      </c>
      <c r="G107" s="77">
        <v>0</v>
      </c>
      <c r="H107" s="78">
        <v>0</v>
      </c>
      <c r="I107" s="76" t="s">
        <v>146</v>
      </c>
      <c r="J107" s="76" t="s">
        <v>164</v>
      </c>
      <c r="K107" s="77">
        <v>0</v>
      </c>
      <c r="L107" s="10" t="s">
        <v>80</v>
      </c>
      <c r="M107" s="77">
        <v>0</v>
      </c>
      <c r="N107" s="77">
        <v>0</v>
      </c>
      <c r="O107" s="77">
        <v>0</v>
      </c>
      <c r="P107" s="77">
        <v>0</v>
      </c>
      <c r="Q107" s="76" t="s">
        <v>87</v>
      </c>
      <c r="R107" s="76" t="s">
        <v>164</v>
      </c>
      <c r="S107" s="77">
        <v>0</v>
      </c>
      <c r="T107" s="10" t="s">
        <v>80</v>
      </c>
      <c r="U107" s="77">
        <v>0</v>
      </c>
      <c r="V107" s="77">
        <v>0</v>
      </c>
      <c r="W107" s="77">
        <v>0</v>
      </c>
      <c r="X107" s="78">
        <v>0</v>
      </c>
      <c r="Y107" s="76" t="s">
        <v>85</v>
      </c>
      <c r="Z107" s="76" t="s">
        <v>164</v>
      </c>
      <c r="AA107" s="77">
        <v>1</v>
      </c>
      <c r="AB107" s="77">
        <v>1</v>
      </c>
      <c r="AC107" s="77">
        <v>1</v>
      </c>
      <c r="AD107" s="77">
        <v>0</v>
      </c>
      <c r="AE107" s="77">
        <v>0</v>
      </c>
      <c r="AF107" s="77">
        <v>0</v>
      </c>
      <c r="AG107" s="76" t="s">
        <v>86</v>
      </c>
      <c r="AH107" s="76" t="s">
        <v>164</v>
      </c>
      <c r="AI107" s="77">
        <v>4</v>
      </c>
      <c r="AJ107" s="79">
        <v>0.125</v>
      </c>
      <c r="AK107" s="77">
        <v>0</v>
      </c>
      <c r="AL107" s="77">
        <v>1</v>
      </c>
      <c r="AM107" s="77">
        <v>0</v>
      </c>
      <c r="AN107" s="78">
        <v>0</v>
      </c>
      <c r="AO107" s="76" t="s">
        <v>88</v>
      </c>
      <c r="AP107" s="76" t="s">
        <v>164</v>
      </c>
      <c r="AQ107" s="77">
        <v>0</v>
      </c>
      <c r="AR107" s="10" t="s">
        <v>80</v>
      </c>
      <c r="AS107" s="77">
        <v>0</v>
      </c>
      <c r="AT107" s="77">
        <v>0</v>
      </c>
      <c r="AU107" s="77">
        <v>0</v>
      </c>
      <c r="AV107" s="78">
        <v>0</v>
      </c>
    </row>
    <row r="108" spans="1:48" ht="14.25" customHeight="1" x14ac:dyDescent="0.3">
      <c r="A108" s="76" t="s">
        <v>144</v>
      </c>
      <c r="B108" s="110" t="s">
        <v>165</v>
      </c>
      <c r="C108" s="92">
        <v>4</v>
      </c>
      <c r="D108" s="113">
        <v>0.375</v>
      </c>
      <c r="E108" s="92">
        <v>0</v>
      </c>
      <c r="F108" s="92">
        <v>3</v>
      </c>
      <c r="G108" s="92">
        <v>0</v>
      </c>
      <c r="H108" s="112">
        <v>0</v>
      </c>
      <c r="I108" s="76" t="s">
        <v>146</v>
      </c>
      <c r="J108" s="110" t="s">
        <v>165</v>
      </c>
      <c r="K108" s="92">
        <v>0</v>
      </c>
      <c r="L108" s="91" t="s">
        <v>80</v>
      </c>
      <c r="M108" s="92">
        <v>0</v>
      </c>
      <c r="N108" s="92">
        <v>0</v>
      </c>
      <c r="O108" s="92">
        <v>0</v>
      </c>
      <c r="P108" s="92">
        <v>0</v>
      </c>
      <c r="Q108" s="76" t="s">
        <v>87</v>
      </c>
      <c r="R108" s="110" t="s">
        <v>165</v>
      </c>
      <c r="S108" s="92">
        <v>0</v>
      </c>
      <c r="T108" s="91" t="s">
        <v>80</v>
      </c>
      <c r="U108" s="92">
        <v>0</v>
      </c>
      <c r="V108" s="92">
        <v>0</v>
      </c>
      <c r="W108" s="92">
        <v>0</v>
      </c>
      <c r="X108" s="112">
        <v>0</v>
      </c>
      <c r="Y108" s="76" t="s">
        <v>85</v>
      </c>
      <c r="Z108" s="110" t="s">
        <v>165</v>
      </c>
      <c r="AA108" s="92">
        <v>6</v>
      </c>
      <c r="AB108" s="113">
        <v>0.75</v>
      </c>
      <c r="AC108" s="92">
        <v>4</v>
      </c>
      <c r="AD108" s="92">
        <v>1</v>
      </c>
      <c r="AE108" s="92">
        <v>0</v>
      </c>
      <c r="AF108" s="92">
        <v>0</v>
      </c>
      <c r="AG108" s="76" t="s">
        <v>86</v>
      </c>
      <c r="AH108" s="110" t="s">
        <v>165</v>
      </c>
      <c r="AI108" s="92">
        <v>8</v>
      </c>
      <c r="AJ108" s="113">
        <v>0.3125</v>
      </c>
      <c r="AK108" s="92">
        <v>1</v>
      </c>
      <c r="AL108" s="92">
        <v>4</v>
      </c>
      <c r="AM108" s="92">
        <v>1</v>
      </c>
      <c r="AN108" s="112">
        <v>0</v>
      </c>
      <c r="AO108" s="76" t="s">
        <v>88</v>
      </c>
      <c r="AP108" s="110" t="s">
        <v>165</v>
      </c>
      <c r="AQ108" s="92">
        <v>0</v>
      </c>
      <c r="AR108" s="91" t="s">
        <v>80</v>
      </c>
      <c r="AS108" s="92">
        <v>0</v>
      </c>
      <c r="AT108" s="92">
        <v>0</v>
      </c>
      <c r="AU108" s="92">
        <v>0</v>
      </c>
      <c r="AV108" s="112">
        <v>0</v>
      </c>
    </row>
    <row r="109" spans="1:48" ht="14.25" customHeight="1" x14ac:dyDescent="0.3">
      <c r="A109" s="76" t="s">
        <v>144</v>
      </c>
      <c r="B109" s="76" t="s">
        <v>166</v>
      </c>
      <c r="C109" s="77">
        <v>1</v>
      </c>
      <c r="D109" s="77">
        <v>0</v>
      </c>
      <c r="E109" s="77">
        <v>0</v>
      </c>
      <c r="F109" s="77">
        <v>1</v>
      </c>
      <c r="G109" s="77">
        <v>0</v>
      </c>
      <c r="H109" s="78">
        <v>0</v>
      </c>
      <c r="I109" s="76" t="s">
        <v>146</v>
      </c>
      <c r="J109" s="76" t="s">
        <v>166</v>
      </c>
      <c r="K109" s="77">
        <v>0</v>
      </c>
      <c r="L109" s="10" t="s">
        <v>80</v>
      </c>
      <c r="M109" s="77">
        <v>0</v>
      </c>
      <c r="N109" s="77">
        <v>0</v>
      </c>
      <c r="O109" s="77">
        <v>0</v>
      </c>
      <c r="P109" s="77">
        <v>0</v>
      </c>
      <c r="Q109" s="76" t="s">
        <v>87</v>
      </c>
      <c r="R109" s="76" t="s">
        <v>166</v>
      </c>
      <c r="S109" s="77">
        <v>0</v>
      </c>
      <c r="T109" s="10" t="s">
        <v>80</v>
      </c>
      <c r="U109" s="77">
        <v>0</v>
      </c>
      <c r="V109" s="77">
        <v>0</v>
      </c>
      <c r="W109" s="77">
        <v>0</v>
      </c>
      <c r="X109" s="78">
        <v>0</v>
      </c>
      <c r="Y109" s="76" t="s">
        <v>85</v>
      </c>
      <c r="Z109" s="76" t="s">
        <v>166</v>
      </c>
      <c r="AA109" s="77">
        <v>0</v>
      </c>
      <c r="AB109" s="10" t="s">
        <v>80</v>
      </c>
      <c r="AC109" s="77">
        <v>0</v>
      </c>
      <c r="AD109" s="77">
        <v>0</v>
      </c>
      <c r="AE109" s="77">
        <v>0</v>
      </c>
      <c r="AF109" s="77">
        <v>0</v>
      </c>
      <c r="AG109" s="76" t="s">
        <v>86</v>
      </c>
      <c r="AH109" s="76" t="s">
        <v>166</v>
      </c>
      <c r="AI109" s="77">
        <v>1</v>
      </c>
      <c r="AJ109" s="77">
        <v>0</v>
      </c>
      <c r="AK109" s="77">
        <v>0</v>
      </c>
      <c r="AL109" s="77">
        <v>1</v>
      </c>
      <c r="AM109" s="77">
        <v>0</v>
      </c>
      <c r="AN109" s="78">
        <v>0</v>
      </c>
      <c r="AO109" s="76" t="s">
        <v>88</v>
      </c>
      <c r="AP109" s="76" t="s">
        <v>166</v>
      </c>
      <c r="AQ109" s="77">
        <v>0</v>
      </c>
      <c r="AR109" s="10" t="s">
        <v>80</v>
      </c>
      <c r="AS109" s="77">
        <v>0</v>
      </c>
      <c r="AT109" s="77">
        <v>0</v>
      </c>
      <c r="AU109" s="77">
        <v>0</v>
      </c>
      <c r="AV109" s="78">
        <v>0</v>
      </c>
    </row>
    <row r="110" spans="1:48" ht="14.25" customHeight="1" x14ac:dyDescent="0.3">
      <c r="A110" s="76" t="s">
        <v>144</v>
      </c>
      <c r="B110" s="76" t="s">
        <v>167</v>
      </c>
      <c r="C110" s="77">
        <v>3</v>
      </c>
      <c r="D110" s="79">
        <v>0.33329999999999999</v>
      </c>
      <c r="E110" s="77">
        <v>0</v>
      </c>
      <c r="F110" s="77">
        <v>2</v>
      </c>
      <c r="G110" s="77">
        <v>0</v>
      </c>
      <c r="H110" s="78">
        <v>0</v>
      </c>
      <c r="I110" s="76" t="s">
        <v>146</v>
      </c>
      <c r="J110" s="76" t="s">
        <v>167</v>
      </c>
      <c r="K110" s="77">
        <v>0</v>
      </c>
      <c r="L110" s="10" t="s">
        <v>80</v>
      </c>
      <c r="M110" s="77">
        <v>0</v>
      </c>
      <c r="N110" s="77">
        <v>0</v>
      </c>
      <c r="O110" s="77">
        <v>0</v>
      </c>
      <c r="P110" s="77">
        <v>0</v>
      </c>
      <c r="Q110" s="76" t="s">
        <v>87</v>
      </c>
      <c r="R110" s="76" t="s">
        <v>167</v>
      </c>
      <c r="S110" s="77">
        <v>0</v>
      </c>
      <c r="T110" s="10" t="s">
        <v>80</v>
      </c>
      <c r="U110" s="77">
        <v>0</v>
      </c>
      <c r="V110" s="77">
        <v>0</v>
      </c>
      <c r="W110" s="77">
        <v>0</v>
      </c>
      <c r="X110" s="78">
        <v>0</v>
      </c>
      <c r="Y110" s="76" t="s">
        <v>85</v>
      </c>
      <c r="Z110" s="76" t="s">
        <v>167</v>
      </c>
      <c r="AA110" s="77">
        <v>0</v>
      </c>
      <c r="AB110" s="10" t="s">
        <v>80</v>
      </c>
      <c r="AC110" s="77">
        <v>0</v>
      </c>
      <c r="AD110" s="77">
        <v>0</v>
      </c>
      <c r="AE110" s="77">
        <v>0</v>
      </c>
      <c r="AF110" s="77">
        <v>0</v>
      </c>
      <c r="AG110" s="76" t="s">
        <v>86</v>
      </c>
      <c r="AH110" s="76" t="s">
        <v>167</v>
      </c>
      <c r="AI110" s="77">
        <v>6</v>
      </c>
      <c r="AJ110" s="79">
        <v>0.33329999999999999</v>
      </c>
      <c r="AK110" s="77">
        <v>1</v>
      </c>
      <c r="AL110" s="77">
        <v>3</v>
      </c>
      <c r="AM110" s="77">
        <v>1</v>
      </c>
      <c r="AN110" s="78">
        <v>0</v>
      </c>
      <c r="AO110" s="76" t="s">
        <v>88</v>
      </c>
      <c r="AP110" s="76" t="s">
        <v>167</v>
      </c>
      <c r="AQ110" s="77">
        <v>0</v>
      </c>
      <c r="AR110" s="10" t="s">
        <v>80</v>
      </c>
      <c r="AS110" s="77">
        <v>0</v>
      </c>
      <c r="AT110" s="77">
        <v>0</v>
      </c>
      <c r="AU110" s="77">
        <v>0</v>
      </c>
      <c r="AV110" s="78">
        <v>0</v>
      </c>
    </row>
    <row r="111" spans="1:48" ht="14.25" customHeight="1" x14ac:dyDescent="0.3">
      <c r="A111" s="76" t="s">
        <v>144</v>
      </c>
      <c r="B111" s="81" t="s">
        <v>168</v>
      </c>
      <c r="C111" s="83">
        <v>0</v>
      </c>
      <c r="D111" s="82" t="s">
        <v>80</v>
      </c>
      <c r="E111" s="83">
        <v>0</v>
      </c>
      <c r="F111" s="83">
        <v>0</v>
      </c>
      <c r="G111" s="83">
        <v>0</v>
      </c>
      <c r="H111" s="114">
        <v>0</v>
      </c>
      <c r="I111" s="76" t="s">
        <v>146</v>
      </c>
      <c r="J111" s="81" t="s">
        <v>168</v>
      </c>
      <c r="K111" s="83">
        <v>0</v>
      </c>
      <c r="L111" s="82" t="s">
        <v>80</v>
      </c>
      <c r="M111" s="83">
        <v>0</v>
      </c>
      <c r="N111" s="83">
        <v>0</v>
      </c>
      <c r="O111" s="83">
        <v>0</v>
      </c>
      <c r="P111" s="83">
        <v>0</v>
      </c>
      <c r="Q111" s="76" t="s">
        <v>87</v>
      </c>
      <c r="R111" s="81" t="s">
        <v>168</v>
      </c>
      <c r="S111" s="83">
        <v>0</v>
      </c>
      <c r="T111" s="82" t="s">
        <v>80</v>
      </c>
      <c r="U111" s="83">
        <v>0</v>
      </c>
      <c r="V111" s="83">
        <v>0</v>
      </c>
      <c r="W111" s="83">
        <v>0</v>
      </c>
      <c r="X111" s="114">
        <v>0</v>
      </c>
      <c r="Y111" s="76" t="s">
        <v>85</v>
      </c>
      <c r="Z111" s="81" t="s">
        <v>168</v>
      </c>
      <c r="AA111" s="83">
        <v>6</v>
      </c>
      <c r="AB111" s="115">
        <v>0.66669999999999996</v>
      </c>
      <c r="AC111" s="83">
        <v>4</v>
      </c>
      <c r="AD111" s="83">
        <v>1</v>
      </c>
      <c r="AE111" s="83">
        <v>0</v>
      </c>
      <c r="AF111" s="83">
        <v>0</v>
      </c>
      <c r="AG111" s="76" t="s">
        <v>86</v>
      </c>
      <c r="AH111" s="81" t="s">
        <v>168</v>
      </c>
      <c r="AI111" s="83">
        <v>1</v>
      </c>
      <c r="AJ111" s="83">
        <v>0</v>
      </c>
      <c r="AK111" s="83">
        <v>0</v>
      </c>
      <c r="AL111" s="83">
        <v>0</v>
      </c>
      <c r="AM111" s="83">
        <v>0</v>
      </c>
      <c r="AN111" s="114">
        <v>0</v>
      </c>
      <c r="AO111" s="76" t="s">
        <v>88</v>
      </c>
      <c r="AP111" s="81" t="s">
        <v>168</v>
      </c>
      <c r="AQ111" s="83">
        <v>0</v>
      </c>
      <c r="AR111" s="82" t="s">
        <v>80</v>
      </c>
      <c r="AS111" s="83">
        <v>0</v>
      </c>
      <c r="AT111" s="83">
        <v>0</v>
      </c>
      <c r="AU111" s="83">
        <v>0</v>
      </c>
      <c r="AV111" s="114">
        <v>0</v>
      </c>
    </row>
    <row r="112" spans="1:48" ht="14.25" customHeight="1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</row>
    <row r="113" spans="1:55" ht="14.25" customHeight="1" x14ac:dyDescent="0.3">
      <c r="A113" s="26"/>
      <c r="B113" s="103" t="s">
        <v>169</v>
      </c>
      <c r="C113" s="104" t="s">
        <v>102</v>
      </c>
      <c r="D113" s="104" t="s">
        <v>143</v>
      </c>
      <c r="E113" s="104" t="s">
        <v>26</v>
      </c>
      <c r="F113" s="104" t="s">
        <v>103</v>
      </c>
      <c r="G113" s="104" t="s">
        <v>104</v>
      </c>
      <c r="H113" s="104" t="s">
        <v>105</v>
      </c>
      <c r="I113" s="26"/>
      <c r="J113" s="103" t="s">
        <v>169</v>
      </c>
      <c r="K113" s="104" t="s">
        <v>102</v>
      </c>
      <c r="L113" s="104" t="s">
        <v>143</v>
      </c>
      <c r="M113" s="104" t="s">
        <v>26</v>
      </c>
      <c r="N113" s="104" t="s">
        <v>103</v>
      </c>
      <c r="O113" s="104" t="s">
        <v>104</v>
      </c>
      <c r="P113" s="104" t="s">
        <v>105</v>
      </c>
      <c r="Q113" s="26"/>
      <c r="R113" s="103" t="s">
        <v>169</v>
      </c>
      <c r="S113" s="104" t="s">
        <v>102</v>
      </c>
      <c r="T113" s="104" t="s">
        <v>143</v>
      </c>
      <c r="U113" s="104" t="s">
        <v>26</v>
      </c>
      <c r="V113" s="104" t="s">
        <v>103</v>
      </c>
      <c r="W113" s="104" t="s">
        <v>104</v>
      </c>
      <c r="X113" s="105" t="s">
        <v>105</v>
      </c>
      <c r="Y113" s="26"/>
      <c r="Z113" s="103" t="s">
        <v>169</v>
      </c>
      <c r="AA113" s="104" t="s">
        <v>102</v>
      </c>
      <c r="AB113" s="104" t="s">
        <v>143</v>
      </c>
      <c r="AC113" s="104" t="s">
        <v>26</v>
      </c>
      <c r="AD113" s="104" t="s">
        <v>103</v>
      </c>
      <c r="AE113" s="104" t="s">
        <v>104</v>
      </c>
      <c r="AF113" s="104" t="s">
        <v>105</v>
      </c>
      <c r="AG113" s="26"/>
      <c r="AH113" s="103" t="s">
        <v>169</v>
      </c>
      <c r="AI113" s="104" t="s">
        <v>102</v>
      </c>
      <c r="AJ113" s="104" t="s">
        <v>143</v>
      </c>
      <c r="AK113" s="104" t="s">
        <v>26</v>
      </c>
      <c r="AL113" s="104" t="s">
        <v>103</v>
      </c>
      <c r="AM113" s="104" t="s">
        <v>104</v>
      </c>
      <c r="AN113" s="105" t="s">
        <v>105</v>
      </c>
      <c r="AO113" s="26"/>
      <c r="AP113" s="103" t="s">
        <v>169</v>
      </c>
      <c r="AQ113" s="104" t="s">
        <v>102</v>
      </c>
      <c r="AR113" s="104" t="s">
        <v>143</v>
      </c>
      <c r="AS113" s="104" t="s">
        <v>26</v>
      </c>
      <c r="AT113" s="104" t="s">
        <v>103</v>
      </c>
      <c r="AU113" s="104" t="s">
        <v>104</v>
      </c>
      <c r="AV113" s="105" t="s">
        <v>105</v>
      </c>
    </row>
    <row r="114" spans="1:55" ht="14.25" customHeight="1" x14ac:dyDescent="0.3">
      <c r="A114" s="76" t="s">
        <v>144</v>
      </c>
      <c r="B114" s="110" t="s">
        <v>170</v>
      </c>
      <c r="C114" s="92">
        <v>0</v>
      </c>
      <c r="D114" s="108" t="s">
        <v>80</v>
      </c>
      <c r="E114" s="92">
        <v>0</v>
      </c>
      <c r="F114" s="92">
        <v>0</v>
      </c>
      <c r="G114" s="92">
        <v>0</v>
      </c>
      <c r="H114" s="92">
        <v>0</v>
      </c>
      <c r="I114" s="76" t="s">
        <v>146</v>
      </c>
      <c r="J114" s="110" t="s">
        <v>170</v>
      </c>
      <c r="K114" s="92">
        <v>0</v>
      </c>
      <c r="L114" s="108" t="s">
        <v>80</v>
      </c>
      <c r="M114" s="92">
        <v>0</v>
      </c>
      <c r="N114" s="92">
        <v>0</v>
      </c>
      <c r="O114" s="92">
        <v>0</v>
      </c>
      <c r="P114" s="92">
        <v>0</v>
      </c>
      <c r="Q114" s="76" t="s">
        <v>87</v>
      </c>
      <c r="R114" s="110" t="s">
        <v>170</v>
      </c>
      <c r="S114" s="92">
        <v>0</v>
      </c>
      <c r="T114" s="108" t="s">
        <v>80</v>
      </c>
      <c r="U114" s="92">
        <v>0</v>
      </c>
      <c r="V114" s="92">
        <v>0</v>
      </c>
      <c r="W114" s="92">
        <v>0</v>
      </c>
      <c r="X114" s="112">
        <v>0</v>
      </c>
      <c r="Y114" s="76" t="s">
        <v>85</v>
      </c>
      <c r="Z114" s="110" t="s">
        <v>170</v>
      </c>
      <c r="AA114" s="92">
        <v>0</v>
      </c>
      <c r="AB114" s="108" t="s">
        <v>80</v>
      </c>
      <c r="AC114" s="92">
        <v>0</v>
      </c>
      <c r="AD114" s="92">
        <v>0</v>
      </c>
      <c r="AE114" s="92">
        <v>0</v>
      </c>
      <c r="AF114" s="92">
        <v>0</v>
      </c>
      <c r="AG114" s="76" t="s">
        <v>86</v>
      </c>
      <c r="AH114" s="110" t="s">
        <v>170</v>
      </c>
      <c r="AI114" s="92">
        <v>0</v>
      </c>
      <c r="AJ114" s="108" t="s">
        <v>80</v>
      </c>
      <c r="AK114" s="92">
        <v>0</v>
      </c>
      <c r="AL114" s="92">
        <v>0</v>
      </c>
      <c r="AM114" s="92">
        <v>0</v>
      </c>
      <c r="AN114" s="112">
        <v>0</v>
      </c>
      <c r="AO114" s="76" t="s">
        <v>88</v>
      </c>
      <c r="AP114" s="110" t="s">
        <v>170</v>
      </c>
      <c r="AQ114" s="92">
        <v>0</v>
      </c>
      <c r="AR114" s="108" t="s">
        <v>80</v>
      </c>
      <c r="AS114" s="92">
        <v>0</v>
      </c>
      <c r="AT114" s="92">
        <v>0</v>
      </c>
      <c r="AU114" s="92">
        <v>0</v>
      </c>
      <c r="AV114" s="112">
        <v>0</v>
      </c>
    </row>
    <row r="115" spans="1:55" ht="14.25" customHeight="1" x14ac:dyDescent="0.3">
      <c r="A115" s="76" t="s">
        <v>144</v>
      </c>
      <c r="B115" s="76" t="s">
        <v>171</v>
      </c>
      <c r="C115" s="77">
        <v>0</v>
      </c>
      <c r="D115" s="10" t="s">
        <v>80</v>
      </c>
      <c r="E115" s="77">
        <v>0</v>
      </c>
      <c r="F115" s="77">
        <v>0</v>
      </c>
      <c r="G115" s="77">
        <v>0</v>
      </c>
      <c r="H115" s="77">
        <v>0</v>
      </c>
      <c r="I115" s="76" t="s">
        <v>146</v>
      </c>
      <c r="J115" s="76" t="s">
        <v>171</v>
      </c>
      <c r="K115" s="77">
        <v>0</v>
      </c>
      <c r="L115" s="10" t="s">
        <v>80</v>
      </c>
      <c r="M115" s="77">
        <v>0</v>
      </c>
      <c r="N115" s="77">
        <v>0</v>
      </c>
      <c r="O115" s="77">
        <v>0</v>
      </c>
      <c r="P115" s="77">
        <v>0</v>
      </c>
      <c r="Q115" s="76" t="s">
        <v>87</v>
      </c>
      <c r="R115" s="76" t="s">
        <v>171</v>
      </c>
      <c r="S115" s="77">
        <v>0</v>
      </c>
      <c r="T115" s="10" t="s">
        <v>80</v>
      </c>
      <c r="U115" s="77">
        <v>0</v>
      </c>
      <c r="V115" s="77">
        <v>0</v>
      </c>
      <c r="W115" s="77">
        <v>0</v>
      </c>
      <c r="X115" s="78">
        <v>0</v>
      </c>
      <c r="Y115" s="76" t="s">
        <v>85</v>
      </c>
      <c r="Z115" s="76" t="s">
        <v>171</v>
      </c>
      <c r="AA115" s="77">
        <v>0</v>
      </c>
      <c r="AB115" s="10" t="s">
        <v>80</v>
      </c>
      <c r="AC115" s="77">
        <v>0</v>
      </c>
      <c r="AD115" s="77">
        <v>0</v>
      </c>
      <c r="AE115" s="77">
        <v>0</v>
      </c>
      <c r="AF115" s="77">
        <v>0</v>
      </c>
      <c r="AG115" s="76" t="s">
        <v>86</v>
      </c>
      <c r="AH115" s="76" t="s">
        <v>171</v>
      </c>
      <c r="AI115" s="77">
        <v>0</v>
      </c>
      <c r="AJ115" s="10" t="s">
        <v>80</v>
      </c>
      <c r="AK115" s="77">
        <v>0</v>
      </c>
      <c r="AL115" s="77">
        <v>0</v>
      </c>
      <c r="AM115" s="77">
        <v>0</v>
      </c>
      <c r="AN115" s="78">
        <v>0</v>
      </c>
      <c r="AO115" s="76" t="s">
        <v>88</v>
      </c>
      <c r="AP115" s="76" t="s">
        <v>171</v>
      </c>
      <c r="AQ115" s="77">
        <v>0</v>
      </c>
      <c r="AR115" s="10" t="s">
        <v>80</v>
      </c>
      <c r="AS115" s="77">
        <v>0</v>
      </c>
      <c r="AT115" s="77">
        <v>0</v>
      </c>
      <c r="AU115" s="77">
        <v>0</v>
      </c>
      <c r="AV115" s="78">
        <v>0</v>
      </c>
    </row>
    <row r="116" spans="1:55" ht="14.25" customHeight="1" x14ac:dyDescent="0.3">
      <c r="A116" s="76" t="s">
        <v>144</v>
      </c>
      <c r="B116" s="76" t="s">
        <v>172</v>
      </c>
      <c r="C116" s="77">
        <v>0</v>
      </c>
      <c r="D116" s="10" t="s">
        <v>80</v>
      </c>
      <c r="E116" s="77">
        <v>0</v>
      </c>
      <c r="F116" s="77">
        <v>0</v>
      </c>
      <c r="G116" s="77">
        <v>0</v>
      </c>
      <c r="H116" s="77">
        <v>0</v>
      </c>
      <c r="I116" s="76" t="s">
        <v>146</v>
      </c>
      <c r="J116" s="76" t="s">
        <v>172</v>
      </c>
      <c r="K116" s="77">
        <v>0</v>
      </c>
      <c r="L116" s="10" t="s">
        <v>80</v>
      </c>
      <c r="M116" s="77">
        <v>0</v>
      </c>
      <c r="N116" s="77">
        <v>0</v>
      </c>
      <c r="O116" s="77">
        <v>0</v>
      </c>
      <c r="P116" s="77">
        <v>0</v>
      </c>
      <c r="Q116" s="76" t="s">
        <v>87</v>
      </c>
      <c r="R116" s="76" t="s">
        <v>172</v>
      </c>
      <c r="S116" s="77">
        <v>0</v>
      </c>
      <c r="T116" s="10" t="s">
        <v>80</v>
      </c>
      <c r="U116" s="77">
        <v>0</v>
      </c>
      <c r="V116" s="77">
        <v>0</v>
      </c>
      <c r="W116" s="77">
        <v>0</v>
      </c>
      <c r="X116" s="78">
        <v>0</v>
      </c>
      <c r="Y116" s="76" t="s">
        <v>85</v>
      </c>
      <c r="Z116" s="76" t="s">
        <v>172</v>
      </c>
      <c r="AA116" s="77">
        <v>0</v>
      </c>
      <c r="AB116" s="10" t="s">
        <v>80</v>
      </c>
      <c r="AC116" s="77">
        <v>0</v>
      </c>
      <c r="AD116" s="77">
        <v>0</v>
      </c>
      <c r="AE116" s="77">
        <v>0</v>
      </c>
      <c r="AF116" s="77">
        <v>0</v>
      </c>
      <c r="AG116" s="76" t="s">
        <v>86</v>
      </c>
      <c r="AH116" s="76" t="s">
        <v>172</v>
      </c>
      <c r="AI116" s="77">
        <v>0</v>
      </c>
      <c r="AJ116" s="10" t="s">
        <v>80</v>
      </c>
      <c r="AK116" s="77">
        <v>0</v>
      </c>
      <c r="AL116" s="77">
        <v>0</v>
      </c>
      <c r="AM116" s="77">
        <v>0</v>
      </c>
      <c r="AN116" s="78">
        <v>0</v>
      </c>
      <c r="AO116" s="76" t="s">
        <v>88</v>
      </c>
      <c r="AP116" s="76" t="s">
        <v>172</v>
      </c>
      <c r="AQ116" s="77">
        <v>0</v>
      </c>
      <c r="AR116" s="10" t="s">
        <v>80</v>
      </c>
      <c r="AS116" s="77">
        <v>0</v>
      </c>
      <c r="AT116" s="77">
        <v>0</v>
      </c>
      <c r="AU116" s="77">
        <v>0</v>
      </c>
      <c r="AV116" s="78">
        <v>0</v>
      </c>
    </row>
    <row r="117" spans="1:55" ht="14.25" customHeight="1" x14ac:dyDescent="0.3">
      <c r="A117" s="76" t="s">
        <v>144</v>
      </c>
      <c r="B117" s="76" t="s">
        <v>173</v>
      </c>
      <c r="C117" s="77">
        <v>0</v>
      </c>
      <c r="D117" s="10" t="s">
        <v>80</v>
      </c>
      <c r="E117" s="77">
        <v>0</v>
      </c>
      <c r="F117" s="77">
        <v>0</v>
      </c>
      <c r="G117" s="77">
        <v>0</v>
      </c>
      <c r="H117" s="77">
        <v>0</v>
      </c>
      <c r="I117" s="76" t="s">
        <v>146</v>
      </c>
      <c r="J117" s="76" t="s">
        <v>173</v>
      </c>
      <c r="K117" s="77">
        <v>0</v>
      </c>
      <c r="L117" s="10" t="s">
        <v>80</v>
      </c>
      <c r="M117" s="77">
        <v>0</v>
      </c>
      <c r="N117" s="77">
        <v>0</v>
      </c>
      <c r="O117" s="77">
        <v>0</v>
      </c>
      <c r="P117" s="77">
        <v>0</v>
      </c>
      <c r="Q117" s="76" t="s">
        <v>87</v>
      </c>
      <c r="R117" s="76" t="s">
        <v>173</v>
      </c>
      <c r="S117" s="77">
        <v>0</v>
      </c>
      <c r="T117" s="10" t="s">
        <v>80</v>
      </c>
      <c r="U117" s="77">
        <v>0</v>
      </c>
      <c r="V117" s="77">
        <v>0</v>
      </c>
      <c r="W117" s="77">
        <v>0</v>
      </c>
      <c r="X117" s="78">
        <v>0</v>
      </c>
      <c r="Y117" s="76" t="s">
        <v>85</v>
      </c>
      <c r="Z117" s="76" t="s">
        <v>173</v>
      </c>
      <c r="AA117" s="77">
        <v>0</v>
      </c>
      <c r="AB117" s="10" t="s">
        <v>80</v>
      </c>
      <c r="AC117" s="77">
        <v>0</v>
      </c>
      <c r="AD117" s="77">
        <v>0</v>
      </c>
      <c r="AE117" s="77">
        <v>0</v>
      </c>
      <c r="AF117" s="77">
        <v>0</v>
      </c>
      <c r="AG117" s="76" t="s">
        <v>86</v>
      </c>
      <c r="AH117" s="76" t="s">
        <v>173</v>
      </c>
      <c r="AI117" s="77">
        <v>0</v>
      </c>
      <c r="AJ117" s="10" t="s">
        <v>80</v>
      </c>
      <c r="AK117" s="77">
        <v>0</v>
      </c>
      <c r="AL117" s="77">
        <v>0</v>
      </c>
      <c r="AM117" s="77">
        <v>0</v>
      </c>
      <c r="AN117" s="78">
        <v>0</v>
      </c>
      <c r="AO117" s="76" t="s">
        <v>88</v>
      </c>
      <c r="AP117" s="76" t="s">
        <v>173</v>
      </c>
      <c r="AQ117" s="77">
        <v>0</v>
      </c>
      <c r="AR117" s="10" t="s">
        <v>80</v>
      </c>
      <c r="AS117" s="77">
        <v>0</v>
      </c>
      <c r="AT117" s="77">
        <v>0</v>
      </c>
      <c r="AU117" s="77">
        <v>0</v>
      </c>
      <c r="AV117" s="78">
        <v>0</v>
      </c>
    </row>
    <row r="118" spans="1:55" ht="14.25" customHeight="1" x14ac:dyDescent="0.3">
      <c r="A118" s="76" t="s">
        <v>144</v>
      </c>
      <c r="B118" s="110" t="s">
        <v>174</v>
      </c>
      <c r="C118" s="92">
        <v>5</v>
      </c>
      <c r="D118" s="113">
        <v>0.1</v>
      </c>
      <c r="E118" s="92">
        <v>1</v>
      </c>
      <c r="F118" s="92">
        <v>0</v>
      </c>
      <c r="G118" s="92">
        <v>0</v>
      </c>
      <c r="H118" s="92">
        <v>1</v>
      </c>
      <c r="I118" s="76" t="s">
        <v>146</v>
      </c>
      <c r="J118" s="110" t="s">
        <v>174</v>
      </c>
      <c r="K118" s="92">
        <v>0</v>
      </c>
      <c r="L118" s="91" t="s">
        <v>80</v>
      </c>
      <c r="M118" s="92">
        <v>0</v>
      </c>
      <c r="N118" s="92">
        <v>0</v>
      </c>
      <c r="O118" s="92">
        <v>0</v>
      </c>
      <c r="P118" s="92">
        <v>0</v>
      </c>
      <c r="Q118" s="76" t="s">
        <v>87</v>
      </c>
      <c r="R118" s="110" t="s">
        <v>174</v>
      </c>
      <c r="S118" s="92">
        <v>1</v>
      </c>
      <c r="T118" s="113">
        <v>1.5</v>
      </c>
      <c r="U118" s="92">
        <v>1</v>
      </c>
      <c r="V118" s="92">
        <v>0</v>
      </c>
      <c r="W118" s="92">
        <v>0</v>
      </c>
      <c r="X118" s="112">
        <v>0</v>
      </c>
      <c r="Y118" s="76" t="s">
        <v>85</v>
      </c>
      <c r="Z118" s="110" t="s">
        <v>174</v>
      </c>
      <c r="AA118" s="92">
        <v>7</v>
      </c>
      <c r="AB118" s="113">
        <v>0.28570000000000001</v>
      </c>
      <c r="AC118" s="92">
        <v>2</v>
      </c>
      <c r="AD118" s="92">
        <v>1</v>
      </c>
      <c r="AE118" s="92">
        <v>0</v>
      </c>
      <c r="AF118" s="92">
        <v>1</v>
      </c>
      <c r="AG118" s="76" t="s">
        <v>86</v>
      </c>
      <c r="AH118" s="110" t="s">
        <v>174</v>
      </c>
      <c r="AI118" s="92">
        <v>2</v>
      </c>
      <c r="AJ118" s="92">
        <v>0</v>
      </c>
      <c r="AK118" s="92">
        <v>0</v>
      </c>
      <c r="AL118" s="92">
        <v>0</v>
      </c>
      <c r="AM118" s="92">
        <v>0</v>
      </c>
      <c r="AN118" s="112">
        <v>0</v>
      </c>
      <c r="AO118" s="76" t="s">
        <v>88</v>
      </c>
      <c r="AP118" s="110" t="s">
        <v>174</v>
      </c>
      <c r="AQ118" s="92">
        <v>0</v>
      </c>
      <c r="AR118" s="91" t="s">
        <v>80</v>
      </c>
      <c r="AS118" s="92">
        <v>0</v>
      </c>
      <c r="AT118" s="92">
        <v>0</v>
      </c>
      <c r="AU118" s="92">
        <v>0</v>
      </c>
      <c r="AV118" s="112">
        <v>0</v>
      </c>
    </row>
    <row r="119" spans="1:55" ht="14.25" customHeight="1" x14ac:dyDescent="0.3">
      <c r="A119" s="76" t="s">
        <v>144</v>
      </c>
      <c r="B119" s="76" t="s">
        <v>175</v>
      </c>
      <c r="C119" s="77">
        <v>3</v>
      </c>
      <c r="D119" s="79">
        <v>-0.33329999999999999</v>
      </c>
      <c r="E119" s="77">
        <v>0</v>
      </c>
      <c r="F119" s="77">
        <v>0</v>
      </c>
      <c r="G119" s="77">
        <v>0</v>
      </c>
      <c r="H119" s="77">
        <v>1</v>
      </c>
      <c r="I119" s="76" t="s">
        <v>146</v>
      </c>
      <c r="J119" s="76" t="s">
        <v>175</v>
      </c>
      <c r="K119" s="77">
        <v>0</v>
      </c>
      <c r="L119" s="10" t="s">
        <v>80</v>
      </c>
      <c r="M119" s="77">
        <v>0</v>
      </c>
      <c r="N119" s="77">
        <v>0</v>
      </c>
      <c r="O119" s="77">
        <v>0</v>
      </c>
      <c r="P119" s="77">
        <v>0</v>
      </c>
      <c r="Q119" s="76" t="s">
        <v>87</v>
      </c>
      <c r="R119" s="76" t="s">
        <v>175</v>
      </c>
      <c r="S119" s="77">
        <v>0</v>
      </c>
      <c r="T119" s="10" t="s">
        <v>80</v>
      </c>
      <c r="U119" s="77">
        <v>0</v>
      </c>
      <c r="V119" s="77">
        <v>0</v>
      </c>
      <c r="W119" s="77">
        <v>0</v>
      </c>
      <c r="X119" s="78">
        <v>0</v>
      </c>
      <c r="Y119" s="76" t="s">
        <v>85</v>
      </c>
      <c r="Z119" s="76" t="s">
        <v>175</v>
      </c>
      <c r="AA119" s="77">
        <v>0</v>
      </c>
      <c r="AB119" s="10" t="s">
        <v>80</v>
      </c>
      <c r="AC119" s="77">
        <v>0</v>
      </c>
      <c r="AD119" s="77">
        <v>0</v>
      </c>
      <c r="AE119" s="77">
        <v>0</v>
      </c>
      <c r="AF119" s="77">
        <v>0</v>
      </c>
      <c r="AG119" s="76" t="s">
        <v>86</v>
      </c>
      <c r="AH119" s="76" t="s">
        <v>175</v>
      </c>
      <c r="AI119" s="77">
        <v>0</v>
      </c>
      <c r="AJ119" s="10" t="s">
        <v>80</v>
      </c>
      <c r="AK119" s="77">
        <v>0</v>
      </c>
      <c r="AL119" s="77">
        <v>0</v>
      </c>
      <c r="AM119" s="77">
        <v>0</v>
      </c>
      <c r="AN119" s="78">
        <v>0</v>
      </c>
      <c r="AO119" s="76" t="s">
        <v>88</v>
      </c>
      <c r="AP119" s="76" t="s">
        <v>175</v>
      </c>
      <c r="AQ119" s="77">
        <v>0</v>
      </c>
      <c r="AR119" s="10" t="s">
        <v>80</v>
      </c>
      <c r="AS119" s="77">
        <v>0</v>
      </c>
      <c r="AT119" s="77">
        <v>0</v>
      </c>
      <c r="AU119" s="77">
        <v>0</v>
      </c>
      <c r="AV119" s="78">
        <v>0</v>
      </c>
    </row>
    <row r="120" spans="1:55" ht="14.25" customHeight="1" x14ac:dyDescent="0.3">
      <c r="A120" s="76" t="s">
        <v>144</v>
      </c>
      <c r="B120" s="76" t="s">
        <v>176</v>
      </c>
      <c r="C120" s="77">
        <v>2</v>
      </c>
      <c r="D120" s="79">
        <v>0.5</v>
      </c>
      <c r="E120" s="77">
        <v>1</v>
      </c>
      <c r="F120" s="77">
        <v>0</v>
      </c>
      <c r="G120" s="77">
        <v>0</v>
      </c>
      <c r="H120" s="77">
        <v>0</v>
      </c>
      <c r="I120" s="76" t="s">
        <v>146</v>
      </c>
      <c r="J120" s="76" t="s">
        <v>176</v>
      </c>
      <c r="K120" s="77">
        <v>0</v>
      </c>
      <c r="L120" s="10" t="s">
        <v>80</v>
      </c>
      <c r="M120" s="77">
        <v>0</v>
      </c>
      <c r="N120" s="77">
        <v>0</v>
      </c>
      <c r="O120" s="77">
        <v>0</v>
      </c>
      <c r="P120" s="77">
        <v>0</v>
      </c>
      <c r="Q120" s="76" t="s">
        <v>87</v>
      </c>
      <c r="R120" s="76" t="s">
        <v>176</v>
      </c>
      <c r="S120" s="77">
        <v>1</v>
      </c>
      <c r="T120" s="77">
        <v>1</v>
      </c>
      <c r="U120" s="77">
        <v>1</v>
      </c>
      <c r="V120" s="77">
        <v>0</v>
      </c>
      <c r="W120" s="77">
        <v>0</v>
      </c>
      <c r="X120" s="78">
        <v>0</v>
      </c>
      <c r="Y120" s="76" t="s">
        <v>85</v>
      </c>
      <c r="Z120" s="76" t="s">
        <v>176</v>
      </c>
      <c r="AA120" s="77">
        <v>5</v>
      </c>
      <c r="AB120" s="79">
        <v>0.5</v>
      </c>
      <c r="AC120" s="77">
        <v>2</v>
      </c>
      <c r="AD120" s="77">
        <v>1</v>
      </c>
      <c r="AE120" s="77">
        <v>0</v>
      </c>
      <c r="AF120" s="77">
        <v>0</v>
      </c>
      <c r="AG120" s="76" t="s">
        <v>86</v>
      </c>
      <c r="AH120" s="76" t="s">
        <v>176</v>
      </c>
      <c r="AI120" s="77">
        <v>1</v>
      </c>
      <c r="AJ120" s="77">
        <v>0</v>
      </c>
      <c r="AK120" s="77">
        <v>0</v>
      </c>
      <c r="AL120" s="77">
        <v>0</v>
      </c>
      <c r="AM120" s="77">
        <v>0</v>
      </c>
      <c r="AN120" s="78">
        <v>0</v>
      </c>
      <c r="AO120" s="76" t="s">
        <v>88</v>
      </c>
      <c r="AP120" s="76" t="s">
        <v>176</v>
      </c>
      <c r="AQ120" s="77">
        <v>0</v>
      </c>
      <c r="AR120" s="10" t="s">
        <v>80</v>
      </c>
      <c r="AS120" s="77">
        <v>0</v>
      </c>
      <c r="AT120" s="77">
        <v>0</v>
      </c>
      <c r="AU120" s="77">
        <v>0</v>
      </c>
      <c r="AV120" s="78">
        <v>0</v>
      </c>
    </row>
    <row r="121" spans="1:55" ht="14.25" customHeight="1" x14ac:dyDescent="0.3">
      <c r="A121" s="76" t="s">
        <v>144</v>
      </c>
      <c r="B121" s="76" t="s">
        <v>177</v>
      </c>
      <c r="C121" s="77">
        <v>0</v>
      </c>
      <c r="D121" s="10" t="s">
        <v>80</v>
      </c>
      <c r="E121" s="77">
        <v>0</v>
      </c>
      <c r="F121" s="77">
        <v>0</v>
      </c>
      <c r="G121" s="77">
        <v>0</v>
      </c>
      <c r="H121" s="77">
        <v>0</v>
      </c>
      <c r="I121" s="76" t="s">
        <v>146</v>
      </c>
      <c r="J121" s="76" t="s">
        <v>177</v>
      </c>
      <c r="K121" s="77">
        <v>0</v>
      </c>
      <c r="L121" s="10" t="s">
        <v>80</v>
      </c>
      <c r="M121" s="77">
        <v>0</v>
      </c>
      <c r="N121" s="77">
        <v>0</v>
      </c>
      <c r="O121" s="77">
        <v>0</v>
      </c>
      <c r="P121" s="77">
        <v>0</v>
      </c>
      <c r="Q121" s="76" t="s">
        <v>87</v>
      </c>
      <c r="R121" s="76" t="s">
        <v>177</v>
      </c>
      <c r="S121" s="77">
        <v>0</v>
      </c>
      <c r="T121" s="10" t="s">
        <v>80</v>
      </c>
      <c r="U121" s="77">
        <v>0</v>
      </c>
      <c r="V121" s="77">
        <v>0</v>
      </c>
      <c r="W121" s="77">
        <v>0</v>
      </c>
      <c r="X121" s="78">
        <v>0</v>
      </c>
      <c r="Y121" s="76" t="s">
        <v>85</v>
      </c>
      <c r="Z121" s="76" t="s">
        <v>177</v>
      </c>
      <c r="AA121" s="77">
        <v>2</v>
      </c>
      <c r="AB121" s="79">
        <v>-0.5</v>
      </c>
      <c r="AC121" s="77">
        <v>0</v>
      </c>
      <c r="AD121" s="77">
        <v>0</v>
      </c>
      <c r="AE121" s="77">
        <v>0</v>
      </c>
      <c r="AF121" s="77">
        <v>1</v>
      </c>
      <c r="AG121" s="76" t="s">
        <v>86</v>
      </c>
      <c r="AH121" s="76" t="s">
        <v>177</v>
      </c>
      <c r="AI121" s="77">
        <v>1</v>
      </c>
      <c r="AJ121" s="77">
        <v>0</v>
      </c>
      <c r="AK121" s="77">
        <v>0</v>
      </c>
      <c r="AL121" s="77">
        <v>0</v>
      </c>
      <c r="AM121" s="77">
        <v>0</v>
      </c>
      <c r="AN121" s="78">
        <v>0</v>
      </c>
      <c r="AO121" s="76" t="s">
        <v>88</v>
      </c>
      <c r="AP121" s="76" t="s">
        <v>177</v>
      </c>
      <c r="AQ121" s="77">
        <v>0</v>
      </c>
      <c r="AR121" s="10" t="s">
        <v>80</v>
      </c>
      <c r="AS121" s="77">
        <v>0</v>
      </c>
      <c r="AT121" s="77">
        <v>0</v>
      </c>
      <c r="AU121" s="77">
        <v>0</v>
      </c>
      <c r="AV121" s="78">
        <v>0</v>
      </c>
    </row>
    <row r="122" spans="1:55" ht="14.25" customHeight="1" x14ac:dyDescent="0.3">
      <c r="A122" s="76" t="s">
        <v>144</v>
      </c>
      <c r="B122" s="110" t="s">
        <v>178</v>
      </c>
      <c r="C122" s="92">
        <v>2</v>
      </c>
      <c r="D122" s="113">
        <v>-0.25</v>
      </c>
      <c r="E122" s="92">
        <v>0</v>
      </c>
      <c r="F122" s="92">
        <v>1</v>
      </c>
      <c r="G122" s="92">
        <v>0</v>
      </c>
      <c r="H122" s="92">
        <v>1</v>
      </c>
      <c r="I122" s="76" t="s">
        <v>146</v>
      </c>
      <c r="J122" s="110" t="s">
        <v>178</v>
      </c>
      <c r="K122" s="92">
        <v>0</v>
      </c>
      <c r="L122" s="91" t="s">
        <v>80</v>
      </c>
      <c r="M122" s="92">
        <v>0</v>
      </c>
      <c r="N122" s="92">
        <v>0</v>
      </c>
      <c r="O122" s="92">
        <v>0</v>
      </c>
      <c r="P122" s="92">
        <v>0</v>
      </c>
      <c r="Q122" s="76" t="s">
        <v>87</v>
      </c>
      <c r="R122" s="110" t="s">
        <v>178</v>
      </c>
      <c r="S122" s="92">
        <v>1</v>
      </c>
      <c r="T122" s="92">
        <v>1</v>
      </c>
      <c r="U122" s="92">
        <v>1</v>
      </c>
      <c r="V122" s="92">
        <v>0</v>
      </c>
      <c r="W122" s="92">
        <v>0</v>
      </c>
      <c r="X122" s="112">
        <v>0</v>
      </c>
      <c r="Y122" s="76" t="s">
        <v>85</v>
      </c>
      <c r="Z122" s="110" t="s">
        <v>178</v>
      </c>
      <c r="AA122" s="92">
        <v>5</v>
      </c>
      <c r="AB122" s="113">
        <v>0.1</v>
      </c>
      <c r="AC122" s="92">
        <v>0</v>
      </c>
      <c r="AD122" s="92">
        <v>1</v>
      </c>
      <c r="AE122" s="92">
        <v>0</v>
      </c>
      <c r="AF122" s="92">
        <v>0</v>
      </c>
      <c r="AG122" s="76" t="s">
        <v>86</v>
      </c>
      <c r="AH122" s="110" t="s">
        <v>178</v>
      </c>
      <c r="AI122" s="92">
        <v>12</v>
      </c>
      <c r="AJ122" s="113">
        <v>0.29170000000000001</v>
      </c>
      <c r="AK122" s="92">
        <v>3</v>
      </c>
      <c r="AL122" s="92">
        <v>2</v>
      </c>
      <c r="AM122" s="92">
        <v>1</v>
      </c>
      <c r="AN122" s="112">
        <v>0</v>
      </c>
      <c r="AO122" s="76" t="s">
        <v>88</v>
      </c>
      <c r="AP122" s="110" t="s">
        <v>178</v>
      </c>
      <c r="AQ122" s="92">
        <v>0</v>
      </c>
      <c r="AR122" s="91" t="s">
        <v>80</v>
      </c>
      <c r="AS122" s="92">
        <v>0</v>
      </c>
      <c r="AT122" s="92">
        <v>0</v>
      </c>
      <c r="AU122" s="92">
        <v>0</v>
      </c>
      <c r="AV122" s="112">
        <v>0</v>
      </c>
    </row>
    <row r="123" spans="1:55" ht="14.25" customHeight="1" x14ac:dyDescent="0.3">
      <c r="A123" s="76" t="s">
        <v>144</v>
      </c>
      <c r="B123" s="76" t="s">
        <v>179</v>
      </c>
      <c r="C123" s="77">
        <v>1</v>
      </c>
      <c r="D123" s="77">
        <v>-1</v>
      </c>
      <c r="E123" s="77">
        <v>0</v>
      </c>
      <c r="F123" s="77">
        <v>0</v>
      </c>
      <c r="G123" s="77">
        <v>0</v>
      </c>
      <c r="H123" s="77">
        <v>1</v>
      </c>
      <c r="I123" s="76" t="s">
        <v>146</v>
      </c>
      <c r="J123" s="76" t="s">
        <v>179</v>
      </c>
      <c r="K123" s="77">
        <v>0</v>
      </c>
      <c r="L123" s="10" t="s">
        <v>80</v>
      </c>
      <c r="M123" s="77">
        <v>0</v>
      </c>
      <c r="N123" s="77">
        <v>0</v>
      </c>
      <c r="O123" s="77">
        <v>0</v>
      </c>
      <c r="P123" s="77">
        <v>0</v>
      </c>
      <c r="Q123" s="76" t="s">
        <v>87</v>
      </c>
      <c r="R123" s="76" t="s">
        <v>179</v>
      </c>
      <c r="S123" s="77">
        <v>0</v>
      </c>
      <c r="T123" s="10" t="s">
        <v>80</v>
      </c>
      <c r="U123" s="77">
        <v>0</v>
      </c>
      <c r="V123" s="77">
        <v>0</v>
      </c>
      <c r="W123" s="77">
        <v>0</v>
      </c>
      <c r="X123" s="78">
        <v>0</v>
      </c>
      <c r="Y123" s="76" t="s">
        <v>85</v>
      </c>
      <c r="Z123" s="76" t="s">
        <v>179</v>
      </c>
      <c r="AA123" s="77">
        <v>3</v>
      </c>
      <c r="AB123" s="77">
        <v>0</v>
      </c>
      <c r="AC123" s="77">
        <v>0</v>
      </c>
      <c r="AD123" s="77">
        <v>1</v>
      </c>
      <c r="AE123" s="77">
        <v>0</v>
      </c>
      <c r="AF123" s="77">
        <v>0</v>
      </c>
      <c r="AG123" s="76" t="s">
        <v>86</v>
      </c>
      <c r="AH123" s="76" t="s">
        <v>179</v>
      </c>
      <c r="AI123" s="77">
        <v>0</v>
      </c>
      <c r="AJ123" s="10" t="s">
        <v>80</v>
      </c>
      <c r="AK123" s="77">
        <v>0</v>
      </c>
      <c r="AL123" s="77">
        <v>0</v>
      </c>
      <c r="AM123" s="77">
        <v>0</v>
      </c>
      <c r="AN123" s="78">
        <v>0</v>
      </c>
      <c r="AO123" s="76" t="s">
        <v>88</v>
      </c>
      <c r="AP123" s="76" t="s">
        <v>179</v>
      </c>
      <c r="AQ123" s="77">
        <v>0</v>
      </c>
      <c r="AR123" s="10" t="s">
        <v>80</v>
      </c>
      <c r="AS123" s="77">
        <v>0</v>
      </c>
      <c r="AT123" s="77">
        <v>0</v>
      </c>
      <c r="AU123" s="77">
        <v>0</v>
      </c>
      <c r="AV123" s="78">
        <v>0</v>
      </c>
    </row>
    <row r="124" spans="1:55" ht="14.25" customHeight="1" x14ac:dyDescent="0.3">
      <c r="A124" s="76" t="s">
        <v>144</v>
      </c>
      <c r="B124" s="76" t="s">
        <v>180</v>
      </c>
      <c r="C124" s="77">
        <v>1</v>
      </c>
      <c r="D124" s="79">
        <v>0.5</v>
      </c>
      <c r="E124" s="77">
        <v>0</v>
      </c>
      <c r="F124" s="77">
        <v>1</v>
      </c>
      <c r="G124" s="77">
        <v>0</v>
      </c>
      <c r="H124" s="77">
        <v>0</v>
      </c>
      <c r="I124" s="76" t="s">
        <v>146</v>
      </c>
      <c r="J124" s="76" t="s">
        <v>180</v>
      </c>
      <c r="K124" s="77">
        <v>0</v>
      </c>
      <c r="L124" s="10" t="s">
        <v>80</v>
      </c>
      <c r="M124" s="77">
        <v>0</v>
      </c>
      <c r="N124" s="77">
        <v>0</v>
      </c>
      <c r="O124" s="77">
        <v>0</v>
      </c>
      <c r="P124" s="77">
        <v>0</v>
      </c>
      <c r="Q124" s="76" t="s">
        <v>87</v>
      </c>
      <c r="R124" s="76" t="s">
        <v>180</v>
      </c>
      <c r="S124" s="77">
        <v>1</v>
      </c>
      <c r="T124" s="77">
        <v>1</v>
      </c>
      <c r="U124" s="77">
        <v>1</v>
      </c>
      <c r="V124" s="77">
        <v>0</v>
      </c>
      <c r="W124" s="77">
        <v>0</v>
      </c>
      <c r="X124" s="78">
        <v>0</v>
      </c>
      <c r="Y124" s="76" t="s">
        <v>85</v>
      </c>
      <c r="Z124" s="76" t="s">
        <v>180</v>
      </c>
      <c r="AA124" s="77">
        <v>1</v>
      </c>
      <c r="AB124" s="77">
        <v>0</v>
      </c>
      <c r="AC124" s="77">
        <v>0</v>
      </c>
      <c r="AD124" s="77">
        <v>0</v>
      </c>
      <c r="AE124" s="77">
        <v>0</v>
      </c>
      <c r="AF124" s="77">
        <v>0</v>
      </c>
      <c r="AG124" s="76" t="s">
        <v>86</v>
      </c>
      <c r="AH124" s="76" t="s">
        <v>180</v>
      </c>
      <c r="AI124" s="77">
        <v>5</v>
      </c>
      <c r="AJ124" s="79">
        <v>0.2</v>
      </c>
      <c r="AK124" s="77">
        <v>1</v>
      </c>
      <c r="AL124" s="77">
        <v>1</v>
      </c>
      <c r="AM124" s="77">
        <v>1</v>
      </c>
      <c r="AN124" s="78">
        <v>0</v>
      </c>
      <c r="AO124" s="76" t="s">
        <v>88</v>
      </c>
      <c r="AP124" s="76" t="s">
        <v>180</v>
      </c>
      <c r="AQ124" s="77">
        <v>0</v>
      </c>
      <c r="AR124" s="10" t="s">
        <v>80</v>
      </c>
      <c r="AS124" s="77">
        <v>0</v>
      </c>
      <c r="AT124" s="77">
        <v>0</v>
      </c>
      <c r="AU124" s="77">
        <v>0</v>
      </c>
      <c r="AV124" s="78">
        <v>0</v>
      </c>
    </row>
    <row r="125" spans="1:55" ht="14.25" customHeight="1" x14ac:dyDescent="0.3">
      <c r="A125" s="76" t="s">
        <v>144</v>
      </c>
      <c r="B125" s="81" t="s">
        <v>181</v>
      </c>
      <c r="C125" s="83">
        <v>0</v>
      </c>
      <c r="D125" s="82" t="s">
        <v>80</v>
      </c>
      <c r="E125" s="83">
        <v>0</v>
      </c>
      <c r="F125" s="83">
        <v>0</v>
      </c>
      <c r="G125" s="83">
        <v>0</v>
      </c>
      <c r="H125" s="83">
        <v>0</v>
      </c>
      <c r="I125" s="76" t="s">
        <v>146</v>
      </c>
      <c r="J125" s="81" t="s">
        <v>181</v>
      </c>
      <c r="K125" s="83">
        <v>0</v>
      </c>
      <c r="L125" s="82" t="s">
        <v>80</v>
      </c>
      <c r="M125" s="83">
        <v>0</v>
      </c>
      <c r="N125" s="83">
        <v>0</v>
      </c>
      <c r="O125" s="83">
        <v>0</v>
      </c>
      <c r="P125" s="83">
        <v>0</v>
      </c>
      <c r="Q125" s="76" t="s">
        <v>87</v>
      </c>
      <c r="R125" s="81" t="s">
        <v>181</v>
      </c>
      <c r="S125" s="83">
        <v>0</v>
      </c>
      <c r="T125" s="82" t="s">
        <v>80</v>
      </c>
      <c r="U125" s="83">
        <v>0</v>
      </c>
      <c r="V125" s="83">
        <v>0</v>
      </c>
      <c r="W125" s="83">
        <v>0</v>
      </c>
      <c r="X125" s="114">
        <v>0</v>
      </c>
      <c r="Y125" s="76" t="s">
        <v>85</v>
      </c>
      <c r="Z125" s="81" t="s">
        <v>181</v>
      </c>
      <c r="AA125" s="83">
        <v>1</v>
      </c>
      <c r="AB125" s="83">
        <v>0</v>
      </c>
      <c r="AC125" s="83">
        <v>0</v>
      </c>
      <c r="AD125" s="83">
        <v>0</v>
      </c>
      <c r="AE125" s="83">
        <v>0</v>
      </c>
      <c r="AF125" s="83">
        <v>0</v>
      </c>
      <c r="AG125" s="76" t="s">
        <v>86</v>
      </c>
      <c r="AH125" s="81" t="s">
        <v>181</v>
      </c>
      <c r="AI125" s="83">
        <v>7</v>
      </c>
      <c r="AJ125" s="115">
        <v>0.28570000000000001</v>
      </c>
      <c r="AK125" s="83">
        <v>2</v>
      </c>
      <c r="AL125" s="83">
        <v>1</v>
      </c>
      <c r="AM125" s="83">
        <v>0</v>
      </c>
      <c r="AN125" s="114">
        <v>0</v>
      </c>
      <c r="AO125" s="76" t="s">
        <v>88</v>
      </c>
      <c r="AP125" s="81" t="s">
        <v>181</v>
      </c>
      <c r="AQ125" s="83">
        <v>0</v>
      </c>
      <c r="AR125" s="82" t="s">
        <v>80</v>
      </c>
      <c r="AS125" s="83">
        <v>0</v>
      </c>
      <c r="AT125" s="83">
        <v>0</v>
      </c>
      <c r="AU125" s="83">
        <v>0</v>
      </c>
      <c r="AV125" s="114">
        <v>0</v>
      </c>
    </row>
    <row r="127" spans="1:55" ht="14.25" customHeight="1" x14ac:dyDescent="0.3">
      <c r="A127" s="155" t="s">
        <v>182</v>
      </c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</row>
    <row r="128" spans="1:55" ht="14.25" customHeight="1" x14ac:dyDescent="0.3">
      <c r="A128" s="116">
        <f t="shared" ref="A128:F137" si="0">A147</f>
        <v>0</v>
      </c>
      <c r="B128" s="116" t="str">
        <f t="shared" si="0"/>
        <v>SQ #</v>
      </c>
      <c r="C128" s="116" t="str">
        <f t="shared" si="0"/>
        <v>SQ +</v>
      </c>
      <c r="D128" s="116" t="str">
        <f t="shared" si="0"/>
        <v>SQ /</v>
      </c>
      <c r="E128" s="116" t="str">
        <f t="shared" si="0"/>
        <v>SQ =</v>
      </c>
      <c r="F128" s="116" t="str">
        <f t="shared" si="0"/>
        <v>SQ TOT</v>
      </c>
      <c r="G128" s="116" t="s">
        <v>183</v>
      </c>
      <c r="H128" s="116" t="str">
        <f t="shared" ref="H128:L137" si="1">G147</f>
        <v>REC #</v>
      </c>
      <c r="I128" s="116" t="str">
        <f t="shared" si="1"/>
        <v>REC +</v>
      </c>
      <c r="J128" s="116" t="str">
        <f t="shared" si="1"/>
        <v>REC /</v>
      </c>
      <c r="K128" s="116" t="str">
        <f t="shared" si="1"/>
        <v>REC =</v>
      </c>
      <c r="L128" s="116" t="str">
        <f t="shared" si="1"/>
        <v>REC TOT</v>
      </c>
      <c r="M128" s="116" t="s">
        <v>184</v>
      </c>
      <c r="N128" s="116" t="str">
        <f t="shared" ref="N128:N144" si="2">L147</f>
        <v>BLQ #</v>
      </c>
      <c r="O128" s="116" t="str">
        <f t="shared" ref="O128:O144" si="3">M147</f>
        <v>BLQ +</v>
      </c>
      <c r="P128" s="116" t="s">
        <v>185</v>
      </c>
      <c r="Q128" s="116" t="str">
        <f t="shared" ref="Q128:Q144" si="4">N147</f>
        <v>BLQ =</v>
      </c>
      <c r="R128" s="116" t="str">
        <f t="shared" ref="R128:R144" si="5">O147</f>
        <v>BLQ /</v>
      </c>
      <c r="S128" s="116" t="str">
        <f t="shared" ref="S128:S144" si="6">P147</f>
        <v>BLQ TOT</v>
      </c>
      <c r="T128" s="116" t="s">
        <v>186</v>
      </c>
      <c r="U128" s="116" t="str">
        <f t="shared" ref="U128:U144" si="7">Q147</f>
        <v>ATQ Q #</v>
      </c>
      <c r="V128" s="116" t="str">
        <f t="shared" ref="V128:V144" si="8">R147</f>
        <v>ATQ Q /</v>
      </c>
      <c r="W128" s="116" t="str">
        <f t="shared" ref="W128:W144" si="9">S147</f>
        <v>ATQ Q =</v>
      </c>
      <c r="X128" s="116" t="str">
        <f t="shared" ref="X128:X144" si="10">T147</f>
        <v>ATQ Q TOT</v>
      </c>
      <c r="Y128" s="116" t="s">
        <v>187</v>
      </c>
      <c r="Z128" s="116" t="str">
        <f t="shared" ref="Z128:Z144" si="11">U147</f>
        <v>ATQ V #</v>
      </c>
      <c r="AA128" s="116" t="str">
        <f t="shared" ref="AA128:AA144" si="12">V147</f>
        <v>ATQ V /</v>
      </c>
      <c r="AB128" s="116" t="str">
        <f t="shared" ref="AB128:AB144" si="13">W147</f>
        <v>ATQ V =</v>
      </c>
      <c r="AC128" s="116" t="str">
        <f t="shared" ref="AC128:AC144" si="14">X147</f>
        <v>ATQ V TOT</v>
      </c>
      <c r="AD128" s="116" t="s">
        <v>188</v>
      </c>
      <c r="AE128" s="116" t="str">
        <f t="shared" ref="AE128:AE144" si="15">Y147</f>
        <v>ATQ X #</v>
      </c>
      <c r="AF128" s="116" t="str">
        <f t="shared" ref="AF128:AF144" si="16">Z147</f>
        <v>ATQ X /</v>
      </c>
      <c r="AG128" s="116" t="str">
        <f t="shared" ref="AG128:AG144" si="17">AA147</f>
        <v>ATQ X =</v>
      </c>
      <c r="AH128" s="116" t="str">
        <f t="shared" ref="AH128:AH144" si="18">AB147</f>
        <v>ATQ X TOT</v>
      </c>
      <c r="AI128" s="116" t="s">
        <v>189</v>
      </c>
      <c r="AJ128" s="116" t="str">
        <f t="shared" ref="AJ128:AJ144" si="19">AC147</f>
        <v>ATQ R# #</v>
      </c>
      <c r="AK128" s="116" t="str">
        <f t="shared" ref="AK128:AK144" si="20">AD147</f>
        <v>ATQ R# /</v>
      </c>
      <c r="AL128" s="116" t="str">
        <f t="shared" ref="AL128:AL144" si="21">AE147</f>
        <v>ATQ R# =</v>
      </c>
      <c r="AM128" s="116" t="str">
        <f t="shared" ref="AM128:AM144" si="22">AF147</f>
        <v>ATQ R# TOT</v>
      </c>
      <c r="AN128" s="116" t="s">
        <v>190</v>
      </c>
      <c r="AO128" s="116" t="str">
        <f t="shared" ref="AO128:AO144" si="23">AG147</f>
        <v>ATQ R! #</v>
      </c>
      <c r="AP128" s="116" t="str">
        <f t="shared" ref="AP128:AP144" si="24">AH147</f>
        <v>ATQ R! /</v>
      </c>
      <c r="AQ128" s="116" t="str">
        <f t="shared" ref="AQ128:AQ144" si="25">AI147</f>
        <v>ATQ R! =</v>
      </c>
      <c r="AR128" s="116" t="str">
        <f t="shared" ref="AR128:AR144" si="26">AJ147</f>
        <v>ATQ R! TOT</v>
      </c>
      <c r="AS128" s="116" t="s">
        <v>191</v>
      </c>
      <c r="AT128" s="116" t="str">
        <f t="shared" ref="AT128:AT144" si="27">AK147</f>
        <v>ATQ R- #</v>
      </c>
      <c r="AU128" s="116" t="str">
        <f t="shared" ref="AU128:AU144" si="28">AL147</f>
        <v>ATQ R- /</v>
      </c>
      <c r="AV128" s="116" t="str">
        <f t="shared" ref="AV128:AV144" si="29">AM147</f>
        <v>ATQ R- =</v>
      </c>
      <c r="AW128" s="116" t="str">
        <f t="shared" ref="AW128:AW144" si="30">AN147</f>
        <v>ATQ R- TOT</v>
      </c>
      <c r="AX128" s="116" t="s">
        <v>192</v>
      </c>
      <c r="AY128" s="116" t="str">
        <f t="shared" ref="AY128:AY144" si="31">AO147</f>
        <v>ATQ TR #</v>
      </c>
      <c r="AZ128" s="116" t="str">
        <f t="shared" ref="AZ128:AZ144" si="32">AP147</f>
        <v>ATQ TR /</v>
      </c>
      <c r="BA128" s="116" t="str">
        <f t="shared" ref="BA128:BA144" si="33">AQ147</f>
        <v>ATQ TR =</v>
      </c>
      <c r="BB128" s="116" t="str">
        <f t="shared" ref="BB128:BB144" si="34">AR147</f>
        <v>ATQ TR TOT</v>
      </c>
      <c r="BC128" s="116" t="s">
        <v>193</v>
      </c>
    </row>
    <row r="129" spans="1:55" ht="14.25" customHeight="1" x14ac:dyDescent="0.3">
      <c r="A129" s="116" t="str">
        <f t="shared" si="0"/>
        <v>Club Atlético San L</v>
      </c>
      <c r="B129" s="117">
        <f t="shared" si="0"/>
        <v>7</v>
      </c>
      <c r="C129" s="117">
        <f t="shared" si="0"/>
        <v>15</v>
      </c>
      <c r="D129" s="117">
        <f t="shared" si="0"/>
        <v>6</v>
      </c>
      <c r="E129" s="117">
        <f t="shared" si="0"/>
        <v>13</v>
      </c>
      <c r="F129" s="117">
        <f t="shared" si="0"/>
        <v>109</v>
      </c>
      <c r="G129" s="118">
        <f t="shared" ref="G129:G144" si="35">IFERROR((1*B129+0.5*D129+0.25*C129-1*E129)/F129,"")</f>
        <v>6.8807339449541288E-3</v>
      </c>
      <c r="H129" s="117">
        <f t="shared" si="1"/>
        <v>25</v>
      </c>
      <c r="I129" s="117">
        <f t="shared" si="1"/>
        <v>26</v>
      </c>
      <c r="J129" s="117">
        <f t="shared" si="1"/>
        <v>2</v>
      </c>
      <c r="K129" s="117">
        <f t="shared" si="1"/>
        <v>3</v>
      </c>
      <c r="L129" s="117">
        <f t="shared" si="1"/>
        <v>86</v>
      </c>
      <c r="M129" s="118">
        <f t="shared" ref="M129:M144" si="36">IFERROR(((1*H129+0.5*I129-0.5*J129-1*K129)/L129),"")</f>
        <v>0.39534883720930231</v>
      </c>
      <c r="N129" s="117">
        <f t="shared" si="2"/>
        <v>10</v>
      </c>
      <c r="O129" s="117">
        <f t="shared" si="3"/>
        <v>11</v>
      </c>
      <c r="P129" s="118">
        <f t="shared" ref="P129:P144" si="37">IFERROR((N129+O129)/S129,"")</f>
        <v>0.41176470588235292</v>
      </c>
      <c r="Q129" s="117">
        <f t="shared" si="4"/>
        <v>18</v>
      </c>
      <c r="R129" s="117">
        <f t="shared" si="5"/>
        <v>2</v>
      </c>
      <c r="S129" s="117">
        <f t="shared" si="6"/>
        <v>51</v>
      </c>
      <c r="T129" s="118">
        <f t="shared" ref="T129:T144" si="38">IFERROR((N129)/S129,"")</f>
        <v>0.19607843137254902</v>
      </c>
      <c r="U129" s="117">
        <f t="shared" si="7"/>
        <v>20</v>
      </c>
      <c r="V129" s="117">
        <f t="shared" si="8"/>
        <v>1</v>
      </c>
      <c r="W129" s="117">
        <f t="shared" si="9"/>
        <v>1</v>
      </c>
      <c r="X129" s="117">
        <f t="shared" si="10"/>
        <v>36</v>
      </c>
      <c r="Y129" s="118">
        <f t="shared" ref="Y129:Y144" si="39">IFERROR((U129-V129-W129)/X129,"")</f>
        <v>0.5</v>
      </c>
      <c r="Z129" s="117">
        <f t="shared" si="11"/>
        <v>7</v>
      </c>
      <c r="AA129" s="117">
        <f t="shared" si="12"/>
        <v>5</v>
      </c>
      <c r="AB129" s="117">
        <f t="shared" si="13"/>
        <v>1</v>
      </c>
      <c r="AC129" s="117">
        <f t="shared" si="14"/>
        <v>26</v>
      </c>
      <c r="AD129" s="118">
        <f t="shared" ref="AD129:AD144" si="40">IFERROR(((Z129-AA129-AB129)/AC129),"")</f>
        <v>3.8461538461538464E-2</v>
      </c>
      <c r="AE129" s="117">
        <f t="shared" si="15"/>
        <v>38</v>
      </c>
      <c r="AF129" s="117">
        <f t="shared" si="16"/>
        <v>5</v>
      </c>
      <c r="AG129" s="117">
        <f t="shared" si="17"/>
        <v>7</v>
      </c>
      <c r="AH129" s="117">
        <f t="shared" si="18"/>
        <v>74</v>
      </c>
      <c r="AI129" s="118">
        <f t="shared" ref="AI129:AI144" si="41">IFERROR(((AE129-AF129-AG129)/AH129),"")</f>
        <v>0.35135135135135137</v>
      </c>
      <c r="AJ129" s="117">
        <f t="shared" si="19"/>
        <v>25</v>
      </c>
      <c r="AK129" s="117">
        <f t="shared" si="20"/>
        <v>2</v>
      </c>
      <c r="AL129" s="117">
        <f t="shared" si="21"/>
        <v>6</v>
      </c>
      <c r="AM129" s="117">
        <f t="shared" si="22"/>
        <v>51</v>
      </c>
      <c r="AN129" s="118">
        <f t="shared" ref="AN129:AN144" si="42">IFERROR((AJ129-AK129-AL129)/AM129,"")</f>
        <v>0.33333333333333331</v>
      </c>
      <c r="AO129" s="117">
        <f t="shared" si="23"/>
        <v>10</v>
      </c>
      <c r="AP129" s="117">
        <f t="shared" si="24"/>
        <v>0</v>
      </c>
      <c r="AQ129" s="117">
        <f t="shared" si="25"/>
        <v>0</v>
      </c>
      <c r="AR129" s="117">
        <f t="shared" si="26"/>
        <v>19</v>
      </c>
      <c r="AS129" s="118">
        <f t="shared" ref="AS129:AS144" si="43">IFERROR((AO129-AP129-AQ129)/AR129,"")</f>
        <v>0.52631578947368418</v>
      </c>
      <c r="AT129" s="117">
        <f t="shared" si="27"/>
        <v>6</v>
      </c>
      <c r="AU129" s="117">
        <f t="shared" si="28"/>
        <v>2</v>
      </c>
      <c r="AV129" s="117">
        <f t="shared" si="29"/>
        <v>0</v>
      </c>
      <c r="AW129" s="117">
        <f t="shared" si="30"/>
        <v>10</v>
      </c>
      <c r="AX129" s="118">
        <f t="shared" ref="AX129:AX144" si="44">IFERROR((AT129-AU129-AV129)/AW129,"")</f>
        <v>0.4</v>
      </c>
      <c r="AY129" s="117">
        <f t="shared" si="31"/>
        <v>26</v>
      </c>
      <c r="AZ129" s="117">
        <f t="shared" si="32"/>
        <v>8</v>
      </c>
      <c r="BA129" s="117">
        <f t="shared" si="33"/>
        <v>5</v>
      </c>
      <c r="BB129" s="117">
        <f t="shared" si="34"/>
        <v>64</v>
      </c>
      <c r="BC129" s="118">
        <f t="shared" ref="BC129:BC144" si="45">IFERROR((AY129-AZ129-BA129)/BB129,"")</f>
        <v>0.203125</v>
      </c>
    </row>
    <row r="130" spans="1:55" ht="14.25" customHeight="1" x14ac:dyDescent="0.3">
      <c r="A130" s="116" t="str">
        <f t="shared" si="0"/>
        <v>2 Ojuez A.</v>
      </c>
      <c r="B130" s="119">
        <f t="shared" si="0"/>
        <v>0</v>
      </c>
      <c r="C130" s="119">
        <f t="shared" si="0"/>
        <v>1</v>
      </c>
      <c r="D130" s="119">
        <f t="shared" si="0"/>
        <v>0</v>
      </c>
      <c r="E130" s="119">
        <f t="shared" si="0"/>
        <v>1</v>
      </c>
      <c r="F130" s="119">
        <f t="shared" si="0"/>
        <v>8</v>
      </c>
      <c r="G130" s="120">
        <f t="shared" si="35"/>
        <v>-9.375E-2</v>
      </c>
      <c r="H130" s="121">
        <f t="shared" si="1"/>
        <v>0</v>
      </c>
      <c r="I130" s="121">
        <f t="shared" si="1"/>
        <v>0</v>
      </c>
      <c r="J130" s="121">
        <f t="shared" si="1"/>
        <v>0</v>
      </c>
      <c r="K130" s="121">
        <f t="shared" si="1"/>
        <v>0</v>
      </c>
      <c r="L130" s="121">
        <f t="shared" si="1"/>
        <v>0</v>
      </c>
      <c r="M130" s="120" t="str">
        <f t="shared" si="36"/>
        <v/>
      </c>
      <c r="N130" s="121">
        <f t="shared" si="2"/>
        <v>4</v>
      </c>
      <c r="O130" s="121">
        <f t="shared" si="3"/>
        <v>3</v>
      </c>
      <c r="P130" s="120">
        <f t="shared" si="37"/>
        <v>0.7</v>
      </c>
      <c r="Q130" s="121">
        <f t="shared" si="4"/>
        <v>2</v>
      </c>
      <c r="R130" s="121">
        <f t="shared" si="5"/>
        <v>0</v>
      </c>
      <c r="S130" s="121">
        <f t="shared" si="6"/>
        <v>10</v>
      </c>
      <c r="T130" s="120">
        <f t="shared" si="38"/>
        <v>0.4</v>
      </c>
      <c r="U130" s="121">
        <f t="shared" si="7"/>
        <v>7</v>
      </c>
      <c r="V130" s="121">
        <f t="shared" si="8"/>
        <v>0</v>
      </c>
      <c r="W130" s="121">
        <f t="shared" si="9"/>
        <v>1</v>
      </c>
      <c r="X130" s="121">
        <f t="shared" si="10"/>
        <v>14</v>
      </c>
      <c r="Y130" s="120">
        <f t="shared" si="39"/>
        <v>0.42857142857142855</v>
      </c>
      <c r="Z130" s="121">
        <f t="shared" si="11"/>
        <v>0</v>
      </c>
      <c r="AA130" s="121">
        <f t="shared" si="12"/>
        <v>0</v>
      </c>
      <c r="AB130" s="121">
        <f t="shared" si="13"/>
        <v>0</v>
      </c>
      <c r="AC130" s="121">
        <f t="shared" si="14"/>
        <v>0</v>
      </c>
      <c r="AD130" s="120" t="str">
        <f t="shared" si="40"/>
        <v/>
      </c>
      <c r="AE130" s="121">
        <f t="shared" si="15"/>
        <v>0</v>
      </c>
      <c r="AF130" s="121">
        <f t="shared" si="16"/>
        <v>0</v>
      </c>
      <c r="AG130" s="121">
        <f t="shared" si="17"/>
        <v>0</v>
      </c>
      <c r="AH130" s="121">
        <f t="shared" si="18"/>
        <v>0</v>
      </c>
      <c r="AI130" s="120" t="str">
        <f t="shared" si="41"/>
        <v/>
      </c>
      <c r="AJ130" s="121">
        <f t="shared" si="19"/>
        <v>4</v>
      </c>
      <c r="AK130" s="121">
        <f t="shared" si="20"/>
        <v>0</v>
      </c>
      <c r="AL130" s="121">
        <f t="shared" si="21"/>
        <v>1</v>
      </c>
      <c r="AM130" s="121">
        <f t="shared" si="22"/>
        <v>8</v>
      </c>
      <c r="AN130" s="120">
        <f t="shared" si="42"/>
        <v>0.375</v>
      </c>
      <c r="AO130" s="121">
        <f t="shared" si="23"/>
        <v>0</v>
      </c>
      <c r="AP130" s="121">
        <f t="shared" si="24"/>
        <v>0</v>
      </c>
      <c r="AQ130" s="121">
        <f t="shared" si="25"/>
        <v>0</v>
      </c>
      <c r="AR130" s="121">
        <f t="shared" si="26"/>
        <v>0</v>
      </c>
      <c r="AS130" s="120" t="str">
        <f t="shared" si="43"/>
        <v/>
      </c>
      <c r="AT130" s="121">
        <f t="shared" si="27"/>
        <v>1</v>
      </c>
      <c r="AU130" s="121">
        <f t="shared" si="28"/>
        <v>0</v>
      </c>
      <c r="AV130" s="121">
        <f t="shared" si="29"/>
        <v>0</v>
      </c>
      <c r="AW130" s="121">
        <f t="shared" si="30"/>
        <v>1</v>
      </c>
      <c r="AX130" s="120">
        <f t="shared" si="44"/>
        <v>1</v>
      </c>
      <c r="AY130" s="121">
        <f t="shared" si="31"/>
        <v>2</v>
      </c>
      <c r="AZ130" s="121">
        <f t="shared" si="32"/>
        <v>0</v>
      </c>
      <c r="BA130" s="121">
        <f t="shared" si="33"/>
        <v>1</v>
      </c>
      <c r="BB130" s="121">
        <f t="shared" si="34"/>
        <v>6</v>
      </c>
      <c r="BC130" s="120">
        <f t="shared" si="45"/>
        <v>0.16666666666666666</v>
      </c>
    </row>
    <row r="131" spans="1:55" ht="14.25" customHeight="1" x14ac:dyDescent="0.3">
      <c r="A131" s="116" t="str">
        <f t="shared" si="0"/>
        <v>3 Romeo Winer A.</v>
      </c>
      <c r="B131" s="119">
        <f t="shared" si="0"/>
        <v>0</v>
      </c>
      <c r="C131" s="119">
        <f t="shared" si="0"/>
        <v>0</v>
      </c>
      <c r="D131" s="119">
        <f t="shared" si="0"/>
        <v>0</v>
      </c>
      <c r="E131" s="119">
        <f t="shared" si="0"/>
        <v>0</v>
      </c>
      <c r="F131" s="119">
        <f t="shared" si="0"/>
        <v>0</v>
      </c>
      <c r="G131" s="120" t="str">
        <f t="shared" si="35"/>
        <v/>
      </c>
      <c r="H131" s="121">
        <f t="shared" si="1"/>
        <v>0</v>
      </c>
      <c r="I131" s="121">
        <f t="shared" si="1"/>
        <v>0</v>
      </c>
      <c r="J131" s="121">
        <f t="shared" si="1"/>
        <v>0</v>
      </c>
      <c r="K131" s="121">
        <f t="shared" si="1"/>
        <v>0</v>
      </c>
      <c r="L131" s="121">
        <f t="shared" si="1"/>
        <v>0</v>
      </c>
      <c r="M131" s="120" t="str">
        <f t="shared" si="36"/>
        <v/>
      </c>
      <c r="N131" s="121">
        <f t="shared" si="2"/>
        <v>0</v>
      </c>
      <c r="O131" s="121">
        <f t="shared" si="3"/>
        <v>0</v>
      </c>
      <c r="P131" s="120" t="str">
        <f t="shared" si="37"/>
        <v/>
      </c>
      <c r="Q131" s="121">
        <f t="shared" si="4"/>
        <v>0</v>
      </c>
      <c r="R131" s="121">
        <f t="shared" si="5"/>
        <v>0</v>
      </c>
      <c r="S131" s="121">
        <f t="shared" si="6"/>
        <v>0</v>
      </c>
      <c r="T131" s="120" t="str">
        <f t="shared" si="38"/>
        <v/>
      </c>
      <c r="U131" s="121">
        <f t="shared" si="7"/>
        <v>0</v>
      </c>
      <c r="V131" s="121">
        <f t="shared" si="8"/>
        <v>0</v>
      </c>
      <c r="W131" s="121">
        <f t="shared" si="9"/>
        <v>0</v>
      </c>
      <c r="X131" s="121">
        <f t="shared" si="10"/>
        <v>0</v>
      </c>
      <c r="Y131" s="120" t="str">
        <f t="shared" si="39"/>
        <v/>
      </c>
      <c r="Z131" s="121">
        <f t="shared" si="11"/>
        <v>0</v>
      </c>
      <c r="AA131" s="121">
        <f t="shared" si="12"/>
        <v>0</v>
      </c>
      <c r="AB131" s="121">
        <f t="shared" si="13"/>
        <v>0</v>
      </c>
      <c r="AC131" s="121">
        <f t="shared" si="14"/>
        <v>0</v>
      </c>
      <c r="AD131" s="120" t="str">
        <f t="shared" si="40"/>
        <v/>
      </c>
      <c r="AE131" s="121">
        <f t="shared" si="15"/>
        <v>0</v>
      </c>
      <c r="AF131" s="121">
        <f t="shared" si="16"/>
        <v>0</v>
      </c>
      <c r="AG131" s="121">
        <f t="shared" si="17"/>
        <v>0</v>
      </c>
      <c r="AH131" s="121">
        <f t="shared" si="18"/>
        <v>0</v>
      </c>
      <c r="AI131" s="120" t="str">
        <f t="shared" si="41"/>
        <v/>
      </c>
      <c r="AJ131" s="121">
        <f t="shared" si="19"/>
        <v>0</v>
      </c>
      <c r="AK131" s="121">
        <f t="shared" si="20"/>
        <v>0</v>
      </c>
      <c r="AL131" s="121">
        <f t="shared" si="21"/>
        <v>0</v>
      </c>
      <c r="AM131" s="121">
        <f t="shared" si="22"/>
        <v>0</v>
      </c>
      <c r="AN131" s="120" t="str">
        <f t="shared" si="42"/>
        <v/>
      </c>
      <c r="AO131" s="121">
        <f t="shared" si="23"/>
        <v>0</v>
      </c>
      <c r="AP131" s="121">
        <f t="shared" si="24"/>
        <v>0</v>
      </c>
      <c r="AQ131" s="121">
        <f t="shared" si="25"/>
        <v>0</v>
      </c>
      <c r="AR131" s="121">
        <f t="shared" si="26"/>
        <v>0</v>
      </c>
      <c r="AS131" s="120" t="str">
        <f t="shared" si="43"/>
        <v/>
      </c>
      <c r="AT131" s="121">
        <f t="shared" si="27"/>
        <v>0</v>
      </c>
      <c r="AU131" s="121">
        <f t="shared" si="28"/>
        <v>0</v>
      </c>
      <c r="AV131" s="121">
        <f t="shared" si="29"/>
        <v>0</v>
      </c>
      <c r="AW131" s="121">
        <f t="shared" si="30"/>
        <v>0</v>
      </c>
      <c r="AX131" s="120" t="str">
        <f t="shared" si="44"/>
        <v/>
      </c>
      <c r="AY131" s="121">
        <f t="shared" si="31"/>
        <v>0</v>
      </c>
      <c r="AZ131" s="121">
        <f t="shared" si="32"/>
        <v>0</v>
      </c>
      <c r="BA131" s="121">
        <f t="shared" si="33"/>
        <v>0</v>
      </c>
      <c r="BB131" s="121">
        <f t="shared" si="34"/>
        <v>0</v>
      </c>
      <c r="BC131" s="120" t="str">
        <f t="shared" si="45"/>
        <v/>
      </c>
    </row>
    <row r="132" spans="1:55" ht="14.25" customHeight="1" x14ac:dyDescent="0.3">
      <c r="A132" s="116" t="str">
        <f t="shared" si="0"/>
        <v>4 Vazquez E.</v>
      </c>
      <c r="B132" s="119">
        <f t="shared" si="0"/>
        <v>5</v>
      </c>
      <c r="C132" s="119">
        <f t="shared" si="0"/>
        <v>3</v>
      </c>
      <c r="D132" s="119">
        <f t="shared" si="0"/>
        <v>2</v>
      </c>
      <c r="E132" s="119">
        <f t="shared" si="0"/>
        <v>1</v>
      </c>
      <c r="F132" s="119">
        <f t="shared" si="0"/>
        <v>30</v>
      </c>
      <c r="G132" s="120">
        <f t="shared" si="35"/>
        <v>0.19166666666666668</v>
      </c>
      <c r="H132" s="121">
        <f t="shared" si="1"/>
        <v>0</v>
      </c>
      <c r="I132" s="121">
        <f t="shared" si="1"/>
        <v>0</v>
      </c>
      <c r="J132" s="121">
        <f t="shared" si="1"/>
        <v>0</v>
      </c>
      <c r="K132" s="121">
        <f t="shared" si="1"/>
        <v>0</v>
      </c>
      <c r="L132" s="121">
        <f t="shared" si="1"/>
        <v>0</v>
      </c>
      <c r="M132" s="120" t="str">
        <f t="shared" si="36"/>
        <v/>
      </c>
      <c r="N132" s="121">
        <f t="shared" si="2"/>
        <v>0</v>
      </c>
      <c r="O132" s="121">
        <f t="shared" si="3"/>
        <v>1</v>
      </c>
      <c r="P132" s="120">
        <f t="shared" si="37"/>
        <v>0.33333333333333331</v>
      </c>
      <c r="Q132" s="121">
        <f t="shared" si="4"/>
        <v>2</v>
      </c>
      <c r="R132" s="121">
        <f t="shared" si="5"/>
        <v>0</v>
      </c>
      <c r="S132" s="121">
        <f t="shared" si="6"/>
        <v>3</v>
      </c>
      <c r="T132" s="120">
        <f t="shared" si="38"/>
        <v>0</v>
      </c>
      <c r="U132" s="121">
        <f t="shared" si="7"/>
        <v>0</v>
      </c>
      <c r="V132" s="121">
        <f t="shared" si="8"/>
        <v>0</v>
      </c>
      <c r="W132" s="121">
        <f t="shared" si="9"/>
        <v>0</v>
      </c>
      <c r="X132" s="121">
        <f t="shared" si="10"/>
        <v>0</v>
      </c>
      <c r="Y132" s="120" t="str">
        <f t="shared" si="39"/>
        <v/>
      </c>
      <c r="Z132" s="121">
        <f t="shared" si="11"/>
        <v>0</v>
      </c>
      <c r="AA132" s="121">
        <f t="shared" si="12"/>
        <v>0</v>
      </c>
      <c r="AB132" s="121">
        <f t="shared" si="13"/>
        <v>0</v>
      </c>
      <c r="AC132" s="121">
        <f t="shared" si="14"/>
        <v>0</v>
      </c>
      <c r="AD132" s="120" t="str">
        <f t="shared" si="40"/>
        <v/>
      </c>
      <c r="AE132" s="121">
        <f t="shared" si="15"/>
        <v>0</v>
      </c>
      <c r="AF132" s="121">
        <f t="shared" si="16"/>
        <v>0</v>
      </c>
      <c r="AG132" s="121">
        <f t="shared" si="17"/>
        <v>0</v>
      </c>
      <c r="AH132" s="121">
        <f t="shared" si="18"/>
        <v>0</v>
      </c>
      <c r="AI132" s="120" t="str">
        <f t="shared" si="41"/>
        <v/>
      </c>
      <c r="AJ132" s="121">
        <f t="shared" si="19"/>
        <v>0</v>
      </c>
      <c r="AK132" s="121">
        <f t="shared" si="20"/>
        <v>0</v>
      </c>
      <c r="AL132" s="121">
        <f t="shared" si="21"/>
        <v>0</v>
      </c>
      <c r="AM132" s="121">
        <f t="shared" si="22"/>
        <v>0</v>
      </c>
      <c r="AN132" s="120" t="str">
        <f t="shared" si="42"/>
        <v/>
      </c>
      <c r="AO132" s="121">
        <f t="shared" si="23"/>
        <v>0</v>
      </c>
      <c r="AP132" s="121">
        <f t="shared" si="24"/>
        <v>0</v>
      </c>
      <c r="AQ132" s="121">
        <f t="shared" si="25"/>
        <v>0</v>
      </c>
      <c r="AR132" s="121">
        <f t="shared" si="26"/>
        <v>0</v>
      </c>
      <c r="AS132" s="120" t="str">
        <f t="shared" si="43"/>
        <v/>
      </c>
      <c r="AT132" s="121">
        <f t="shared" si="27"/>
        <v>0</v>
      </c>
      <c r="AU132" s="121">
        <f t="shared" si="28"/>
        <v>0</v>
      </c>
      <c r="AV132" s="121">
        <f t="shared" si="29"/>
        <v>0</v>
      </c>
      <c r="AW132" s="121">
        <f t="shared" si="30"/>
        <v>0</v>
      </c>
      <c r="AX132" s="120" t="str">
        <f t="shared" si="44"/>
        <v/>
      </c>
      <c r="AY132" s="121">
        <f t="shared" si="31"/>
        <v>0</v>
      </c>
      <c r="AZ132" s="121">
        <f t="shared" si="32"/>
        <v>1</v>
      </c>
      <c r="BA132" s="121">
        <f t="shared" si="33"/>
        <v>0</v>
      </c>
      <c r="BB132" s="121">
        <f t="shared" si="34"/>
        <v>1</v>
      </c>
      <c r="BC132" s="120">
        <f t="shared" si="45"/>
        <v>-1</v>
      </c>
    </row>
    <row r="133" spans="1:55" ht="14.25" customHeight="1" x14ac:dyDescent="0.3">
      <c r="A133" s="116" t="str">
        <f t="shared" si="0"/>
        <v>5 Ramos I.</v>
      </c>
      <c r="B133" s="119">
        <f t="shared" si="0"/>
        <v>0</v>
      </c>
      <c r="C133" s="119">
        <f t="shared" si="0"/>
        <v>0</v>
      </c>
      <c r="D133" s="119">
        <f t="shared" si="0"/>
        <v>0</v>
      </c>
      <c r="E133" s="119">
        <f t="shared" si="0"/>
        <v>0</v>
      </c>
      <c r="F133" s="119">
        <f t="shared" si="0"/>
        <v>1</v>
      </c>
      <c r="G133" s="120">
        <f t="shared" si="35"/>
        <v>0</v>
      </c>
      <c r="H133" s="121">
        <f t="shared" si="1"/>
        <v>0</v>
      </c>
      <c r="I133" s="121">
        <f t="shared" si="1"/>
        <v>0</v>
      </c>
      <c r="J133" s="121">
        <f t="shared" si="1"/>
        <v>0</v>
      </c>
      <c r="K133" s="121">
        <f t="shared" si="1"/>
        <v>0</v>
      </c>
      <c r="L133" s="121">
        <f t="shared" si="1"/>
        <v>0</v>
      </c>
      <c r="M133" s="120" t="str">
        <f t="shared" si="36"/>
        <v/>
      </c>
      <c r="N133" s="121">
        <f t="shared" si="2"/>
        <v>1</v>
      </c>
      <c r="O133" s="121">
        <f t="shared" si="3"/>
        <v>0</v>
      </c>
      <c r="P133" s="120">
        <f t="shared" si="37"/>
        <v>0.33333333333333331</v>
      </c>
      <c r="Q133" s="121">
        <f t="shared" si="4"/>
        <v>1</v>
      </c>
      <c r="R133" s="121">
        <f t="shared" si="5"/>
        <v>0</v>
      </c>
      <c r="S133" s="121">
        <f t="shared" si="6"/>
        <v>3</v>
      </c>
      <c r="T133" s="120">
        <f t="shared" si="38"/>
        <v>0.33333333333333331</v>
      </c>
      <c r="U133" s="121">
        <f t="shared" si="7"/>
        <v>0</v>
      </c>
      <c r="V133" s="121">
        <f t="shared" si="8"/>
        <v>0</v>
      </c>
      <c r="W133" s="121">
        <f t="shared" si="9"/>
        <v>0</v>
      </c>
      <c r="X133" s="121">
        <f t="shared" si="10"/>
        <v>0</v>
      </c>
      <c r="Y133" s="120" t="str">
        <f t="shared" si="39"/>
        <v/>
      </c>
      <c r="Z133" s="121">
        <f t="shared" si="11"/>
        <v>0</v>
      </c>
      <c r="AA133" s="121">
        <f t="shared" si="12"/>
        <v>0</v>
      </c>
      <c r="AB133" s="121">
        <f t="shared" si="13"/>
        <v>0</v>
      </c>
      <c r="AC133" s="121">
        <f t="shared" si="14"/>
        <v>1</v>
      </c>
      <c r="AD133" s="120">
        <f t="shared" si="40"/>
        <v>0</v>
      </c>
      <c r="AE133" s="121">
        <f t="shared" si="15"/>
        <v>2</v>
      </c>
      <c r="AF133" s="121">
        <f t="shared" si="16"/>
        <v>0</v>
      </c>
      <c r="AG133" s="121">
        <f t="shared" si="17"/>
        <v>0</v>
      </c>
      <c r="AH133" s="121">
        <f t="shared" si="18"/>
        <v>4</v>
      </c>
      <c r="AI133" s="120">
        <f t="shared" si="41"/>
        <v>0.5</v>
      </c>
      <c r="AJ133" s="121">
        <f t="shared" si="19"/>
        <v>0</v>
      </c>
      <c r="AK133" s="121">
        <f t="shared" si="20"/>
        <v>0</v>
      </c>
      <c r="AL133" s="121">
        <f t="shared" si="21"/>
        <v>0</v>
      </c>
      <c r="AM133" s="121">
        <f t="shared" si="22"/>
        <v>2</v>
      </c>
      <c r="AN133" s="120">
        <f t="shared" si="42"/>
        <v>0</v>
      </c>
      <c r="AO133" s="121">
        <f t="shared" si="23"/>
        <v>1</v>
      </c>
      <c r="AP133" s="121">
        <f t="shared" si="24"/>
        <v>0</v>
      </c>
      <c r="AQ133" s="121">
        <f t="shared" si="25"/>
        <v>0</v>
      </c>
      <c r="AR133" s="121">
        <f t="shared" si="26"/>
        <v>2</v>
      </c>
      <c r="AS133" s="120">
        <f t="shared" si="43"/>
        <v>0.5</v>
      </c>
      <c r="AT133" s="121">
        <f t="shared" si="27"/>
        <v>0</v>
      </c>
      <c r="AU133" s="121">
        <f t="shared" si="28"/>
        <v>0</v>
      </c>
      <c r="AV133" s="121">
        <f t="shared" si="29"/>
        <v>0</v>
      </c>
      <c r="AW133" s="121">
        <f t="shared" si="30"/>
        <v>0</v>
      </c>
      <c r="AX133" s="120" t="str">
        <f t="shared" si="44"/>
        <v/>
      </c>
      <c r="AY133" s="121">
        <f t="shared" si="31"/>
        <v>1</v>
      </c>
      <c r="AZ133" s="121">
        <f t="shared" si="32"/>
        <v>0</v>
      </c>
      <c r="BA133" s="121">
        <f t="shared" si="33"/>
        <v>0</v>
      </c>
      <c r="BB133" s="121">
        <f t="shared" si="34"/>
        <v>1</v>
      </c>
      <c r="BC133" s="120">
        <f t="shared" si="45"/>
        <v>1</v>
      </c>
    </row>
    <row r="134" spans="1:55" ht="14.25" customHeight="1" x14ac:dyDescent="0.3">
      <c r="A134" s="116" t="str">
        <f t="shared" si="0"/>
        <v>6 Villarruel J.</v>
      </c>
      <c r="B134" s="119">
        <f t="shared" si="0"/>
        <v>0</v>
      </c>
      <c r="C134" s="119">
        <f t="shared" si="0"/>
        <v>1</v>
      </c>
      <c r="D134" s="119">
        <f t="shared" si="0"/>
        <v>0</v>
      </c>
      <c r="E134" s="119">
        <f t="shared" si="0"/>
        <v>1</v>
      </c>
      <c r="F134" s="119">
        <f t="shared" si="0"/>
        <v>5</v>
      </c>
      <c r="G134" s="120">
        <f t="shared" si="35"/>
        <v>-0.15</v>
      </c>
      <c r="H134" s="121">
        <f t="shared" si="1"/>
        <v>2</v>
      </c>
      <c r="I134" s="121">
        <f t="shared" si="1"/>
        <v>0</v>
      </c>
      <c r="J134" s="121">
        <f t="shared" si="1"/>
        <v>0</v>
      </c>
      <c r="K134" s="121">
        <f t="shared" si="1"/>
        <v>0</v>
      </c>
      <c r="L134" s="121">
        <f t="shared" si="1"/>
        <v>3</v>
      </c>
      <c r="M134" s="120">
        <f t="shared" si="36"/>
        <v>0.66666666666666663</v>
      </c>
      <c r="N134" s="121">
        <f t="shared" si="2"/>
        <v>0</v>
      </c>
      <c r="O134" s="121">
        <f t="shared" si="3"/>
        <v>0</v>
      </c>
      <c r="P134" s="120" t="str">
        <f t="shared" si="37"/>
        <v/>
      </c>
      <c r="Q134" s="121">
        <f t="shared" si="4"/>
        <v>0</v>
      </c>
      <c r="R134" s="121">
        <f t="shared" si="5"/>
        <v>0</v>
      </c>
      <c r="S134" s="121">
        <f t="shared" si="6"/>
        <v>0</v>
      </c>
      <c r="T134" s="120" t="str">
        <f t="shared" si="38"/>
        <v/>
      </c>
      <c r="U134" s="121">
        <f t="shared" si="7"/>
        <v>0</v>
      </c>
      <c r="V134" s="121">
        <f t="shared" si="8"/>
        <v>0</v>
      </c>
      <c r="W134" s="121">
        <f t="shared" si="9"/>
        <v>0</v>
      </c>
      <c r="X134" s="121">
        <f t="shared" si="10"/>
        <v>0</v>
      </c>
      <c r="Y134" s="120" t="str">
        <f t="shared" si="39"/>
        <v/>
      </c>
      <c r="Z134" s="121">
        <f t="shared" si="11"/>
        <v>0</v>
      </c>
      <c r="AA134" s="121">
        <f t="shared" si="12"/>
        <v>0</v>
      </c>
      <c r="AB134" s="121">
        <f t="shared" si="13"/>
        <v>0</v>
      </c>
      <c r="AC134" s="121">
        <f t="shared" si="14"/>
        <v>0</v>
      </c>
      <c r="AD134" s="120" t="str">
        <f t="shared" si="40"/>
        <v/>
      </c>
      <c r="AE134" s="121">
        <f t="shared" si="15"/>
        <v>1</v>
      </c>
      <c r="AF134" s="121">
        <f t="shared" si="16"/>
        <v>1</v>
      </c>
      <c r="AG134" s="121">
        <f t="shared" si="17"/>
        <v>1</v>
      </c>
      <c r="AH134" s="121">
        <f t="shared" si="18"/>
        <v>5</v>
      </c>
      <c r="AI134" s="120">
        <f t="shared" si="41"/>
        <v>-0.2</v>
      </c>
      <c r="AJ134" s="121">
        <f t="shared" si="19"/>
        <v>0</v>
      </c>
      <c r="AK134" s="121">
        <f t="shared" si="20"/>
        <v>0</v>
      </c>
      <c r="AL134" s="121">
        <f t="shared" si="21"/>
        <v>0</v>
      </c>
      <c r="AM134" s="121">
        <f t="shared" si="22"/>
        <v>2</v>
      </c>
      <c r="AN134" s="120">
        <f t="shared" si="42"/>
        <v>0</v>
      </c>
      <c r="AO134" s="121">
        <f t="shared" si="23"/>
        <v>0</v>
      </c>
      <c r="AP134" s="121">
        <f t="shared" si="24"/>
        <v>0</v>
      </c>
      <c r="AQ134" s="121">
        <f t="shared" si="25"/>
        <v>0</v>
      </c>
      <c r="AR134" s="121">
        <f t="shared" si="26"/>
        <v>0</v>
      </c>
      <c r="AS134" s="120" t="str">
        <f t="shared" si="43"/>
        <v/>
      </c>
      <c r="AT134" s="121">
        <f t="shared" si="27"/>
        <v>0</v>
      </c>
      <c r="AU134" s="121">
        <f t="shared" si="28"/>
        <v>0</v>
      </c>
      <c r="AV134" s="121">
        <f t="shared" si="29"/>
        <v>0</v>
      </c>
      <c r="AW134" s="121">
        <f t="shared" si="30"/>
        <v>0</v>
      </c>
      <c r="AX134" s="120" t="str">
        <f t="shared" si="44"/>
        <v/>
      </c>
      <c r="AY134" s="121">
        <f t="shared" si="31"/>
        <v>1</v>
      </c>
      <c r="AZ134" s="121">
        <f t="shared" si="32"/>
        <v>1</v>
      </c>
      <c r="BA134" s="121">
        <f t="shared" si="33"/>
        <v>1</v>
      </c>
      <c r="BB134" s="121">
        <f t="shared" si="34"/>
        <v>3</v>
      </c>
      <c r="BC134" s="120">
        <f t="shared" si="45"/>
        <v>-0.33333333333333331</v>
      </c>
    </row>
    <row r="135" spans="1:55" ht="14.25" customHeight="1" x14ac:dyDescent="0.3">
      <c r="A135" s="116" t="str">
        <f t="shared" si="0"/>
        <v>9 Godoy M.</v>
      </c>
      <c r="B135" s="119">
        <f t="shared" si="0"/>
        <v>0</v>
      </c>
      <c r="C135" s="119">
        <f t="shared" si="0"/>
        <v>1</v>
      </c>
      <c r="D135" s="119">
        <f t="shared" si="0"/>
        <v>0</v>
      </c>
      <c r="E135" s="119">
        <f t="shared" si="0"/>
        <v>0</v>
      </c>
      <c r="F135" s="119">
        <f t="shared" si="0"/>
        <v>2</v>
      </c>
      <c r="G135" s="120">
        <f t="shared" si="35"/>
        <v>0.125</v>
      </c>
      <c r="H135" s="121">
        <f t="shared" si="1"/>
        <v>0</v>
      </c>
      <c r="I135" s="121">
        <f t="shared" si="1"/>
        <v>0</v>
      </c>
      <c r="J135" s="121">
        <f t="shared" si="1"/>
        <v>0</v>
      </c>
      <c r="K135" s="121">
        <f t="shared" si="1"/>
        <v>0</v>
      </c>
      <c r="L135" s="121">
        <f t="shared" si="1"/>
        <v>0</v>
      </c>
      <c r="M135" s="120" t="str">
        <f t="shared" si="36"/>
        <v/>
      </c>
      <c r="N135" s="121">
        <f t="shared" si="2"/>
        <v>0</v>
      </c>
      <c r="O135" s="121">
        <f t="shared" si="3"/>
        <v>1</v>
      </c>
      <c r="P135" s="120">
        <f t="shared" si="37"/>
        <v>0.2</v>
      </c>
      <c r="Q135" s="121">
        <f t="shared" si="4"/>
        <v>1</v>
      </c>
      <c r="R135" s="121">
        <f t="shared" si="5"/>
        <v>1</v>
      </c>
      <c r="S135" s="121">
        <f t="shared" si="6"/>
        <v>5</v>
      </c>
      <c r="T135" s="120">
        <f t="shared" si="38"/>
        <v>0</v>
      </c>
      <c r="U135" s="121">
        <f t="shared" si="7"/>
        <v>0</v>
      </c>
      <c r="V135" s="121">
        <f t="shared" si="8"/>
        <v>0</v>
      </c>
      <c r="W135" s="121">
        <f t="shared" si="9"/>
        <v>0</v>
      </c>
      <c r="X135" s="121">
        <f t="shared" si="10"/>
        <v>0</v>
      </c>
      <c r="Y135" s="120" t="str">
        <f t="shared" si="39"/>
        <v/>
      </c>
      <c r="Z135" s="121">
        <f t="shared" si="11"/>
        <v>0</v>
      </c>
      <c r="AA135" s="121">
        <f t="shared" si="12"/>
        <v>0</v>
      </c>
      <c r="AB135" s="121">
        <f t="shared" si="13"/>
        <v>0</v>
      </c>
      <c r="AC135" s="121">
        <f t="shared" si="14"/>
        <v>0</v>
      </c>
      <c r="AD135" s="120" t="str">
        <f t="shared" si="40"/>
        <v/>
      </c>
      <c r="AE135" s="121">
        <f t="shared" si="15"/>
        <v>0</v>
      </c>
      <c r="AF135" s="121">
        <f t="shared" si="16"/>
        <v>0</v>
      </c>
      <c r="AG135" s="121">
        <f t="shared" si="17"/>
        <v>0</v>
      </c>
      <c r="AH135" s="121">
        <f t="shared" si="18"/>
        <v>0</v>
      </c>
      <c r="AI135" s="120" t="str">
        <f t="shared" si="41"/>
        <v/>
      </c>
      <c r="AJ135" s="121">
        <f t="shared" si="19"/>
        <v>0</v>
      </c>
      <c r="AK135" s="121">
        <f t="shared" si="20"/>
        <v>0</v>
      </c>
      <c r="AL135" s="121">
        <f t="shared" si="21"/>
        <v>0</v>
      </c>
      <c r="AM135" s="121">
        <f t="shared" si="22"/>
        <v>0</v>
      </c>
      <c r="AN135" s="120" t="str">
        <f t="shared" si="42"/>
        <v/>
      </c>
      <c r="AO135" s="121">
        <f t="shared" si="23"/>
        <v>0</v>
      </c>
      <c r="AP135" s="121">
        <f t="shared" si="24"/>
        <v>0</v>
      </c>
      <c r="AQ135" s="121">
        <f t="shared" si="25"/>
        <v>0</v>
      </c>
      <c r="AR135" s="121">
        <f t="shared" si="26"/>
        <v>0</v>
      </c>
      <c r="AS135" s="120" t="str">
        <f t="shared" si="43"/>
        <v/>
      </c>
      <c r="AT135" s="121">
        <f t="shared" si="27"/>
        <v>0</v>
      </c>
      <c r="AU135" s="121">
        <f t="shared" si="28"/>
        <v>0</v>
      </c>
      <c r="AV135" s="121">
        <f t="shared" si="29"/>
        <v>0</v>
      </c>
      <c r="AW135" s="121">
        <f t="shared" si="30"/>
        <v>0</v>
      </c>
      <c r="AX135" s="120" t="str">
        <f t="shared" si="44"/>
        <v/>
      </c>
      <c r="AY135" s="121">
        <f t="shared" si="31"/>
        <v>1</v>
      </c>
      <c r="AZ135" s="121">
        <f t="shared" si="32"/>
        <v>0</v>
      </c>
      <c r="BA135" s="121">
        <f t="shared" si="33"/>
        <v>0</v>
      </c>
      <c r="BB135" s="121">
        <f t="shared" si="34"/>
        <v>2</v>
      </c>
      <c r="BC135" s="120">
        <f t="shared" si="45"/>
        <v>0.5</v>
      </c>
    </row>
    <row r="136" spans="1:55" ht="14.25" customHeight="1" x14ac:dyDescent="0.3">
      <c r="A136" s="116" t="str">
        <f t="shared" si="0"/>
        <v>10 Viera M.</v>
      </c>
      <c r="B136" s="119">
        <f t="shared" si="0"/>
        <v>0</v>
      </c>
      <c r="C136" s="119">
        <f t="shared" si="0"/>
        <v>0</v>
      </c>
      <c r="D136" s="119">
        <f t="shared" si="0"/>
        <v>0</v>
      </c>
      <c r="E136" s="119">
        <f t="shared" si="0"/>
        <v>0</v>
      </c>
      <c r="F136" s="119">
        <f t="shared" si="0"/>
        <v>0</v>
      </c>
      <c r="G136" s="120" t="str">
        <f t="shared" si="35"/>
        <v/>
      </c>
      <c r="H136" s="121">
        <f t="shared" si="1"/>
        <v>0</v>
      </c>
      <c r="I136" s="121">
        <f t="shared" si="1"/>
        <v>0</v>
      </c>
      <c r="J136" s="121">
        <f t="shared" si="1"/>
        <v>0</v>
      </c>
      <c r="K136" s="121">
        <f t="shared" si="1"/>
        <v>0</v>
      </c>
      <c r="L136" s="121">
        <f t="shared" si="1"/>
        <v>0</v>
      </c>
      <c r="M136" s="120" t="str">
        <f t="shared" si="36"/>
        <v/>
      </c>
      <c r="N136" s="121">
        <f t="shared" si="2"/>
        <v>0</v>
      </c>
      <c r="O136" s="121">
        <f t="shared" si="3"/>
        <v>0</v>
      </c>
      <c r="P136" s="120" t="str">
        <f t="shared" si="37"/>
        <v/>
      </c>
      <c r="Q136" s="121">
        <f t="shared" si="4"/>
        <v>0</v>
      </c>
      <c r="R136" s="121">
        <f t="shared" si="5"/>
        <v>0</v>
      </c>
      <c r="S136" s="121">
        <f t="shared" si="6"/>
        <v>0</v>
      </c>
      <c r="T136" s="120" t="str">
        <f t="shared" si="38"/>
        <v/>
      </c>
      <c r="U136" s="121">
        <f t="shared" si="7"/>
        <v>0</v>
      </c>
      <c r="V136" s="121">
        <f t="shared" si="8"/>
        <v>0</v>
      </c>
      <c r="W136" s="121">
        <f t="shared" si="9"/>
        <v>0</v>
      </c>
      <c r="X136" s="121">
        <f t="shared" si="10"/>
        <v>0</v>
      </c>
      <c r="Y136" s="120" t="str">
        <f t="shared" si="39"/>
        <v/>
      </c>
      <c r="Z136" s="121">
        <f t="shared" si="11"/>
        <v>0</v>
      </c>
      <c r="AA136" s="121">
        <f t="shared" si="12"/>
        <v>0</v>
      </c>
      <c r="AB136" s="121">
        <f t="shared" si="13"/>
        <v>0</v>
      </c>
      <c r="AC136" s="121">
        <f t="shared" si="14"/>
        <v>0</v>
      </c>
      <c r="AD136" s="120" t="str">
        <f t="shared" si="40"/>
        <v/>
      </c>
      <c r="AE136" s="121">
        <f t="shared" si="15"/>
        <v>0</v>
      </c>
      <c r="AF136" s="121">
        <f t="shared" si="16"/>
        <v>0</v>
      </c>
      <c r="AG136" s="121">
        <f t="shared" si="17"/>
        <v>0</v>
      </c>
      <c r="AH136" s="121">
        <f t="shared" si="18"/>
        <v>0</v>
      </c>
      <c r="AI136" s="120" t="str">
        <f t="shared" si="41"/>
        <v/>
      </c>
      <c r="AJ136" s="121">
        <f t="shared" si="19"/>
        <v>0</v>
      </c>
      <c r="AK136" s="121">
        <f t="shared" si="20"/>
        <v>0</v>
      </c>
      <c r="AL136" s="121">
        <f t="shared" si="21"/>
        <v>0</v>
      </c>
      <c r="AM136" s="121">
        <f t="shared" si="22"/>
        <v>0</v>
      </c>
      <c r="AN136" s="120" t="str">
        <f t="shared" si="42"/>
        <v/>
      </c>
      <c r="AO136" s="121">
        <f t="shared" si="23"/>
        <v>0</v>
      </c>
      <c r="AP136" s="121">
        <f t="shared" si="24"/>
        <v>0</v>
      </c>
      <c r="AQ136" s="121">
        <f t="shared" si="25"/>
        <v>0</v>
      </c>
      <c r="AR136" s="121">
        <f t="shared" si="26"/>
        <v>0</v>
      </c>
      <c r="AS136" s="120" t="str">
        <f t="shared" si="43"/>
        <v/>
      </c>
      <c r="AT136" s="121">
        <f t="shared" si="27"/>
        <v>0</v>
      </c>
      <c r="AU136" s="121">
        <f t="shared" si="28"/>
        <v>0</v>
      </c>
      <c r="AV136" s="121">
        <f t="shared" si="29"/>
        <v>0</v>
      </c>
      <c r="AW136" s="121">
        <f t="shared" si="30"/>
        <v>0</v>
      </c>
      <c r="AX136" s="120" t="str">
        <f t="shared" si="44"/>
        <v/>
      </c>
      <c r="AY136" s="121">
        <f t="shared" si="31"/>
        <v>0</v>
      </c>
      <c r="AZ136" s="121">
        <f t="shared" si="32"/>
        <v>0</v>
      </c>
      <c r="BA136" s="121">
        <f t="shared" si="33"/>
        <v>0</v>
      </c>
      <c r="BB136" s="121">
        <f t="shared" si="34"/>
        <v>0</v>
      </c>
      <c r="BC136" s="120" t="str">
        <f t="shared" si="45"/>
        <v/>
      </c>
    </row>
    <row r="137" spans="1:55" ht="14.25" customHeight="1" x14ac:dyDescent="0.3">
      <c r="A137" s="116" t="str">
        <f t="shared" si="0"/>
        <v>11 Durdos V.</v>
      </c>
      <c r="B137" s="119">
        <f t="shared" si="0"/>
        <v>0</v>
      </c>
      <c r="C137" s="119">
        <f t="shared" si="0"/>
        <v>0</v>
      </c>
      <c r="D137" s="119">
        <f t="shared" si="0"/>
        <v>0</v>
      </c>
      <c r="E137" s="119">
        <f t="shared" si="0"/>
        <v>3</v>
      </c>
      <c r="F137" s="119">
        <f t="shared" si="0"/>
        <v>6</v>
      </c>
      <c r="G137" s="120">
        <f t="shared" si="35"/>
        <v>-0.5</v>
      </c>
      <c r="H137" s="121">
        <f t="shared" si="1"/>
        <v>5</v>
      </c>
      <c r="I137" s="121">
        <f t="shared" si="1"/>
        <v>13</v>
      </c>
      <c r="J137" s="121">
        <f t="shared" si="1"/>
        <v>2</v>
      </c>
      <c r="K137" s="121">
        <f t="shared" si="1"/>
        <v>0</v>
      </c>
      <c r="L137" s="121">
        <f t="shared" si="1"/>
        <v>34</v>
      </c>
      <c r="M137" s="120">
        <f t="shared" si="36"/>
        <v>0.30882352941176472</v>
      </c>
      <c r="N137" s="121">
        <f t="shared" si="2"/>
        <v>0</v>
      </c>
      <c r="O137" s="121">
        <f t="shared" si="3"/>
        <v>1</v>
      </c>
      <c r="P137" s="120">
        <f t="shared" si="37"/>
        <v>0.2</v>
      </c>
      <c r="Q137" s="121">
        <f t="shared" si="4"/>
        <v>1</v>
      </c>
      <c r="R137" s="121">
        <f t="shared" si="5"/>
        <v>1</v>
      </c>
      <c r="S137" s="121">
        <f t="shared" si="6"/>
        <v>5</v>
      </c>
      <c r="T137" s="120">
        <f t="shared" si="38"/>
        <v>0</v>
      </c>
      <c r="U137" s="121">
        <f t="shared" si="7"/>
        <v>0</v>
      </c>
      <c r="V137" s="121">
        <f t="shared" si="8"/>
        <v>0</v>
      </c>
      <c r="W137" s="121">
        <f t="shared" si="9"/>
        <v>0</v>
      </c>
      <c r="X137" s="121">
        <f t="shared" si="10"/>
        <v>0</v>
      </c>
      <c r="Y137" s="120" t="str">
        <f t="shared" si="39"/>
        <v/>
      </c>
      <c r="Z137" s="121">
        <f t="shared" si="11"/>
        <v>2</v>
      </c>
      <c r="AA137" s="121">
        <f t="shared" si="12"/>
        <v>3</v>
      </c>
      <c r="AB137" s="121">
        <f t="shared" si="13"/>
        <v>0</v>
      </c>
      <c r="AC137" s="121">
        <f t="shared" si="14"/>
        <v>8</v>
      </c>
      <c r="AD137" s="120">
        <f t="shared" si="40"/>
        <v>-0.125</v>
      </c>
      <c r="AE137" s="121">
        <f t="shared" si="15"/>
        <v>9</v>
      </c>
      <c r="AF137" s="121">
        <f t="shared" si="16"/>
        <v>2</v>
      </c>
      <c r="AG137" s="121">
        <f t="shared" si="17"/>
        <v>3</v>
      </c>
      <c r="AH137" s="121">
        <f t="shared" si="18"/>
        <v>20</v>
      </c>
      <c r="AI137" s="120">
        <f t="shared" si="41"/>
        <v>0.2</v>
      </c>
      <c r="AJ137" s="121">
        <f t="shared" si="19"/>
        <v>4</v>
      </c>
      <c r="AK137" s="121">
        <f t="shared" si="20"/>
        <v>0</v>
      </c>
      <c r="AL137" s="121">
        <f t="shared" si="21"/>
        <v>3</v>
      </c>
      <c r="AM137" s="121">
        <f t="shared" si="22"/>
        <v>9</v>
      </c>
      <c r="AN137" s="120">
        <f t="shared" si="42"/>
        <v>0.1111111111111111</v>
      </c>
      <c r="AO137" s="121">
        <f t="shared" si="23"/>
        <v>3</v>
      </c>
      <c r="AP137" s="121">
        <f t="shared" si="24"/>
        <v>0</v>
      </c>
      <c r="AQ137" s="121">
        <f t="shared" si="25"/>
        <v>0</v>
      </c>
      <c r="AR137" s="121">
        <f t="shared" si="26"/>
        <v>5</v>
      </c>
      <c r="AS137" s="120">
        <f t="shared" si="43"/>
        <v>0.6</v>
      </c>
      <c r="AT137" s="121">
        <f t="shared" si="27"/>
        <v>2</v>
      </c>
      <c r="AU137" s="121">
        <f t="shared" si="28"/>
        <v>1</v>
      </c>
      <c r="AV137" s="121">
        <f t="shared" si="29"/>
        <v>0</v>
      </c>
      <c r="AW137" s="121">
        <f t="shared" si="30"/>
        <v>5</v>
      </c>
      <c r="AX137" s="120">
        <f t="shared" si="44"/>
        <v>0.2</v>
      </c>
      <c r="AY137" s="121">
        <f t="shared" si="31"/>
        <v>2</v>
      </c>
      <c r="AZ137" s="121">
        <f t="shared" si="32"/>
        <v>4</v>
      </c>
      <c r="BA137" s="121">
        <f t="shared" si="33"/>
        <v>1</v>
      </c>
      <c r="BB137" s="121">
        <f t="shared" si="34"/>
        <v>12</v>
      </c>
      <c r="BC137" s="120">
        <f t="shared" si="45"/>
        <v>-0.25</v>
      </c>
    </row>
    <row r="138" spans="1:55" ht="14.25" customHeight="1" x14ac:dyDescent="0.3">
      <c r="A138" s="116" t="str">
        <f t="shared" ref="A138:F144" si="46">A157</f>
        <v>12 Zanotti J.</v>
      </c>
      <c r="B138" s="119">
        <f t="shared" si="46"/>
        <v>0</v>
      </c>
      <c r="C138" s="119">
        <f t="shared" si="46"/>
        <v>0</v>
      </c>
      <c r="D138" s="119">
        <f t="shared" si="46"/>
        <v>0</v>
      </c>
      <c r="E138" s="119">
        <f t="shared" si="46"/>
        <v>0</v>
      </c>
      <c r="F138" s="119">
        <f t="shared" si="46"/>
        <v>0</v>
      </c>
      <c r="G138" s="120" t="str">
        <f t="shared" si="35"/>
        <v/>
      </c>
      <c r="H138" s="121">
        <f t="shared" ref="H138:L144" si="47">G157</f>
        <v>4</v>
      </c>
      <c r="I138" s="121">
        <f t="shared" si="47"/>
        <v>6</v>
      </c>
      <c r="J138" s="121">
        <f t="shared" si="47"/>
        <v>0</v>
      </c>
      <c r="K138" s="121">
        <f t="shared" si="47"/>
        <v>2</v>
      </c>
      <c r="L138" s="121">
        <f t="shared" si="47"/>
        <v>16</v>
      </c>
      <c r="M138" s="120">
        <f t="shared" si="36"/>
        <v>0.3125</v>
      </c>
      <c r="N138" s="121">
        <f t="shared" si="2"/>
        <v>0</v>
      </c>
      <c r="O138" s="121">
        <f t="shared" si="3"/>
        <v>0</v>
      </c>
      <c r="P138" s="120" t="str">
        <f t="shared" si="37"/>
        <v/>
      </c>
      <c r="Q138" s="121">
        <f t="shared" si="4"/>
        <v>0</v>
      </c>
      <c r="R138" s="121">
        <f t="shared" si="5"/>
        <v>0</v>
      </c>
      <c r="S138" s="121">
        <f t="shared" si="6"/>
        <v>0</v>
      </c>
      <c r="T138" s="120" t="str">
        <f t="shared" si="38"/>
        <v/>
      </c>
      <c r="U138" s="121">
        <f t="shared" si="7"/>
        <v>0</v>
      </c>
      <c r="V138" s="121">
        <f t="shared" si="8"/>
        <v>0</v>
      </c>
      <c r="W138" s="121">
        <f t="shared" si="9"/>
        <v>0</v>
      </c>
      <c r="X138" s="121">
        <f t="shared" si="10"/>
        <v>0</v>
      </c>
      <c r="Y138" s="120" t="str">
        <f t="shared" si="39"/>
        <v/>
      </c>
      <c r="Z138" s="121">
        <f t="shared" si="11"/>
        <v>0</v>
      </c>
      <c r="AA138" s="121">
        <f t="shared" si="12"/>
        <v>0</v>
      </c>
      <c r="AB138" s="121">
        <f t="shared" si="13"/>
        <v>0</v>
      </c>
      <c r="AC138" s="121">
        <f t="shared" si="14"/>
        <v>0</v>
      </c>
      <c r="AD138" s="120" t="str">
        <f t="shared" si="40"/>
        <v/>
      </c>
      <c r="AE138" s="121">
        <f t="shared" si="15"/>
        <v>0</v>
      </c>
      <c r="AF138" s="121">
        <f t="shared" si="16"/>
        <v>0</v>
      </c>
      <c r="AG138" s="121">
        <f t="shared" si="17"/>
        <v>0</v>
      </c>
      <c r="AH138" s="121">
        <f t="shared" si="18"/>
        <v>0</v>
      </c>
      <c r="AI138" s="120" t="str">
        <f t="shared" si="41"/>
        <v/>
      </c>
      <c r="AJ138" s="121">
        <f t="shared" si="19"/>
        <v>0</v>
      </c>
      <c r="AK138" s="121">
        <f t="shared" si="20"/>
        <v>0</v>
      </c>
      <c r="AL138" s="121">
        <f t="shared" si="21"/>
        <v>0</v>
      </c>
      <c r="AM138" s="121">
        <f t="shared" si="22"/>
        <v>0</v>
      </c>
      <c r="AN138" s="120" t="str">
        <f t="shared" si="42"/>
        <v/>
      </c>
      <c r="AO138" s="121">
        <f t="shared" si="23"/>
        <v>0</v>
      </c>
      <c r="AP138" s="121">
        <f t="shared" si="24"/>
        <v>0</v>
      </c>
      <c r="AQ138" s="121">
        <f t="shared" si="25"/>
        <v>0</v>
      </c>
      <c r="AR138" s="121">
        <f t="shared" si="26"/>
        <v>0</v>
      </c>
      <c r="AS138" s="120" t="str">
        <f t="shared" si="43"/>
        <v/>
      </c>
      <c r="AT138" s="121">
        <f t="shared" si="27"/>
        <v>0</v>
      </c>
      <c r="AU138" s="121">
        <f t="shared" si="28"/>
        <v>0</v>
      </c>
      <c r="AV138" s="121">
        <f t="shared" si="29"/>
        <v>0</v>
      </c>
      <c r="AW138" s="121">
        <f t="shared" si="30"/>
        <v>0</v>
      </c>
      <c r="AX138" s="120" t="str">
        <f t="shared" si="44"/>
        <v/>
      </c>
      <c r="AY138" s="121">
        <f t="shared" si="31"/>
        <v>0</v>
      </c>
      <c r="AZ138" s="121">
        <f t="shared" si="32"/>
        <v>0</v>
      </c>
      <c r="BA138" s="121">
        <f t="shared" si="33"/>
        <v>0</v>
      </c>
      <c r="BB138" s="121">
        <f t="shared" si="34"/>
        <v>0</v>
      </c>
      <c r="BC138" s="120" t="str">
        <f t="shared" si="45"/>
        <v/>
      </c>
    </row>
    <row r="139" spans="1:55" ht="14.25" customHeight="1" x14ac:dyDescent="0.3">
      <c r="A139" s="116" t="str">
        <f t="shared" si="46"/>
        <v>13 Rojas Caruso M.</v>
      </c>
      <c r="B139" s="119">
        <f t="shared" si="46"/>
        <v>0</v>
      </c>
      <c r="C139" s="119">
        <f t="shared" si="46"/>
        <v>0</v>
      </c>
      <c r="D139" s="119">
        <f t="shared" si="46"/>
        <v>0</v>
      </c>
      <c r="E139" s="119">
        <f t="shared" si="46"/>
        <v>0</v>
      </c>
      <c r="F139" s="119">
        <f t="shared" si="46"/>
        <v>0</v>
      </c>
      <c r="G139" s="120" t="str">
        <f t="shared" si="35"/>
        <v/>
      </c>
      <c r="H139" s="121">
        <f t="shared" si="47"/>
        <v>0</v>
      </c>
      <c r="I139" s="121">
        <f t="shared" si="47"/>
        <v>0</v>
      </c>
      <c r="J139" s="121">
        <f t="shared" si="47"/>
        <v>0</v>
      </c>
      <c r="K139" s="121">
        <f t="shared" si="47"/>
        <v>0</v>
      </c>
      <c r="L139" s="121">
        <f t="shared" si="47"/>
        <v>0</v>
      </c>
      <c r="M139" s="120" t="str">
        <f t="shared" si="36"/>
        <v/>
      </c>
      <c r="N139" s="121">
        <f t="shared" si="2"/>
        <v>0</v>
      </c>
      <c r="O139" s="121">
        <f t="shared" si="3"/>
        <v>0</v>
      </c>
      <c r="P139" s="120" t="str">
        <f t="shared" si="37"/>
        <v/>
      </c>
      <c r="Q139" s="121">
        <f t="shared" si="4"/>
        <v>0</v>
      </c>
      <c r="R139" s="121">
        <f t="shared" si="5"/>
        <v>0</v>
      </c>
      <c r="S139" s="121">
        <f t="shared" si="6"/>
        <v>0</v>
      </c>
      <c r="T139" s="120" t="str">
        <f t="shared" si="38"/>
        <v/>
      </c>
      <c r="U139" s="121">
        <f t="shared" si="7"/>
        <v>0</v>
      </c>
      <c r="V139" s="121">
        <f t="shared" si="8"/>
        <v>0</v>
      </c>
      <c r="W139" s="121">
        <f t="shared" si="9"/>
        <v>0</v>
      </c>
      <c r="X139" s="121">
        <f t="shared" si="10"/>
        <v>0</v>
      </c>
      <c r="Y139" s="120" t="str">
        <f t="shared" si="39"/>
        <v/>
      </c>
      <c r="Z139" s="121">
        <f t="shared" si="11"/>
        <v>0</v>
      </c>
      <c r="AA139" s="121">
        <f t="shared" si="12"/>
        <v>0</v>
      </c>
      <c r="AB139" s="121">
        <f t="shared" si="13"/>
        <v>0</v>
      </c>
      <c r="AC139" s="121">
        <f t="shared" si="14"/>
        <v>0</v>
      </c>
      <c r="AD139" s="120" t="str">
        <f t="shared" si="40"/>
        <v/>
      </c>
      <c r="AE139" s="121">
        <f t="shared" si="15"/>
        <v>0</v>
      </c>
      <c r="AF139" s="121">
        <f t="shared" si="16"/>
        <v>0</v>
      </c>
      <c r="AG139" s="121">
        <f t="shared" si="17"/>
        <v>0</v>
      </c>
      <c r="AH139" s="121">
        <f t="shared" si="18"/>
        <v>0</v>
      </c>
      <c r="AI139" s="120" t="str">
        <f t="shared" si="41"/>
        <v/>
      </c>
      <c r="AJ139" s="121">
        <f t="shared" si="19"/>
        <v>0</v>
      </c>
      <c r="AK139" s="121">
        <f t="shared" si="20"/>
        <v>0</v>
      </c>
      <c r="AL139" s="121">
        <f t="shared" si="21"/>
        <v>0</v>
      </c>
      <c r="AM139" s="121">
        <f t="shared" si="22"/>
        <v>0</v>
      </c>
      <c r="AN139" s="120" t="str">
        <f t="shared" si="42"/>
        <v/>
      </c>
      <c r="AO139" s="121">
        <f t="shared" si="23"/>
        <v>0</v>
      </c>
      <c r="AP139" s="121">
        <f t="shared" si="24"/>
        <v>0</v>
      </c>
      <c r="AQ139" s="121">
        <f t="shared" si="25"/>
        <v>0</v>
      </c>
      <c r="AR139" s="121">
        <f t="shared" si="26"/>
        <v>0</v>
      </c>
      <c r="AS139" s="120" t="str">
        <f t="shared" si="43"/>
        <v/>
      </c>
      <c r="AT139" s="121">
        <f t="shared" si="27"/>
        <v>0</v>
      </c>
      <c r="AU139" s="121">
        <f t="shared" si="28"/>
        <v>0</v>
      </c>
      <c r="AV139" s="121">
        <f t="shared" si="29"/>
        <v>0</v>
      </c>
      <c r="AW139" s="121">
        <f t="shared" si="30"/>
        <v>0</v>
      </c>
      <c r="AX139" s="120" t="str">
        <f t="shared" si="44"/>
        <v/>
      </c>
      <c r="AY139" s="121">
        <f t="shared" si="31"/>
        <v>0</v>
      </c>
      <c r="AZ139" s="121">
        <f t="shared" si="32"/>
        <v>0</v>
      </c>
      <c r="BA139" s="121">
        <f t="shared" si="33"/>
        <v>0</v>
      </c>
      <c r="BB139" s="121">
        <f t="shared" si="34"/>
        <v>0</v>
      </c>
      <c r="BC139" s="120" t="str">
        <f t="shared" si="45"/>
        <v/>
      </c>
    </row>
    <row r="140" spans="1:55" ht="14.25" customHeight="1" x14ac:dyDescent="0.3">
      <c r="A140" s="116" t="str">
        <f t="shared" si="46"/>
        <v>14 Nielson R.</v>
      </c>
      <c r="B140" s="119">
        <f t="shared" si="46"/>
        <v>1</v>
      </c>
      <c r="C140" s="119">
        <f t="shared" si="46"/>
        <v>3</v>
      </c>
      <c r="D140" s="119">
        <f t="shared" si="46"/>
        <v>1</v>
      </c>
      <c r="E140" s="119">
        <f t="shared" si="46"/>
        <v>1</v>
      </c>
      <c r="F140" s="119">
        <f t="shared" si="46"/>
        <v>19</v>
      </c>
      <c r="G140" s="120">
        <f t="shared" si="35"/>
        <v>6.5789473684210523E-2</v>
      </c>
      <c r="H140" s="121">
        <f t="shared" si="47"/>
        <v>14</v>
      </c>
      <c r="I140" s="121">
        <f t="shared" si="47"/>
        <v>7</v>
      </c>
      <c r="J140" s="121">
        <f t="shared" si="47"/>
        <v>0</v>
      </c>
      <c r="K140" s="121">
        <f t="shared" si="47"/>
        <v>1</v>
      </c>
      <c r="L140" s="121">
        <f t="shared" si="47"/>
        <v>33</v>
      </c>
      <c r="M140" s="120">
        <f t="shared" si="36"/>
        <v>0.5</v>
      </c>
      <c r="N140" s="121">
        <f t="shared" si="2"/>
        <v>1</v>
      </c>
      <c r="O140" s="121">
        <f t="shared" si="3"/>
        <v>1</v>
      </c>
      <c r="P140" s="120">
        <f t="shared" si="37"/>
        <v>0.33333333333333331</v>
      </c>
      <c r="Q140" s="121">
        <f t="shared" si="4"/>
        <v>3</v>
      </c>
      <c r="R140" s="121">
        <f t="shared" si="5"/>
        <v>0</v>
      </c>
      <c r="S140" s="121">
        <f t="shared" si="6"/>
        <v>6</v>
      </c>
      <c r="T140" s="120">
        <f t="shared" si="38"/>
        <v>0.16666666666666666</v>
      </c>
      <c r="U140" s="121">
        <f t="shared" si="7"/>
        <v>0</v>
      </c>
      <c r="V140" s="121">
        <f t="shared" si="8"/>
        <v>0</v>
      </c>
      <c r="W140" s="121">
        <f t="shared" si="9"/>
        <v>0</v>
      </c>
      <c r="X140" s="121">
        <f t="shared" si="10"/>
        <v>0</v>
      </c>
      <c r="Y140" s="120" t="str">
        <f t="shared" si="39"/>
        <v/>
      </c>
      <c r="Z140" s="121">
        <f t="shared" si="11"/>
        <v>4</v>
      </c>
      <c r="AA140" s="121">
        <f t="shared" si="12"/>
        <v>1</v>
      </c>
      <c r="AB140" s="121">
        <f t="shared" si="13"/>
        <v>0</v>
      </c>
      <c r="AC140" s="121">
        <f t="shared" si="14"/>
        <v>9</v>
      </c>
      <c r="AD140" s="120">
        <f t="shared" si="40"/>
        <v>0.33333333333333331</v>
      </c>
      <c r="AE140" s="121">
        <f t="shared" si="15"/>
        <v>13</v>
      </c>
      <c r="AF140" s="121">
        <f t="shared" si="16"/>
        <v>0</v>
      </c>
      <c r="AG140" s="121">
        <f t="shared" si="17"/>
        <v>1</v>
      </c>
      <c r="AH140" s="121">
        <f t="shared" si="18"/>
        <v>24</v>
      </c>
      <c r="AI140" s="120">
        <f t="shared" si="41"/>
        <v>0.5</v>
      </c>
      <c r="AJ140" s="121">
        <f t="shared" si="19"/>
        <v>4</v>
      </c>
      <c r="AK140" s="121">
        <f t="shared" si="20"/>
        <v>0</v>
      </c>
      <c r="AL140" s="121">
        <f t="shared" si="21"/>
        <v>1</v>
      </c>
      <c r="AM140" s="121">
        <f t="shared" si="22"/>
        <v>11</v>
      </c>
      <c r="AN140" s="120">
        <f t="shared" si="42"/>
        <v>0.27272727272727271</v>
      </c>
      <c r="AO140" s="121">
        <f t="shared" si="23"/>
        <v>1</v>
      </c>
      <c r="AP140" s="121">
        <f t="shared" si="24"/>
        <v>0</v>
      </c>
      <c r="AQ140" s="121">
        <f t="shared" si="25"/>
        <v>0</v>
      </c>
      <c r="AR140" s="121">
        <f t="shared" si="26"/>
        <v>2</v>
      </c>
      <c r="AS140" s="120">
        <f t="shared" si="43"/>
        <v>0.5</v>
      </c>
      <c r="AT140" s="121">
        <f t="shared" si="27"/>
        <v>2</v>
      </c>
      <c r="AU140" s="121">
        <f t="shared" si="28"/>
        <v>0</v>
      </c>
      <c r="AV140" s="121">
        <f t="shared" si="29"/>
        <v>0</v>
      </c>
      <c r="AW140" s="121">
        <f t="shared" si="30"/>
        <v>2</v>
      </c>
      <c r="AX140" s="120">
        <f t="shared" si="44"/>
        <v>1</v>
      </c>
      <c r="AY140" s="121">
        <f t="shared" si="31"/>
        <v>10</v>
      </c>
      <c r="AZ140" s="121">
        <f t="shared" si="32"/>
        <v>1</v>
      </c>
      <c r="BA140" s="121">
        <f t="shared" si="33"/>
        <v>0</v>
      </c>
      <c r="BB140" s="121">
        <f t="shared" si="34"/>
        <v>18</v>
      </c>
      <c r="BC140" s="120">
        <f t="shared" si="45"/>
        <v>0.5</v>
      </c>
    </row>
    <row r="141" spans="1:55" ht="14.25" customHeight="1" x14ac:dyDescent="0.3">
      <c r="A141" s="116" t="str">
        <f t="shared" si="46"/>
        <v>15 Rotezzi R.</v>
      </c>
      <c r="B141" s="119">
        <f t="shared" si="46"/>
        <v>0</v>
      </c>
      <c r="C141" s="119">
        <f t="shared" si="46"/>
        <v>0</v>
      </c>
      <c r="D141" s="119">
        <f t="shared" si="46"/>
        <v>0</v>
      </c>
      <c r="E141" s="119">
        <f t="shared" si="46"/>
        <v>0</v>
      </c>
      <c r="F141" s="119">
        <f t="shared" si="46"/>
        <v>0</v>
      </c>
      <c r="G141" s="120" t="str">
        <f t="shared" si="35"/>
        <v/>
      </c>
      <c r="H141" s="121">
        <f t="shared" si="47"/>
        <v>0</v>
      </c>
      <c r="I141" s="121">
        <f t="shared" si="47"/>
        <v>0</v>
      </c>
      <c r="J141" s="121">
        <f t="shared" si="47"/>
        <v>0</v>
      </c>
      <c r="K141" s="121">
        <f t="shared" si="47"/>
        <v>0</v>
      </c>
      <c r="L141" s="121">
        <f t="shared" si="47"/>
        <v>0</v>
      </c>
      <c r="M141" s="120" t="str">
        <f t="shared" si="36"/>
        <v/>
      </c>
      <c r="N141" s="121">
        <f t="shared" si="2"/>
        <v>0</v>
      </c>
      <c r="O141" s="121">
        <f t="shared" si="3"/>
        <v>0</v>
      </c>
      <c r="P141" s="120" t="str">
        <f t="shared" si="37"/>
        <v/>
      </c>
      <c r="Q141" s="121">
        <f t="shared" si="4"/>
        <v>0</v>
      </c>
      <c r="R141" s="121">
        <f t="shared" si="5"/>
        <v>0</v>
      </c>
      <c r="S141" s="121">
        <f t="shared" si="6"/>
        <v>0</v>
      </c>
      <c r="T141" s="120" t="str">
        <f t="shared" si="38"/>
        <v/>
      </c>
      <c r="U141" s="121">
        <f t="shared" si="7"/>
        <v>0</v>
      </c>
      <c r="V141" s="121">
        <f t="shared" si="8"/>
        <v>0</v>
      </c>
      <c r="W141" s="121">
        <f t="shared" si="9"/>
        <v>0</v>
      </c>
      <c r="X141" s="121">
        <f t="shared" si="10"/>
        <v>0</v>
      </c>
      <c r="Y141" s="120" t="str">
        <f t="shared" si="39"/>
        <v/>
      </c>
      <c r="Z141" s="121">
        <f t="shared" si="11"/>
        <v>0</v>
      </c>
      <c r="AA141" s="121">
        <f t="shared" si="12"/>
        <v>0</v>
      </c>
      <c r="AB141" s="121">
        <f t="shared" si="13"/>
        <v>0</v>
      </c>
      <c r="AC141" s="121">
        <f t="shared" si="14"/>
        <v>0</v>
      </c>
      <c r="AD141" s="120" t="str">
        <f t="shared" si="40"/>
        <v/>
      </c>
      <c r="AE141" s="121">
        <f t="shared" si="15"/>
        <v>0</v>
      </c>
      <c r="AF141" s="121">
        <f t="shared" si="16"/>
        <v>0</v>
      </c>
      <c r="AG141" s="121">
        <f t="shared" si="17"/>
        <v>0</v>
      </c>
      <c r="AH141" s="121">
        <f t="shared" si="18"/>
        <v>0</v>
      </c>
      <c r="AI141" s="120" t="str">
        <f t="shared" si="41"/>
        <v/>
      </c>
      <c r="AJ141" s="121">
        <f t="shared" si="19"/>
        <v>0</v>
      </c>
      <c r="AK141" s="121">
        <f t="shared" si="20"/>
        <v>0</v>
      </c>
      <c r="AL141" s="121">
        <f t="shared" si="21"/>
        <v>0</v>
      </c>
      <c r="AM141" s="121">
        <f t="shared" si="22"/>
        <v>0</v>
      </c>
      <c r="AN141" s="120" t="str">
        <f t="shared" si="42"/>
        <v/>
      </c>
      <c r="AO141" s="121">
        <f t="shared" si="23"/>
        <v>0</v>
      </c>
      <c r="AP141" s="121">
        <f t="shared" si="24"/>
        <v>0</v>
      </c>
      <c r="AQ141" s="121">
        <f t="shared" si="25"/>
        <v>0</v>
      </c>
      <c r="AR141" s="121">
        <f t="shared" si="26"/>
        <v>0</v>
      </c>
      <c r="AS141" s="120" t="str">
        <f t="shared" si="43"/>
        <v/>
      </c>
      <c r="AT141" s="121">
        <f t="shared" si="27"/>
        <v>0</v>
      </c>
      <c r="AU141" s="121">
        <f t="shared" si="28"/>
        <v>0</v>
      </c>
      <c r="AV141" s="121">
        <f t="shared" si="29"/>
        <v>0</v>
      </c>
      <c r="AW141" s="121">
        <f t="shared" si="30"/>
        <v>0</v>
      </c>
      <c r="AX141" s="120" t="str">
        <f t="shared" si="44"/>
        <v/>
      </c>
      <c r="AY141" s="121">
        <f t="shared" si="31"/>
        <v>0</v>
      </c>
      <c r="AZ141" s="121">
        <f t="shared" si="32"/>
        <v>0</v>
      </c>
      <c r="BA141" s="121">
        <f t="shared" si="33"/>
        <v>0</v>
      </c>
      <c r="BB141" s="121">
        <f t="shared" si="34"/>
        <v>0</v>
      </c>
      <c r="BC141" s="120" t="str">
        <f t="shared" si="45"/>
        <v/>
      </c>
    </row>
    <row r="142" spans="1:55" ht="14.25" customHeight="1" x14ac:dyDescent="0.3">
      <c r="A142" s="116" t="str">
        <f t="shared" si="46"/>
        <v>17 Herbsommer L.</v>
      </c>
      <c r="B142" s="119">
        <f t="shared" si="46"/>
        <v>0</v>
      </c>
      <c r="C142" s="119">
        <f t="shared" si="46"/>
        <v>3</v>
      </c>
      <c r="D142" s="119">
        <f t="shared" si="46"/>
        <v>3</v>
      </c>
      <c r="E142" s="119">
        <f t="shared" si="46"/>
        <v>1</v>
      </c>
      <c r="F142" s="119">
        <f t="shared" si="46"/>
        <v>22</v>
      </c>
      <c r="G142" s="120">
        <f t="shared" si="35"/>
        <v>5.6818181818181816E-2</v>
      </c>
      <c r="H142" s="121">
        <f t="shared" si="47"/>
        <v>0</v>
      </c>
      <c r="I142" s="121">
        <f t="shared" si="47"/>
        <v>0</v>
      </c>
      <c r="J142" s="121">
        <f t="shared" si="47"/>
        <v>0</v>
      </c>
      <c r="K142" s="121">
        <f t="shared" si="47"/>
        <v>0</v>
      </c>
      <c r="L142" s="121">
        <f t="shared" si="47"/>
        <v>0</v>
      </c>
      <c r="M142" s="120" t="str">
        <f t="shared" si="36"/>
        <v/>
      </c>
      <c r="N142" s="121">
        <f t="shared" si="2"/>
        <v>3</v>
      </c>
      <c r="O142" s="121">
        <f t="shared" si="3"/>
        <v>3</v>
      </c>
      <c r="P142" s="120">
        <f t="shared" si="37"/>
        <v>0.4</v>
      </c>
      <c r="Q142" s="121">
        <f t="shared" si="4"/>
        <v>7</v>
      </c>
      <c r="R142" s="121">
        <f t="shared" si="5"/>
        <v>0</v>
      </c>
      <c r="S142" s="121">
        <f t="shared" si="6"/>
        <v>15</v>
      </c>
      <c r="T142" s="120">
        <f t="shared" si="38"/>
        <v>0.2</v>
      </c>
      <c r="U142" s="121">
        <f t="shared" si="7"/>
        <v>13</v>
      </c>
      <c r="V142" s="121">
        <f t="shared" si="8"/>
        <v>1</v>
      </c>
      <c r="W142" s="121">
        <f t="shared" si="9"/>
        <v>0</v>
      </c>
      <c r="X142" s="121">
        <f t="shared" si="10"/>
        <v>22</v>
      </c>
      <c r="Y142" s="120">
        <f t="shared" si="39"/>
        <v>0.54545454545454541</v>
      </c>
      <c r="Z142" s="121">
        <f t="shared" si="11"/>
        <v>0</v>
      </c>
      <c r="AA142" s="121">
        <f t="shared" si="12"/>
        <v>0</v>
      </c>
      <c r="AB142" s="121">
        <f t="shared" si="13"/>
        <v>0</v>
      </c>
      <c r="AC142" s="121">
        <f t="shared" si="14"/>
        <v>0</v>
      </c>
      <c r="AD142" s="120" t="str">
        <f t="shared" si="40"/>
        <v/>
      </c>
      <c r="AE142" s="121">
        <f t="shared" si="15"/>
        <v>0</v>
      </c>
      <c r="AF142" s="121">
        <f t="shared" si="16"/>
        <v>0</v>
      </c>
      <c r="AG142" s="121">
        <f t="shared" si="17"/>
        <v>0</v>
      </c>
      <c r="AH142" s="121">
        <f t="shared" si="18"/>
        <v>0</v>
      </c>
      <c r="AI142" s="120" t="str">
        <f t="shared" si="41"/>
        <v/>
      </c>
      <c r="AJ142" s="121">
        <f t="shared" si="19"/>
        <v>8</v>
      </c>
      <c r="AK142" s="121">
        <f t="shared" si="20"/>
        <v>1</v>
      </c>
      <c r="AL142" s="121">
        <f t="shared" si="21"/>
        <v>0</v>
      </c>
      <c r="AM142" s="121">
        <f t="shared" si="22"/>
        <v>11</v>
      </c>
      <c r="AN142" s="120">
        <f t="shared" si="42"/>
        <v>0.63636363636363635</v>
      </c>
      <c r="AO142" s="121">
        <f t="shared" si="23"/>
        <v>3</v>
      </c>
      <c r="AP142" s="121">
        <f t="shared" si="24"/>
        <v>0</v>
      </c>
      <c r="AQ142" s="121">
        <f t="shared" si="25"/>
        <v>0</v>
      </c>
      <c r="AR142" s="121">
        <f t="shared" si="26"/>
        <v>5</v>
      </c>
      <c r="AS142" s="120">
        <f t="shared" si="43"/>
        <v>0.6</v>
      </c>
      <c r="AT142" s="121">
        <f t="shared" si="27"/>
        <v>0</v>
      </c>
      <c r="AU142" s="121">
        <f t="shared" si="28"/>
        <v>0</v>
      </c>
      <c r="AV142" s="121">
        <f t="shared" si="29"/>
        <v>0</v>
      </c>
      <c r="AW142" s="121">
        <f t="shared" si="30"/>
        <v>0</v>
      </c>
      <c r="AX142" s="120" t="str">
        <f t="shared" si="44"/>
        <v/>
      </c>
      <c r="AY142" s="121">
        <f t="shared" si="31"/>
        <v>2</v>
      </c>
      <c r="AZ142" s="121">
        <f t="shared" si="32"/>
        <v>0</v>
      </c>
      <c r="BA142" s="121">
        <f t="shared" si="33"/>
        <v>0</v>
      </c>
      <c r="BB142" s="121">
        <f t="shared" si="34"/>
        <v>6</v>
      </c>
      <c r="BC142" s="120">
        <f t="shared" si="45"/>
        <v>0.33333333333333331</v>
      </c>
    </row>
    <row r="143" spans="1:55" ht="14.25" customHeight="1" x14ac:dyDescent="0.3">
      <c r="A143" s="116" t="str">
        <f t="shared" si="46"/>
        <v>18 Acosta W.</v>
      </c>
      <c r="B143" s="119">
        <f t="shared" si="46"/>
        <v>1</v>
      </c>
      <c r="C143" s="119">
        <f t="shared" si="46"/>
        <v>1</v>
      </c>
      <c r="D143" s="119">
        <f t="shared" si="46"/>
        <v>0</v>
      </c>
      <c r="E143" s="119">
        <f t="shared" si="46"/>
        <v>5</v>
      </c>
      <c r="F143" s="119">
        <f t="shared" si="46"/>
        <v>12</v>
      </c>
      <c r="G143" s="120">
        <f t="shared" si="35"/>
        <v>-0.3125</v>
      </c>
      <c r="H143" s="121">
        <f t="shared" si="47"/>
        <v>0</v>
      </c>
      <c r="I143" s="121">
        <f t="shared" si="47"/>
        <v>0</v>
      </c>
      <c r="J143" s="121">
        <f t="shared" si="47"/>
        <v>0</v>
      </c>
      <c r="K143" s="121">
        <f t="shared" si="47"/>
        <v>0</v>
      </c>
      <c r="L143" s="121">
        <f t="shared" si="47"/>
        <v>0</v>
      </c>
      <c r="M143" s="120" t="str">
        <f t="shared" si="36"/>
        <v/>
      </c>
      <c r="N143" s="121">
        <f t="shared" si="2"/>
        <v>1</v>
      </c>
      <c r="O143" s="121">
        <f t="shared" si="3"/>
        <v>1</v>
      </c>
      <c r="P143" s="120">
        <f t="shared" si="37"/>
        <v>0.5</v>
      </c>
      <c r="Q143" s="121">
        <f t="shared" si="4"/>
        <v>1</v>
      </c>
      <c r="R143" s="121">
        <f t="shared" si="5"/>
        <v>0</v>
      </c>
      <c r="S143" s="121">
        <f t="shared" si="6"/>
        <v>4</v>
      </c>
      <c r="T143" s="120">
        <f t="shared" si="38"/>
        <v>0.25</v>
      </c>
      <c r="U143" s="121">
        <f t="shared" si="7"/>
        <v>0</v>
      </c>
      <c r="V143" s="121">
        <f t="shared" si="8"/>
        <v>0</v>
      </c>
      <c r="W143" s="121">
        <f t="shared" si="9"/>
        <v>0</v>
      </c>
      <c r="X143" s="121">
        <f t="shared" si="10"/>
        <v>0</v>
      </c>
      <c r="Y143" s="120" t="str">
        <f t="shared" si="39"/>
        <v/>
      </c>
      <c r="Z143" s="121">
        <f t="shared" si="11"/>
        <v>1</v>
      </c>
      <c r="AA143" s="121">
        <f t="shared" si="12"/>
        <v>1</v>
      </c>
      <c r="AB143" s="121">
        <f t="shared" si="13"/>
        <v>1</v>
      </c>
      <c r="AC143" s="121">
        <f t="shared" si="14"/>
        <v>8</v>
      </c>
      <c r="AD143" s="120">
        <f t="shared" si="40"/>
        <v>-0.125</v>
      </c>
      <c r="AE143" s="121">
        <f t="shared" si="15"/>
        <v>13</v>
      </c>
      <c r="AF143" s="121">
        <f t="shared" si="16"/>
        <v>2</v>
      </c>
      <c r="AG143" s="121">
        <f t="shared" si="17"/>
        <v>2</v>
      </c>
      <c r="AH143" s="121">
        <f t="shared" si="18"/>
        <v>21</v>
      </c>
      <c r="AI143" s="120">
        <f t="shared" si="41"/>
        <v>0.42857142857142855</v>
      </c>
      <c r="AJ143" s="121">
        <f t="shared" si="19"/>
        <v>5</v>
      </c>
      <c r="AK143" s="121">
        <f t="shared" si="20"/>
        <v>1</v>
      </c>
      <c r="AL143" s="121">
        <f t="shared" si="21"/>
        <v>1</v>
      </c>
      <c r="AM143" s="121">
        <f t="shared" si="22"/>
        <v>8</v>
      </c>
      <c r="AN143" s="120">
        <f t="shared" si="42"/>
        <v>0.375</v>
      </c>
      <c r="AO143" s="121">
        <f t="shared" si="23"/>
        <v>2</v>
      </c>
      <c r="AP143" s="121">
        <f t="shared" si="24"/>
        <v>0</v>
      </c>
      <c r="AQ143" s="121">
        <f t="shared" si="25"/>
        <v>0</v>
      </c>
      <c r="AR143" s="121">
        <f t="shared" si="26"/>
        <v>5</v>
      </c>
      <c r="AS143" s="120">
        <f t="shared" si="43"/>
        <v>0.4</v>
      </c>
      <c r="AT143" s="121">
        <f t="shared" si="27"/>
        <v>1</v>
      </c>
      <c r="AU143" s="121">
        <f t="shared" si="28"/>
        <v>1</v>
      </c>
      <c r="AV143" s="121">
        <f t="shared" si="29"/>
        <v>0</v>
      </c>
      <c r="AW143" s="121">
        <f t="shared" si="30"/>
        <v>2</v>
      </c>
      <c r="AX143" s="120">
        <f t="shared" si="44"/>
        <v>0</v>
      </c>
      <c r="AY143" s="121">
        <f t="shared" si="31"/>
        <v>7</v>
      </c>
      <c r="AZ143" s="121">
        <f t="shared" si="32"/>
        <v>1</v>
      </c>
      <c r="BA143" s="121">
        <f t="shared" si="33"/>
        <v>2</v>
      </c>
      <c r="BB143" s="121">
        <f t="shared" si="34"/>
        <v>15</v>
      </c>
      <c r="BC143" s="120">
        <f t="shared" si="45"/>
        <v>0.26666666666666666</v>
      </c>
    </row>
    <row r="144" spans="1:55" ht="14.25" customHeight="1" x14ac:dyDescent="0.3">
      <c r="A144" s="116" t="str">
        <f t="shared" si="46"/>
        <v>19 Diaz Bolli S.</v>
      </c>
      <c r="B144" s="119">
        <f t="shared" si="46"/>
        <v>0</v>
      </c>
      <c r="C144" s="119">
        <f t="shared" si="46"/>
        <v>2</v>
      </c>
      <c r="D144" s="119">
        <f t="shared" si="46"/>
        <v>0</v>
      </c>
      <c r="E144" s="119">
        <f t="shared" si="46"/>
        <v>0</v>
      </c>
      <c r="F144" s="119">
        <f t="shared" si="46"/>
        <v>4</v>
      </c>
      <c r="G144" s="120">
        <f t="shared" si="35"/>
        <v>0.125</v>
      </c>
      <c r="H144" s="121">
        <f t="shared" si="47"/>
        <v>0</v>
      </c>
      <c r="I144" s="121">
        <f t="shared" si="47"/>
        <v>0</v>
      </c>
      <c r="J144" s="121">
        <f t="shared" si="47"/>
        <v>0</v>
      </c>
      <c r="K144" s="121">
        <f t="shared" si="47"/>
        <v>0</v>
      </c>
      <c r="L144" s="121">
        <f t="shared" si="47"/>
        <v>0</v>
      </c>
      <c r="M144" s="120" t="str">
        <f t="shared" si="36"/>
        <v/>
      </c>
      <c r="N144" s="121">
        <f t="shared" si="2"/>
        <v>0</v>
      </c>
      <c r="O144" s="121">
        <f t="shared" si="3"/>
        <v>0</v>
      </c>
      <c r="P144" s="120" t="str">
        <f t="shared" si="37"/>
        <v/>
      </c>
      <c r="Q144" s="121">
        <f t="shared" si="4"/>
        <v>0</v>
      </c>
      <c r="R144" s="121">
        <f t="shared" si="5"/>
        <v>0</v>
      </c>
      <c r="S144" s="121">
        <f t="shared" si="6"/>
        <v>0</v>
      </c>
      <c r="T144" s="120" t="str">
        <f t="shared" si="38"/>
        <v/>
      </c>
      <c r="U144" s="121">
        <f t="shared" si="7"/>
        <v>0</v>
      </c>
      <c r="V144" s="121">
        <f t="shared" si="8"/>
        <v>0</v>
      </c>
      <c r="W144" s="121">
        <f t="shared" si="9"/>
        <v>0</v>
      </c>
      <c r="X144" s="121">
        <f t="shared" si="10"/>
        <v>0</v>
      </c>
      <c r="Y144" s="120" t="str">
        <f t="shared" si="39"/>
        <v/>
      </c>
      <c r="Z144" s="121">
        <f t="shared" si="11"/>
        <v>0</v>
      </c>
      <c r="AA144" s="121">
        <f t="shared" si="12"/>
        <v>0</v>
      </c>
      <c r="AB144" s="121">
        <f t="shared" si="13"/>
        <v>0</v>
      </c>
      <c r="AC144" s="121">
        <f t="shared" si="14"/>
        <v>0</v>
      </c>
      <c r="AD144" s="120" t="str">
        <f t="shared" si="40"/>
        <v/>
      </c>
      <c r="AE144" s="121">
        <f t="shared" si="15"/>
        <v>0</v>
      </c>
      <c r="AF144" s="121">
        <f t="shared" si="16"/>
        <v>0</v>
      </c>
      <c r="AG144" s="121">
        <f t="shared" si="17"/>
        <v>0</v>
      </c>
      <c r="AH144" s="121">
        <f t="shared" si="18"/>
        <v>0</v>
      </c>
      <c r="AI144" s="120" t="str">
        <f t="shared" si="41"/>
        <v/>
      </c>
      <c r="AJ144" s="121">
        <f t="shared" si="19"/>
        <v>0</v>
      </c>
      <c r="AK144" s="121">
        <f t="shared" si="20"/>
        <v>0</v>
      </c>
      <c r="AL144" s="121">
        <f t="shared" si="21"/>
        <v>0</v>
      </c>
      <c r="AM144" s="121">
        <f t="shared" si="22"/>
        <v>0</v>
      </c>
      <c r="AN144" s="120" t="str">
        <f t="shared" si="42"/>
        <v/>
      </c>
      <c r="AO144" s="121">
        <f t="shared" si="23"/>
        <v>0</v>
      </c>
      <c r="AP144" s="121">
        <f t="shared" si="24"/>
        <v>0</v>
      </c>
      <c r="AQ144" s="121">
        <f t="shared" si="25"/>
        <v>0</v>
      </c>
      <c r="AR144" s="121">
        <f t="shared" si="26"/>
        <v>0</v>
      </c>
      <c r="AS144" s="120" t="str">
        <f t="shared" si="43"/>
        <v/>
      </c>
      <c r="AT144" s="121">
        <f t="shared" si="27"/>
        <v>0</v>
      </c>
      <c r="AU144" s="121">
        <f t="shared" si="28"/>
        <v>0</v>
      </c>
      <c r="AV144" s="121">
        <f t="shared" si="29"/>
        <v>0</v>
      </c>
      <c r="AW144" s="121">
        <f t="shared" si="30"/>
        <v>0</v>
      </c>
      <c r="AX144" s="120" t="str">
        <f t="shared" si="44"/>
        <v/>
      </c>
      <c r="AY144" s="121">
        <f t="shared" si="31"/>
        <v>0</v>
      </c>
      <c r="AZ144" s="121">
        <f t="shared" si="32"/>
        <v>0</v>
      </c>
      <c r="BA144" s="121">
        <f t="shared" si="33"/>
        <v>0</v>
      </c>
      <c r="BB144" s="121">
        <f t="shared" si="34"/>
        <v>0</v>
      </c>
      <c r="BC144" s="120" t="str">
        <f t="shared" si="45"/>
        <v/>
      </c>
    </row>
    <row r="146" spans="1:44" ht="14.25" customHeight="1" x14ac:dyDescent="0.3">
      <c r="A146" s="155" t="s">
        <v>194</v>
      </c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</row>
    <row r="147" spans="1:44" ht="14.25" customHeight="1" x14ac:dyDescent="0.3">
      <c r="A147" s="137"/>
      <c r="B147" s="138" t="s">
        <v>195</v>
      </c>
      <c r="C147" s="138" t="s">
        <v>196</v>
      </c>
      <c r="D147" s="138" t="s">
        <v>197</v>
      </c>
      <c r="E147" s="138" t="s">
        <v>198</v>
      </c>
      <c r="F147" s="138" t="s">
        <v>199</v>
      </c>
      <c r="G147" s="139" t="s">
        <v>128</v>
      </c>
      <c r="H147" s="139" t="s">
        <v>129</v>
      </c>
      <c r="I147" s="139" t="s">
        <v>200</v>
      </c>
      <c r="J147" s="139" t="s">
        <v>201</v>
      </c>
      <c r="K147" s="139" t="s">
        <v>202</v>
      </c>
      <c r="L147" s="138" t="s">
        <v>203</v>
      </c>
      <c r="M147" s="138" t="s">
        <v>204</v>
      </c>
      <c r="N147" s="138" t="s">
        <v>205</v>
      </c>
      <c r="O147" s="138" t="s">
        <v>206</v>
      </c>
      <c r="P147" s="138" t="s">
        <v>207</v>
      </c>
      <c r="Q147" s="125" t="s">
        <v>208</v>
      </c>
      <c r="R147" s="139" t="s">
        <v>209</v>
      </c>
      <c r="S147" s="139" t="s">
        <v>210</v>
      </c>
      <c r="T147" s="139" t="s">
        <v>211</v>
      </c>
      <c r="U147" s="126" t="s">
        <v>212</v>
      </c>
      <c r="V147" s="138" t="s">
        <v>213</v>
      </c>
      <c r="W147" s="138" t="s">
        <v>214</v>
      </c>
      <c r="X147" s="138" t="s">
        <v>215</v>
      </c>
      <c r="Y147" s="125" t="s">
        <v>216</v>
      </c>
      <c r="Z147" s="139" t="s">
        <v>217</v>
      </c>
      <c r="AA147" s="139" t="s">
        <v>218</v>
      </c>
      <c r="AB147" s="139" t="s">
        <v>219</v>
      </c>
      <c r="AC147" s="138" t="s">
        <v>220</v>
      </c>
      <c r="AD147" s="138" t="s">
        <v>221</v>
      </c>
      <c r="AE147" s="138" t="s">
        <v>222</v>
      </c>
      <c r="AF147" s="138" t="s">
        <v>223</v>
      </c>
      <c r="AG147" s="139" t="s">
        <v>224</v>
      </c>
      <c r="AH147" s="139" t="s">
        <v>225</v>
      </c>
      <c r="AI147" s="139" t="s">
        <v>226</v>
      </c>
      <c r="AJ147" s="139" t="s">
        <v>227</v>
      </c>
      <c r="AK147" s="138" t="s">
        <v>228</v>
      </c>
      <c r="AL147" s="138" t="s">
        <v>229</v>
      </c>
      <c r="AM147" s="138" t="s">
        <v>230</v>
      </c>
      <c r="AN147" s="138" t="s">
        <v>231</v>
      </c>
      <c r="AO147" s="139" t="s">
        <v>232</v>
      </c>
      <c r="AP147" s="139" t="s">
        <v>233</v>
      </c>
      <c r="AQ147" s="139" t="s">
        <v>234</v>
      </c>
      <c r="AR147" s="139" t="s">
        <v>235</v>
      </c>
    </row>
    <row r="148" spans="1:44" ht="14.25" customHeight="1" x14ac:dyDescent="0.3">
      <c r="A148" s="140" t="s">
        <v>109</v>
      </c>
      <c r="B148" s="19">
        <v>7</v>
      </c>
      <c r="C148" s="19">
        <v>15</v>
      </c>
      <c r="D148" s="19">
        <v>6</v>
      </c>
      <c r="E148" s="19">
        <v>13</v>
      </c>
      <c r="F148" s="141">
        <v>109</v>
      </c>
      <c r="G148" s="19">
        <v>25</v>
      </c>
      <c r="H148" s="19">
        <v>26</v>
      </c>
      <c r="I148" s="19">
        <v>2</v>
      </c>
      <c r="J148" s="19">
        <v>3</v>
      </c>
      <c r="K148" s="142">
        <v>86</v>
      </c>
      <c r="L148" s="19">
        <v>10</v>
      </c>
      <c r="M148" s="19">
        <v>11</v>
      </c>
      <c r="N148" s="19">
        <v>18</v>
      </c>
      <c r="O148" s="19">
        <v>2</v>
      </c>
      <c r="P148" s="141">
        <v>51</v>
      </c>
      <c r="Q148" s="19">
        <v>20</v>
      </c>
      <c r="R148" s="19">
        <v>1</v>
      </c>
      <c r="S148" s="19">
        <v>1</v>
      </c>
      <c r="T148" s="142">
        <v>36</v>
      </c>
      <c r="U148" s="19">
        <v>7</v>
      </c>
      <c r="V148" s="19">
        <v>5</v>
      </c>
      <c r="W148" s="19">
        <v>1</v>
      </c>
      <c r="X148" s="141">
        <v>26</v>
      </c>
      <c r="Y148" s="19">
        <v>38</v>
      </c>
      <c r="Z148" s="19">
        <v>5</v>
      </c>
      <c r="AA148" s="19">
        <v>7</v>
      </c>
      <c r="AB148" s="142">
        <v>74</v>
      </c>
      <c r="AC148" s="19">
        <v>25</v>
      </c>
      <c r="AD148" s="19">
        <v>2</v>
      </c>
      <c r="AE148" s="19">
        <v>6</v>
      </c>
      <c r="AF148" s="141">
        <v>51</v>
      </c>
      <c r="AG148" s="19">
        <v>10</v>
      </c>
      <c r="AH148" s="19">
        <v>0</v>
      </c>
      <c r="AI148" s="19">
        <v>0</v>
      </c>
      <c r="AJ148" s="142">
        <v>19</v>
      </c>
      <c r="AK148" s="19">
        <v>6</v>
      </c>
      <c r="AL148" s="19">
        <v>2</v>
      </c>
      <c r="AM148" s="19">
        <v>0</v>
      </c>
      <c r="AN148" s="141">
        <v>10</v>
      </c>
      <c r="AO148" s="19">
        <v>26</v>
      </c>
      <c r="AP148" s="19">
        <v>8</v>
      </c>
      <c r="AQ148" s="19">
        <v>5</v>
      </c>
      <c r="AR148" s="142">
        <v>64</v>
      </c>
    </row>
    <row r="149" spans="1:44" ht="14.25" customHeight="1" x14ac:dyDescent="0.3">
      <c r="A149" s="143" t="s">
        <v>68</v>
      </c>
      <c r="B149" s="19">
        <v>0</v>
      </c>
      <c r="C149" s="19">
        <v>1</v>
      </c>
      <c r="D149" s="19">
        <v>0</v>
      </c>
      <c r="E149" s="19">
        <v>1</v>
      </c>
      <c r="F149" s="141">
        <v>8</v>
      </c>
      <c r="G149" s="19">
        <v>0</v>
      </c>
      <c r="H149" s="19">
        <v>0</v>
      </c>
      <c r="I149" s="19">
        <v>0</v>
      </c>
      <c r="J149" s="19">
        <v>0</v>
      </c>
      <c r="K149" s="142">
        <v>0</v>
      </c>
      <c r="L149" s="19">
        <v>4</v>
      </c>
      <c r="M149" s="19">
        <v>3</v>
      </c>
      <c r="N149" s="19">
        <v>2</v>
      </c>
      <c r="O149" s="19">
        <v>0</v>
      </c>
      <c r="P149" s="141">
        <v>10</v>
      </c>
      <c r="Q149" s="19">
        <v>7</v>
      </c>
      <c r="R149" s="19">
        <v>0</v>
      </c>
      <c r="S149" s="19">
        <v>1</v>
      </c>
      <c r="T149" s="142">
        <v>14</v>
      </c>
      <c r="U149" s="19">
        <v>0</v>
      </c>
      <c r="V149" s="19">
        <v>0</v>
      </c>
      <c r="W149" s="19">
        <v>0</v>
      </c>
      <c r="X149" s="141">
        <v>0</v>
      </c>
      <c r="Y149" s="19">
        <v>0</v>
      </c>
      <c r="Z149" s="19">
        <v>0</v>
      </c>
      <c r="AA149" s="19">
        <v>0</v>
      </c>
      <c r="AB149" s="142">
        <v>0</v>
      </c>
      <c r="AC149" s="19">
        <v>4</v>
      </c>
      <c r="AD149" s="19">
        <v>0</v>
      </c>
      <c r="AE149" s="19">
        <v>1</v>
      </c>
      <c r="AF149" s="141">
        <v>8</v>
      </c>
      <c r="AG149" s="19">
        <v>0</v>
      </c>
      <c r="AH149" s="19">
        <v>0</v>
      </c>
      <c r="AI149" s="19">
        <v>0</v>
      </c>
      <c r="AJ149" s="142">
        <v>0</v>
      </c>
      <c r="AK149" s="19">
        <v>1</v>
      </c>
      <c r="AL149" s="19">
        <v>0</v>
      </c>
      <c r="AM149" s="19">
        <v>0</v>
      </c>
      <c r="AN149" s="141">
        <v>1</v>
      </c>
      <c r="AO149" s="19">
        <v>2</v>
      </c>
      <c r="AP149" s="19">
        <v>0</v>
      </c>
      <c r="AQ149" s="19">
        <v>1</v>
      </c>
      <c r="AR149" s="142">
        <v>6</v>
      </c>
    </row>
    <row r="150" spans="1:44" ht="14.25" customHeight="1" x14ac:dyDescent="0.3">
      <c r="A150" s="143" t="s">
        <v>146</v>
      </c>
      <c r="B150" s="19">
        <v>0</v>
      </c>
      <c r="C150" s="19">
        <v>0</v>
      </c>
      <c r="D150" s="19">
        <v>0</v>
      </c>
      <c r="E150" s="19">
        <v>0</v>
      </c>
      <c r="F150" s="141">
        <v>0</v>
      </c>
      <c r="G150" s="19">
        <v>0</v>
      </c>
      <c r="H150" s="19">
        <v>0</v>
      </c>
      <c r="I150" s="19">
        <v>0</v>
      </c>
      <c r="J150" s="19">
        <v>0</v>
      </c>
      <c r="K150" s="142">
        <v>0</v>
      </c>
      <c r="L150" s="19">
        <v>0</v>
      </c>
      <c r="M150" s="19">
        <v>0</v>
      </c>
      <c r="N150" s="19">
        <v>0</v>
      </c>
      <c r="O150" s="19">
        <v>0</v>
      </c>
      <c r="P150" s="141">
        <v>0</v>
      </c>
      <c r="Q150" s="19">
        <v>0</v>
      </c>
      <c r="R150" s="19">
        <v>0</v>
      </c>
      <c r="S150" s="19">
        <v>0</v>
      </c>
      <c r="T150" s="142">
        <v>0</v>
      </c>
      <c r="U150" s="19">
        <v>0</v>
      </c>
      <c r="V150" s="19">
        <v>0</v>
      </c>
      <c r="W150" s="19">
        <v>0</v>
      </c>
      <c r="X150" s="141">
        <v>0</v>
      </c>
      <c r="Y150" s="19">
        <v>0</v>
      </c>
      <c r="Z150" s="19">
        <v>0</v>
      </c>
      <c r="AA150" s="19">
        <v>0</v>
      </c>
      <c r="AB150" s="142">
        <v>0</v>
      </c>
      <c r="AC150" s="19">
        <v>0</v>
      </c>
      <c r="AD150" s="19">
        <v>0</v>
      </c>
      <c r="AE150" s="19">
        <v>0</v>
      </c>
      <c r="AF150" s="141">
        <v>0</v>
      </c>
      <c r="AG150" s="19">
        <v>0</v>
      </c>
      <c r="AH150" s="19">
        <v>0</v>
      </c>
      <c r="AI150" s="19">
        <v>0</v>
      </c>
      <c r="AJ150" s="142">
        <v>0</v>
      </c>
      <c r="AK150" s="19">
        <v>0</v>
      </c>
      <c r="AL150" s="19">
        <v>0</v>
      </c>
      <c r="AM150" s="19">
        <v>0</v>
      </c>
      <c r="AN150" s="141">
        <v>0</v>
      </c>
      <c r="AO150" s="19">
        <v>0</v>
      </c>
      <c r="AP150" s="19">
        <v>0</v>
      </c>
      <c r="AQ150" s="19">
        <v>0</v>
      </c>
      <c r="AR150" s="142">
        <v>0</v>
      </c>
    </row>
    <row r="151" spans="1:44" ht="14.25" customHeight="1" x14ac:dyDescent="0.3">
      <c r="A151" s="143" t="s">
        <v>97</v>
      </c>
      <c r="B151" s="19">
        <v>5</v>
      </c>
      <c r="C151" s="19">
        <v>3</v>
      </c>
      <c r="D151" s="19">
        <v>2</v>
      </c>
      <c r="E151" s="19">
        <v>1</v>
      </c>
      <c r="F151" s="141">
        <v>30</v>
      </c>
      <c r="G151" s="19">
        <v>0</v>
      </c>
      <c r="H151" s="19">
        <v>0</v>
      </c>
      <c r="I151" s="19">
        <v>0</v>
      </c>
      <c r="J151" s="19">
        <v>0</v>
      </c>
      <c r="K151" s="142">
        <v>0</v>
      </c>
      <c r="L151" s="19">
        <v>0</v>
      </c>
      <c r="M151" s="19">
        <v>1</v>
      </c>
      <c r="N151" s="19">
        <v>2</v>
      </c>
      <c r="O151" s="19">
        <v>0</v>
      </c>
      <c r="P151" s="141">
        <v>3</v>
      </c>
      <c r="Q151" s="19">
        <v>0</v>
      </c>
      <c r="R151" s="19">
        <v>0</v>
      </c>
      <c r="S151" s="19">
        <v>0</v>
      </c>
      <c r="T151" s="142">
        <v>0</v>
      </c>
      <c r="U151" s="19">
        <v>0</v>
      </c>
      <c r="V151" s="19">
        <v>0</v>
      </c>
      <c r="W151" s="19">
        <v>0</v>
      </c>
      <c r="X151" s="141">
        <v>0</v>
      </c>
      <c r="Y151" s="19">
        <v>0</v>
      </c>
      <c r="Z151" s="19">
        <v>0</v>
      </c>
      <c r="AA151" s="19">
        <v>0</v>
      </c>
      <c r="AB151" s="142">
        <v>0</v>
      </c>
      <c r="AC151" s="19">
        <v>0</v>
      </c>
      <c r="AD151" s="19">
        <v>0</v>
      </c>
      <c r="AE151" s="19">
        <v>0</v>
      </c>
      <c r="AF151" s="141">
        <v>0</v>
      </c>
      <c r="AG151" s="19">
        <v>0</v>
      </c>
      <c r="AH151" s="19">
        <v>0</v>
      </c>
      <c r="AI151" s="19">
        <v>0</v>
      </c>
      <c r="AJ151" s="142">
        <v>0</v>
      </c>
      <c r="AK151" s="19">
        <v>0</v>
      </c>
      <c r="AL151" s="19">
        <v>0</v>
      </c>
      <c r="AM151" s="19">
        <v>0</v>
      </c>
      <c r="AN151" s="141">
        <v>0</v>
      </c>
      <c r="AO151" s="19">
        <v>0</v>
      </c>
      <c r="AP151" s="19">
        <v>1</v>
      </c>
      <c r="AQ151" s="19">
        <v>0</v>
      </c>
      <c r="AR151" s="142">
        <v>1</v>
      </c>
    </row>
    <row r="152" spans="1:44" ht="14.25" customHeight="1" x14ac:dyDescent="0.3">
      <c r="A152" s="143" t="s">
        <v>54</v>
      </c>
      <c r="B152" s="19">
        <v>0</v>
      </c>
      <c r="C152" s="19">
        <v>0</v>
      </c>
      <c r="D152" s="19">
        <v>0</v>
      </c>
      <c r="E152" s="19">
        <v>0</v>
      </c>
      <c r="F152" s="141">
        <v>1</v>
      </c>
      <c r="G152" s="19">
        <v>0</v>
      </c>
      <c r="H152" s="19">
        <v>0</v>
      </c>
      <c r="I152" s="19">
        <v>0</v>
      </c>
      <c r="J152" s="19">
        <v>0</v>
      </c>
      <c r="K152" s="142">
        <v>0</v>
      </c>
      <c r="L152" s="19">
        <v>1</v>
      </c>
      <c r="M152" s="19">
        <v>0</v>
      </c>
      <c r="N152" s="19">
        <v>1</v>
      </c>
      <c r="O152" s="19">
        <v>0</v>
      </c>
      <c r="P152" s="141">
        <v>3</v>
      </c>
      <c r="Q152" s="19">
        <v>0</v>
      </c>
      <c r="R152" s="19">
        <v>0</v>
      </c>
      <c r="S152" s="19">
        <v>0</v>
      </c>
      <c r="T152" s="142">
        <v>0</v>
      </c>
      <c r="U152" s="19">
        <v>0</v>
      </c>
      <c r="V152" s="19">
        <v>0</v>
      </c>
      <c r="W152" s="19">
        <v>0</v>
      </c>
      <c r="X152" s="141">
        <v>1</v>
      </c>
      <c r="Y152" s="19">
        <v>2</v>
      </c>
      <c r="Z152" s="19">
        <v>0</v>
      </c>
      <c r="AA152" s="19">
        <v>0</v>
      </c>
      <c r="AB152" s="142">
        <v>4</v>
      </c>
      <c r="AC152" s="19">
        <v>0</v>
      </c>
      <c r="AD152" s="19">
        <v>0</v>
      </c>
      <c r="AE152" s="19">
        <v>0</v>
      </c>
      <c r="AF152" s="141">
        <v>2</v>
      </c>
      <c r="AG152" s="19">
        <v>1</v>
      </c>
      <c r="AH152" s="19">
        <v>0</v>
      </c>
      <c r="AI152" s="19">
        <v>0</v>
      </c>
      <c r="AJ152" s="142">
        <v>2</v>
      </c>
      <c r="AK152" s="19">
        <v>0</v>
      </c>
      <c r="AL152" s="19">
        <v>0</v>
      </c>
      <c r="AM152" s="19">
        <v>0</v>
      </c>
      <c r="AN152" s="141">
        <v>0</v>
      </c>
      <c r="AO152" s="19">
        <v>1</v>
      </c>
      <c r="AP152" s="19">
        <v>0</v>
      </c>
      <c r="AQ152" s="19">
        <v>0</v>
      </c>
      <c r="AR152" s="142">
        <v>1</v>
      </c>
    </row>
    <row r="153" spans="1:44" ht="14.25" customHeight="1" x14ac:dyDescent="0.3">
      <c r="A153" s="143" t="s">
        <v>87</v>
      </c>
      <c r="B153" s="19">
        <v>0</v>
      </c>
      <c r="C153" s="19">
        <v>1</v>
      </c>
      <c r="D153" s="19">
        <v>0</v>
      </c>
      <c r="E153" s="19">
        <v>1</v>
      </c>
      <c r="F153" s="141">
        <v>5</v>
      </c>
      <c r="G153" s="19">
        <v>2</v>
      </c>
      <c r="H153" s="19">
        <v>0</v>
      </c>
      <c r="I153" s="19">
        <v>0</v>
      </c>
      <c r="J153" s="19">
        <v>0</v>
      </c>
      <c r="K153" s="142">
        <v>3</v>
      </c>
      <c r="L153" s="19">
        <v>0</v>
      </c>
      <c r="M153" s="19">
        <v>0</v>
      </c>
      <c r="N153" s="19">
        <v>0</v>
      </c>
      <c r="O153" s="19">
        <v>0</v>
      </c>
      <c r="P153" s="141">
        <v>0</v>
      </c>
      <c r="Q153" s="19">
        <v>0</v>
      </c>
      <c r="R153" s="19">
        <v>0</v>
      </c>
      <c r="S153" s="19">
        <v>0</v>
      </c>
      <c r="T153" s="142">
        <v>0</v>
      </c>
      <c r="U153" s="19">
        <v>0</v>
      </c>
      <c r="V153" s="19">
        <v>0</v>
      </c>
      <c r="W153" s="19">
        <v>0</v>
      </c>
      <c r="X153" s="141">
        <v>0</v>
      </c>
      <c r="Y153" s="19">
        <v>1</v>
      </c>
      <c r="Z153" s="19">
        <v>1</v>
      </c>
      <c r="AA153" s="19">
        <v>1</v>
      </c>
      <c r="AB153" s="142">
        <v>5</v>
      </c>
      <c r="AC153" s="19">
        <v>0</v>
      </c>
      <c r="AD153" s="19">
        <v>0</v>
      </c>
      <c r="AE153" s="19">
        <v>0</v>
      </c>
      <c r="AF153" s="141">
        <v>2</v>
      </c>
      <c r="AG153" s="19">
        <v>0</v>
      </c>
      <c r="AH153" s="19">
        <v>0</v>
      </c>
      <c r="AI153" s="19">
        <v>0</v>
      </c>
      <c r="AJ153" s="142">
        <v>0</v>
      </c>
      <c r="AK153" s="19">
        <v>0</v>
      </c>
      <c r="AL153" s="19">
        <v>0</v>
      </c>
      <c r="AM153" s="19">
        <v>0</v>
      </c>
      <c r="AN153" s="141">
        <v>0</v>
      </c>
      <c r="AO153" s="19">
        <v>1</v>
      </c>
      <c r="AP153" s="19">
        <v>1</v>
      </c>
      <c r="AQ153" s="19">
        <v>1</v>
      </c>
      <c r="AR153" s="142">
        <v>3</v>
      </c>
    </row>
    <row r="154" spans="1:44" ht="14.25" customHeight="1" x14ac:dyDescent="0.3">
      <c r="A154" s="143" t="s">
        <v>94</v>
      </c>
      <c r="B154" s="19">
        <v>0</v>
      </c>
      <c r="C154" s="19">
        <v>1</v>
      </c>
      <c r="D154" s="19">
        <v>0</v>
      </c>
      <c r="E154" s="19">
        <v>0</v>
      </c>
      <c r="F154" s="141">
        <v>2</v>
      </c>
      <c r="G154" s="19">
        <v>0</v>
      </c>
      <c r="H154" s="19">
        <v>0</v>
      </c>
      <c r="I154" s="19">
        <v>0</v>
      </c>
      <c r="J154" s="19">
        <v>0</v>
      </c>
      <c r="K154" s="142">
        <v>0</v>
      </c>
      <c r="L154" s="19">
        <v>0</v>
      </c>
      <c r="M154" s="19">
        <v>1</v>
      </c>
      <c r="N154" s="19">
        <v>1</v>
      </c>
      <c r="O154" s="19">
        <v>1</v>
      </c>
      <c r="P154" s="141">
        <v>5</v>
      </c>
      <c r="Q154" s="19">
        <v>0</v>
      </c>
      <c r="R154" s="19">
        <v>0</v>
      </c>
      <c r="S154" s="19">
        <v>0</v>
      </c>
      <c r="T154" s="142">
        <v>0</v>
      </c>
      <c r="U154" s="19">
        <v>0</v>
      </c>
      <c r="V154" s="19">
        <v>0</v>
      </c>
      <c r="W154" s="19">
        <v>0</v>
      </c>
      <c r="X154" s="141">
        <v>0</v>
      </c>
      <c r="Y154" s="19">
        <v>0</v>
      </c>
      <c r="Z154" s="19">
        <v>0</v>
      </c>
      <c r="AA154" s="19">
        <v>0</v>
      </c>
      <c r="AB154" s="142">
        <v>0</v>
      </c>
      <c r="AC154" s="19">
        <v>0</v>
      </c>
      <c r="AD154" s="19">
        <v>0</v>
      </c>
      <c r="AE154" s="19">
        <v>0</v>
      </c>
      <c r="AF154" s="141">
        <v>0</v>
      </c>
      <c r="AG154" s="19">
        <v>0</v>
      </c>
      <c r="AH154" s="19">
        <v>0</v>
      </c>
      <c r="AI154" s="19">
        <v>0</v>
      </c>
      <c r="AJ154" s="142">
        <v>0</v>
      </c>
      <c r="AK154" s="19">
        <v>0</v>
      </c>
      <c r="AL154" s="19">
        <v>0</v>
      </c>
      <c r="AM154" s="19">
        <v>0</v>
      </c>
      <c r="AN154" s="141">
        <v>0</v>
      </c>
      <c r="AO154" s="19">
        <v>1</v>
      </c>
      <c r="AP154" s="19">
        <v>0</v>
      </c>
      <c r="AQ154" s="19">
        <v>0</v>
      </c>
      <c r="AR154" s="142">
        <v>2</v>
      </c>
    </row>
    <row r="155" spans="1:44" ht="14.25" customHeight="1" x14ac:dyDescent="0.3">
      <c r="A155" s="143" t="s">
        <v>98</v>
      </c>
      <c r="B155" s="19">
        <v>0</v>
      </c>
      <c r="C155" s="19">
        <v>0</v>
      </c>
      <c r="D155" s="19">
        <v>0</v>
      </c>
      <c r="E155" s="19">
        <v>0</v>
      </c>
      <c r="F155" s="141">
        <v>0</v>
      </c>
      <c r="G155" s="19">
        <v>0</v>
      </c>
      <c r="H155" s="19">
        <v>0</v>
      </c>
      <c r="I155" s="19">
        <v>0</v>
      </c>
      <c r="J155" s="19">
        <v>0</v>
      </c>
      <c r="K155" s="142">
        <v>0</v>
      </c>
      <c r="L155" s="19">
        <v>0</v>
      </c>
      <c r="M155" s="19">
        <v>0</v>
      </c>
      <c r="N155" s="19">
        <v>0</v>
      </c>
      <c r="O155" s="19">
        <v>0</v>
      </c>
      <c r="P155" s="141">
        <v>0</v>
      </c>
      <c r="Q155" s="19">
        <v>0</v>
      </c>
      <c r="R155" s="19">
        <v>0</v>
      </c>
      <c r="S155" s="19">
        <v>0</v>
      </c>
      <c r="T155" s="142">
        <v>0</v>
      </c>
      <c r="U155" s="19">
        <v>0</v>
      </c>
      <c r="V155" s="19">
        <v>0</v>
      </c>
      <c r="W155" s="19">
        <v>0</v>
      </c>
      <c r="X155" s="141">
        <v>0</v>
      </c>
      <c r="Y155" s="19">
        <v>0</v>
      </c>
      <c r="Z155" s="19">
        <v>0</v>
      </c>
      <c r="AA155" s="19">
        <v>0</v>
      </c>
      <c r="AB155" s="142">
        <v>0</v>
      </c>
      <c r="AC155" s="19">
        <v>0</v>
      </c>
      <c r="AD155" s="19">
        <v>0</v>
      </c>
      <c r="AE155" s="19">
        <v>0</v>
      </c>
      <c r="AF155" s="141">
        <v>0</v>
      </c>
      <c r="AG155" s="19">
        <v>0</v>
      </c>
      <c r="AH155" s="19">
        <v>0</v>
      </c>
      <c r="AI155" s="19">
        <v>0</v>
      </c>
      <c r="AJ155" s="142">
        <v>0</v>
      </c>
      <c r="AK155" s="19">
        <v>0</v>
      </c>
      <c r="AL155" s="19">
        <v>0</v>
      </c>
      <c r="AM155" s="19">
        <v>0</v>
      </c>
      <c r="AN155" s="141">
        <v>0</v>
      </c>
      <c r="AO155" s="19">
        <v>0</v>
      </c>
      <c r="AP155" s="19">
        <v>0</v>
      </c>
      <c r="AQ155" s="19">
        <v>0</v>
      </c>
      <c r="AR155" s="142">
        <v>0</v>
      </c>
    </row>
    <row r="156" spans="1:44" ht="14.25" customHeight="1" x14ac:dyDescent="0.3">
      <c r="A156" s="143" t="s">
        <v>86</v>
      </c>
      <c r="B156" s="19">
        <v>0</v>
      </c>
      <c r="C156" s="19">
        <v>0</v>
      </c>
      <c r="D156" s="19">
        <v>0</v>
      </c>
      <c r="E156" s="19">
        <v>3</v>
      </c>
      <c r="F156" s="141">
        <v>6</v>
      </c>
      <c r="G156" s="19">
        <v>5</v>
      </c>
      <c r="H156" s="19">
        <v>13</v>
      </c>
      <c r="I156" s="19">
        <v>2</v>
      </c>
      <c r="J156" s="19">
        <v>0</v>
      </c>
      <c r="K156" s="142">
        <v>34</v>
      </c>
      <c r="L156" s="19">
        <v>0</v>
      </c>
      <c r="M156" s="19">
        <v>1</v>
      </c>
      <c r="N156" s="19">
        <v>1</v>
      </c>
      <c r="O156" s="19">
        <v>1</v>
      </c>
      <c r="P156" s="141">
        <v>5</v>
      </c>
      <c r="Q156" s="19">
        <v>0</v>
      </c>
      <c r="R156" s="19">
        <v>0</v>
      </c>
      <c r="S156" s="19">
        <v>0</v>
      </c>
      <c r="T156" s="142">
        <v>0</v>
      </c>
      <c r="U156" s="19">
        <v>2</v>
      </c>
      <c r="V156" s="19">
        <v>3</v>
      </c>
      <c r="W156" s="19">
        <v>0</v>
      </c>
      <c r="X156" s="141">
        <v>8</v>
      </c>
      <c r="Y156" s="19">
        <v>9</v>
      </c>
      <c r="Z156" s="19">
        <v>2</v>
      </c>
      <c r="AA156" s="19">
        <v>3</v>
      </c>
      <c r="AB156" s="142">
        <v>20</v>
      </c>
      <c r="AC156" s="19">
        <v>4</v>
      </c>
      <c r="AD156" s="19">
        <v>0</v>
      </c>
      <c r="AE156" s="19">
        <v>3</v>
      </c>
      <c r="AF156" s="141">
        <v>9</v>
      </c>
      <c r="AG156" s="19">
        <v>3</v>
      </c>
      <c r="AH156" s="19">
        <v>0</v>
      </c>
      <c r="AI156" s="19">
        <v>0</v>
      </c>
      <c r="AJ156" s="142">
        <v>5</v>
      </c>
      <c r="AK156" s="19">
        <v>2</v>
      </c>
      <c r="AL156" s="19">
        <v>1</v>
      </c>
      <c r="AM156" s="19">
        <v>0</v>
      </c>
      <c r="AN156" s="141">
        <v>5</v>
      </c>
      <c r="AO156" s="19">
        <v>2</v>
      </c>
      <c r="AP156" s="19">
        <v>4</v>
      </c>
      <c r="AQ156" s="19">
        <v>1</v>
      </c>
      <c r="AR156" s="142">
        <v>12</v>
      </c>
    </row>
    <row r="157" spans="1:44" ht="14.25" customHeight="1" x14ac:dyDescent="0.3">
      <c r="A157" s="143" t="s">
        <v>144</v>
      </c>
      <c r="B157" s="19">
        <v>0</v>
      </c>
      <c r="C157" s="19">
        <v>0</v>
      </c>
      <c r="D157" s="19">
        <v>0</v>
      </c>
      <c r="E157" s="19">
        <v>0</v>
      </c>
      <c r="F157" s="141">
        <v>0</v>
      </c>
      <c r="G157" s="19">
        <v>4</v>
      </c>
      <c r="H157" s="19">
        <v>6</v>
      </c>
      <c r="I157" s="19">
        <v>0</v>
      </c>
      <c r="J157" s="19">
        <v>2</v>
      </c>
      <c r="K157" s="142">
        <v>16</v>
      </c>
      <c r="L157" s="19">
        <v>0</v>
      </c>
      <c r="M157" s="19">
        <v>0</v>
      </c>
      <c r="N157" s="19">
        <v>0</v>
      </c>
      <c r="O157" s="19">
        <v>0</v>
      </c>
      <c r="P157" s="141">
        <v>0</v>
      </c>
      <c r="Q157" s="19">
        <v>0</v>
      </c>
      <c r="R157" s="19">
        <v>0</v>
      </c>
      <c r="S157" s="19">
        <v>0</v>
      </c>
      <c r="T157" s="142">
        <v>0</v>
      </c>
      <c r="U157" s="19">
        <v>0</v>
      </c>
      <c r="V157" s="19">
        <v>0</v>
      </c>
      <c r="W157" s="19">
        <v>0</v>
      </c>
      <c r="X157" s="141">
        <v>0</v>
      </c>
      <c r="Y157" s="19">
        <v>0</v>
      </c>
      <c r="Z157" s="19">
        <v>0</v>
      </c>
      <c r="AA157" s="19">
        <v>0</v>
      </c>
      <c r="AB157" s="142">
        <v>0</v>
      </c>
      <c r="AC157" s="19">
        <v>0</v>
      </c>
      <c r="AD157" s="19">
        <v>0</v>
      </c>
      <c r="AE157" s="19">
        <v>0</v>
      </c>
      <c r="AF157" s="141">
        <v>0</v>
      </c>
      <c r="AG157" s="19">
        <v>0</v>
      </c>
      <c r="AH157" s="19">
        <v>0</v>
      </c>
      <c r="AI157" s="19">
        <v>0</v>
      </c>
      <c r="AJ157" s="142">
        <v>0</v>
      </c>
      <c r="AK157" s="19">
        <v>0</v>
      </c>
      <c r="AL157" s="19">
        <v>0</v>
      </c>
      <c r="AM157" s="19">
        <v>0</v>
      </c>
      <c r="AN157" s="141">
        <v>0</v>
      </c>
      <c r="AO157" s="19">
        <v>0</v>
      </c>
      <c r="AP157" s="19">
        <v>0</v>
      </c>
      <c r="AQ157" s="19">
        <v>0</v>
      </c>
      <c r="AR157" s="142">
        <v>0</v>
      </c>
    </row>
    <row r="158" spans="1:44" ht="14.25" customHeight="1" x14ac:dyDescent="0.3">
      <c r="A158" s="143" t="s">
        <v>88</v>
      </c>
      <c r="B158" s="19">
        <v>0</v>
      </c>
      <c r="C158" s="19">
        <v>0</v>
      </c>
      <c r="D158" s="19">
        <v>0</v>
      </c>
      <c r="E158" s="19">
        <v>0</v>
      </c>
      <c r="F158" s="141">
        <v>0</v>
      </c>
      <c r="G158" s="19">
        <v>0</v>
      </c>
      <c r="H158" s="19">
        <v>0</v>
      </c>
      <c r="I158" s="19">
        <v>0</v>
      </c>
      <c r="J158" s="19">
        <v>0</v>
      </c>
      <c r="K158" s="142">
        <v>0</v>
      </c>
      <c r="L158" s="19">
        <v>0</v>
      </c>
      <c r="M158" s="19">
        <v>0</v>
      </c>
      <c r="N158" s="19">
        <v>0</v>
      </c>
      <c r="O158" s="19">
        <v>0</v>
      </c>
      <c r="P158" s="141">
        <v>0</v>
      </c>
      <c r="Q158" s="19">
        <v>0</v>
      </c>
      <c r="R158" s="19">
        <v>0</v>
      </c>
      <c r="S158" s="19">
        <v>0</v>
      </c>
      <c r="T158" s="142">
        <v>0</v>
      </c>
      <c r="U158" s="19">
        <v>0</v>
      </c>
      <c r="V158" s="19">
        <v>0</v>
      </c>
      <c r="W158" s="19">
        <v>0</v>
      </c>
      <c r="X158" s="141">
        <v>0</v>
      </c>
      <c r="Y158" s="19">
        <v>0</v>
      </c>
      <c r="Z158" s="19">
        <v>0</v>
      </c>
      <c r="AA158" s="19">
        <v>0</v>
      </c>
      <c r="AB158" s="142">
        <v>0</v>
      </c>
      <c r="AC158" s="19">
        <v>0</v>
      </c>
      <c r="AD158" s="19">
        <v>0</v>
      </c>
      <c r="AE158" s="19">
        <v>0</v>
      </c>
      <c r="AF158" s="141">
        <v>0</v>
      </c>
      <c r="AG158" s="19">
        <v>0</v>
      </c>
      <c r="AH158" s="19">
        <v>0</v>
      </c>
      <c r="AI158" s="19">
        <v>0</v>
      </c>
      <c r="AJ158" s="142">
        <v>0</v>
      </c>
      <c r="AK158" s="19">
        <v>0</v>
      </c>
      <c r="AL158" s="19">
        <v>0</v>
      </c>
      <c r="AM158" s="19">
        <v>0</v>
      </c>
      <c r="AN158" s="141">
        <v>0</v>
      </c>
      <c r="AO158" s="19">
        <v>0</v>
      </c>
      <c r="AP158" s="19">
        <v>0</v>
      </c>
      <c r="AQ158" s="19">
        <v>0</v>
      </c>
      <c r="AR158" s="142">
        <v>0</v>
      </c>
    </row>
    <row r="159" spans="1:44" ht="14.25" customHeight="1" x14ac:dyDescent="0.3">
      <c r="A159" s="143" t="s">
        <v>85</v>
      </c>
      <c r="B159" s="19">
        <v>1</v>
      </c>
      <c r="C159" s="19">
        <v>3</v>
      </c>
      <c r="D159" s="19">
        <v>1</v>
      </c>
      <c r="E159" s="19">
        <v>1</v>
      </c>
      <c r="F159" s="141">
        <v>19</v>
      </c>
      <c r="G159" s="19">
        <v>14</v>
      </c>
      <c r="H159" s="19">
        <v>7</v>
      </c>
      <c r="I159" s="19">
        <v>0</v>
      </c>
      <c r="J159" s="19">
        <v>1</v>
      </c>
      <c r="K159" s="142">
        <v>33</v>
      </c>
      <c r="L159" s="19">
        <v>1</v>
      </c>
      <c r="M159" s="19">
        <v>1</v>
      </c>
      <c r="N159" s="19">
        <v>3</v>
      </c>
      <c r="O159" s="19">
        <v>0</v>
      </c>
      <c r="P159" s="141">
        <v>6</v>
      </c>
      <c r="Q159" s="19">
        <v>0</v>
      </c>
      <c r="R159" s="19">
        <v>0</v>
      </c>
      <c r="S159" s="19">
        <v>0</v>
      </c>
      <c r="T159" s="142">
        <v>0</v>
      </c>
      <c r="U159" s="19">
        <v>4</v>
      </c>
      <c r="V159" s="19">
        <v>1</v>
      </c>
      <c r="W159" s="19">
        <v>0</v>
      </c>
      <c r="X159" s="141">
        <v>9</v>
      </c>
      <c r="Y159" s="19">
        <v>13</v>
      </c>
      <c r="Z159" s="19">
        <v>0</v>
      </c>
      <c r="AA159" s="19">
        <v>1</v>
      </c>
      <c r="AB159" s="142">
        <v>24</v>
      </c>
      <c r="AC159" s="19">
        <v>4</v>
      </c>
      <c r="AD159" s="19">
        <v>0</v>
      </c>
      <c r="AE159" s="19">
        <v>1</v>
      </c>
      <c r="AF159" s="141">
        <v>11</v>
      </c>
      <c r="AG159" s="19">
        <v>1</v>
      </c>
      <c r="AH159" s="19">
        <v>0</v>
      </c>
      <c r="AI159" s="19">
        <v>0</v>
      </c>
      <c r="AJ159" s="142">
        <v>2</v>
      </c>
      <c r="AK159" s="19">
        <v>2</v>
      </c>
      <c r="AL159" s="19">
        <v>0</v>
      </c>
      <c r="AM159" s="19">
        <v>0</v>
      </c>
      <c r="AN159" s="141">
        <v>2</v>
      </c>
      <c r="AO159" s="19">
        <v>10</v>
      </c>
      <c r="AP159" s="19">
        <v>1</v>
      </c>
      <c r="AQ159" s="19">
        <v>0</v>
      </c>
      <c r="AR159" s="142">
        <v>18</v>
      </c>
    </row>
    <row r="160" spans="1:44" ht="14.25" customHeight="1" x14ac:dyDescent="0.3">
      <c r="A160" s="144" t="s">
        <v>67</v>
      </c>
      <c r="B160" s="29">
        <v>0</v>
      </c>
      <c r="C160" s="29">
        <v>0</v>
      </c>
      <c r="D160" s="29">
        <v>0</v>
      </c>
      <c r="E160" s="29">
        <v>0</v>
      </c>
      <c r="F160" s="145">
        <v>0</v>
      </c>
      <c r="G160" s="29">
        <v>0</v>
      </c>
      <c r="H160" s="29">
        <v>0</v>
      </c>
      <c r="I160" s="29">
        <v>0</v>
      </c>
      <c r="J160" s="29">
        <v>0</v>
      </c>
      <c r="K160" s="146">
        <v>0</v>
      </c>
      <c r="L160" s="29">
        <v>0</v>
      </c>
      <c r="M160" s="29">
        <v>0</v>
      </c>
      <c r="N160" s="29">
        <v>0</v>
      </c>
      <c r="O160" s="29">
        <v>0</v>
      </c>
      <c r="P160" s="145">
        <v>0</v>
      </c>
      <c r="Q160" s="29">
        <v>0</v>
      </c>
      <c r="R160" s="29">
        <v>0</v>
      </c>
      <c r="S160" s="29">
        <v>0</v>
      </c>
      <c r="T160" s="146">
        <v>0</v>
      </c>
      <c r="U160" s="29">
        <v>0</v>
      </c>
      <c r="V160" s="29">
        <v>0</v>
      </c>
      <c r="W160" s="29">
        <v>0</v>
      </c>
      <c r="X160" s="145">
        <v>0</v>
      </c>
      <c r="Y160" s="29">
        <v>0</v>
      </c>
      <c r="Z160" s="29">
        <v>0</v>
      </c>
      <c r="AA160" s="29">
        <v>0</v>
      </c>
      <c r="AB160" s="146">
        <v>0</v>
      </c>
      <c r="AC160" s="29">
        <v>0</v>
      </c>
      <c r="AD160" s="29">
        <v>0</v>
      </c>
      <c r="AE160" s="29">
        <v>0</v>
      </c>
      <c r="AF160" s="145">
        <v>0</v>
      </c>
      <c r="AG160" s="29">
        <v>0</v>
      </c>
      <c r="AH160" s="29">
        <v>0</v>
      </c>
      <c r="AI160" s="29">
        <v>0</v>
      </c>
      <c r="AJ160" s="146">
        <v>0</v>
      </c>
      <c r="AK160" s="29">
        <v>0</v>
      </c>
      <c r="AL160" s="29">
        <v>0</v>
      </c>
      <c r="AM160" s="29">
        <v>0</v>
      </c>
      <c r="AN160" s="145">
        <v>0</v>
      </c>
      <c r="AO160" s="29">
        <v>0</v>
      </c>
      <c r="AP160" s="29">
        <v>0</v>
      </c>
      <c r="AQ160" s="29">
        <v>0</v>
      </c>
      <c r="AR160" s="146">
        <v>0</v>
      </c>
    </row>
    <row r="161" spans="1:44" ht="14.25" customHeight="1" x14ac:dyDescent="0.3">
      <c r="A161" s="143" t="s">
        <v>69</v>
      </c>
      <c r="B161" s="19">
        <v>0</v>
      </c>
      <c r="C161" s="19">
        <v>3</v>
      </c>
      <c r="D161" s="19">
        <v>3</v>
      </c>
      <c r="E161" s="19">
        <v>1</v>
      </c>
      <c r="F161" s="141">
        <v>22</v>
      </c>
      <c r="G161" s="19">
        <v>0</v>
      </c>
      <c r="H161" s="19">
        <v>0</v>
      </c>
      <c r="I161" s="19">
        <v>0</v>
      </c>
      <c r="J161" s="19">
        <v>0</v>
      </c>
      <c r="K161" s="142">
        <v>0</v>
      </c>
      <c r="L161" s="19">
        <v>3</v>
      </c>
      <c r="M161" s="19">
        <v>3</v>
      </c>
      <c r="N161" s="19">
        <v>7</v>
      </c>
      <c r="O161" s="19">
        <v>0</v>
      </c>
      <c r="P161" s="141">
        <v>15</v>
      </c>
      <c r="Q161" s="19">
        <v>13</v>
      </c>
      <c r="R161" s="19">
        <v>1</v>
      </c>
      <c r="S161" s="19">
        <v>0</v>
      </c>
      <c r="T161" s="142">
        <v>22</v>
      </c>
      <c r="U161" s="19">
        <v>0</v>
      </c>
      <c r="V161" s="19">
        <v>0</v>
      </c>
      <c r="W161" s="19">
        <v>0</v>
      </c>
      <c r="X161" s="141">
        <v>0</v>
      </c>
      <c r="Y161" s="19">
        <v>0</v>
      </c>
      <c r="Z161" s="19">
        <v>0</v>
      </c>
      <c r="AA161" s="19">
        <v>0</v>
      </c>
      <c r="AB161" s="142">
        <v>0</v>
      </c>
      <c r="AC161" s="19">
        <v>8</v>
      </c>
      <c r="AD161" s="19">
        <v>1</v>
      </c>
      <c r="AE161" s="19">
        <v>0</v>
      </c>
      <c r="AF161" s="141">
        <v>11</v>
      </c>
      <c r="AG161" s="19">
        <v>3</v>
      </c>
      <c r="AH161" s="19">
        <v>0</v>
      </c>
      <c r="AI161" s="19">
        <v>0</v>
      </c>
      <c r="AJ161" s="142">
        <v>5</v>
      </c>
      <c r="AK161" s="19">
        <v>0</v>
      </c>
      <c r="AL161" s="19">
        <v>0</v>
      </c>
      <c r="AM161" s="19">
        <v>0</v>
      </c>
      <c r="AN161" s="141">
        <v>0</v>
      </c>
      <c r="AO161" s="19">
        <v>2</v>
      </c>
      <c r="AP161" s="19">
        <v>0</v>
      </c>
      <c r="AQ161" s="19">
        <v>0</v>
      </c>
      <c r="AR161" s="142">
        <v>6</v>
      </c>
    </row>
    <row r="162" spans="1:44" ht="14.25" customHeight="1" x14ac:dyDescent="0.3">
      <c r="A162" s="143" t="s">
        <v>66</v>
      </c>
      <c r="B162" s="19">
        <v>1</v>
      </c>
      <c r="C162" s="19">
        <v>1</v>
      </c>
      <c r="D162" s="19">
        <v>0</v>
      </c>
      <c r="E162" s="19">
        <v>5</v>
      </c>
      <c r="F162" s="141">
        <v>12</v>
      </c>
      <c r="G162" s="19">
        <v>0</v>
      </c>
      <c r="H162" s="19">
        <v>0</v>
      </c>
      <c r="I162" s="19">
        <v>0</v>
      </c>
      <c r="J162" s="19">
        <v>0</v>
      </c>
      <c r="K162" s="142">
        <v>0</v>
      </c>
      <c r="L162" s="19">
        <v>1</v>
      </c>
      <c r="M162" s="19">
        <v>1</v>
      </c>
      <c r="N162" s="19">
        <v>1</v>
      </c>
      <c r="O162" s="19">
        <v>0</v>
      </c>
      <c r="P162" s="141">
        <v>4</v>
      </c>
      <c r="Q162" s="19">
        <v>0</v>
      </c>
      <c r="R162" s="19">
        <v>0</v>
      </c>
      <c r="S162" s="19">
        <v>0</v>
      </c>
      <c r="T162" s="142">
        <v>0</v>
      </c>
      <c r="U162" s="19">
        <v>1</v>
      </c>
      <c r="V162" s="19">
        <v>1</v>
      </c>
      <c r="W162" s="19">
        <v>1</v>
      </c>
      <c r="X162" s="141">
        <v>8</v>
      </c>
      <c r="Y162" s="19">
        <v>13</v>
      </c>
      <c r="Z162" s="19">
        <v>2</v>
      </c>
      <c r="AA162" s="19">
        <v>2</v>
      </c>
      <c r="AB162" s="142">
        <v>21</v>
      </c>
      <c r="AC162" s="19">
        <v>5</v>
      </c>
      <c r="AD162" s="19">
        <v>1</v>
      </c>
      <c r="AE162" s="19">
        <v>1</v>
      </c>
      <c r="AF162" s="141">
        <v>8</v>
      </c>
      <c r="AG162" s="19">
        <v>2</v>
      </c>
      <c r="AH162" s="19">
        <v>0</v>
      </c>
      <c r="AI162" s="19">
        <v>0</v>
      </c>
      <c r="AJ162" s="142">
        <v>5</v>
      </c>
      <c r="AK162" s="19">
        <v>1</v>
      </c>
      <c r="AL162" s="19">
        <v>1</v>
      </c>
      <c r="AM162" s="19">
        <v>0</v>
      </c>
      <c r="AN162" s="141">
        <v>2</v>
      </c>
      <c r="AO162" s="19">
        <v>7</v>
      </c>
      <c r="AP162" s="19">
        <v>1</v>
      </c>
      <c r="AQ162" s="19">
        <v>2</v>
      </c>
      <c r="AR162" s="142">
        <v>15</v>
      </c>
    </row>
    <row r="163" spans="1:44" ht="14.25" customHeight="1" x14ac:dyDescent="0.3">
      <c r="A163" s="143" t="s">
        <v>110</v>
      </c>
      <c r="B163" s="19">
        <v>0</v>
      </c>
      <c r="C163" s="19">
        <v>2</v>
      </c>
      <c r="D163" s="19">
        <v>0</v>
      </c>
      <c r="E163" s="19">
        <v>0</v>
      </c>
      <c r="F163" s="141">
        <v>4</v>
      </c>
      <c r="G163" s="19">
        <v>0</v>
      </c>
      <c r="H163" s="19">
        <v>0</v>
      </c>
      <c r="I163" s="19">
        <v>0</v>
      </c>
      <c r="J163" s="19">
        <v>0</v>
      </c>
      <c r="K163" s="142">
        <v>0</v>
      </c>
      <c r="L163" s="19">
        <v>0</v>
      </c>
      <c r="M163" s="19">
        <v>0</v>
      </c>
      <c r="N163" s="19">
        <v>0</v>
      </c>
      <c r="O163" s="19">
        <v>0</v>
      </c>
      <c r="P163" s="141">
        <v>0</v>
      </c>
      <c r="Q163" s="19">
        <v>0</v>
      </c>
      <c r="R163" s="19">
        <v>0</v>
      </c>
      <c r="S163" s="19">
        <v>0</v>
      </c>
      <c r="T163" s="142">
        <v>0</v>
      </c>
      <c r="U163" s="19">
        <v>0</v>
      </c>
      <c r="V163" s="19">
        <v>0</v>
      </c>
      <c r="W163" s="19">
        <v>0</v>
      </c>
      <c r="X163" s="141">
        <v>0</v>
      </c>
      <c r="Y163" s="19">
        <v>0</v>
      </c>
      <c r="Z163" s="19">
        <v>0</v>
      </c>
      <c r="AA163" s="19">
        <v>0</v>
      </c>
      <c r="AB163" s="142">
        <v>0</v>
      </c>
      <c r="AC163" s="19">
        <v>0</v>
      </c>
      <c r="AD163" s="19">
        <v>0</v>
      </c>
      <c r="AE163" s="19">
        <v>0</v>
      </c>
      <c r="AF163" s="141">
        <v>0</v>
      </c>
      <c r="AG163" s="19">
        <v>0</v>
      </c>
      <c r="AH163" s="19">
        <v>0</v>
      </c>
      <c r="AI163" s="19">
        <v>0</v>
      </c>
      <c r="AJ163" s="142">
        <v>0</v>
      </c>
      <c r="AK163" s="19">
        <v>0</v>
      </c>
      <c r="AL163" s="19">
        <v>0</v>
      </c>
      <c r="AM163" s="19">
        <v>0</v>
      </c>
      <c r="AN163" s="141">
        <v>0</v>
      </c>
      <c r="AO163" s="19">
        <v>0</v>
      </c>
      <c r="AP163" s="19">
        <v>0</v>
      </c>
      <c r="AQ163" s="19">
        <v>0</v>
      </c>
      <c r="AR163" s="142">
        <v>0</v>
      </c>
    </row>
  </sheetData>
  <mergeCells count="24">
    <mergeCell ref="T80:Y80"/>
    <mergeCell ref="A1:BH1"/>
    <mergeCell ref="AW4:AW5"/>
    <mergeCell ref="A66:L66"/>
    <mergeCell ref="N80:S80"/>
    <mergeCell ref="Y12:Y13"/>
    <mergeCell ref="AW12:AW13"/>
    <mergeCell ref="A146:K146"/>
    <mergeCell ref="A2:L2"/>
    <mergeCell ref="G80:L80"/>
    <mergeCell ref="A12:A13"/>
    <mergeCell ref="M12:M13"/>
    <mergeCell ref="A35:L35"/>
    <mergeCell ref="A20:L20"/>
    <mergeCell ref="A4:A5"/>
    <mergeCell ref="A127:L127"/>
    <mergeCell ref="M4:M5"/>
    <mergeCell ref="A80:F80"/>
    <mergeCell ref="BJ2:BS2"/>
    <mergeCell ref="Y4:Y5"/>
    <mergeCell ref="N66:Y66"/>
    <mergeCell ref="AK4:AK5"/>
    <mergeCell ref="BJ17:BS17"/>
    <mergeCell ref="AK12:AK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125"/>
  <sheetViews>
    <sheetView zoomScaleNormal="100" workbookViewId="0"/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customWidth="1"/>
    <col min="69" max="69" width="17.6640625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65" t="s">
        <v>242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</row>
    <row r="2" spans="1:71" ht="27.75" customHeight="1" x14ac:dyDescent="0.3">
      <c r="A2" s="156" t="s">
        <v>243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BJ2" s="150" t="s">
        <v>44</v>
      </c>
      <c r="BK2" s="151"/>
      <c r="BL2" s="151"/>
      <c r="BM2" s="151"/>
      <c r="BN2" s="151"/>
      <c r="BO2" s="151"/>
      <c r="BP2" s="151"/>
      <c r="BQ2" s="151"/>
      <c r="BR2" s="151"/>
      <c r="BS2" s="151"/>
    </row>
    <row r="3" spans="1:71" ht="24" customHeight="1" x14ac:dyDescent="0.3">
      <c r="BJ3" s="9" t="s">
        <v>26</v>
      </c>
      <c r="BK3" s="9" t="s">
        <v>45</v>
      </c>
      <c r="BL3" s="9" t="s">
        <v>46</v>
      </c>
      <c r="BM3" s="9" t="s">
        <v>47</v>
      </c>
      <c r="BN3" s="9" t="s">
        <v>48</v>
      </c>
      <c r="BO3" s="9" t="s">
        <v>49</v>
      </c>
      <c r="BP3" s="9" t="s">
        <v>50</v>
      </c>
      <c r="BQ3" s="9" t="s">
        <v>51</v>
      </c>
      <c r="BR3" s="9" t="s">
        <v>52</v>
      </c>
      <c r="BS3" s="9" t="s">
        <v>53</v>
      </c>
    </row>
    <row r="4" spans="1:71" ht="25.5" customHeight="1" x14ac:dyDescent="0.3">
      <c r="A4" s="169" t="s">
        <v>54</v>
      </c>
      <c r="B4" s="11" t="s">
        <v>55</v>
      </c>
      <c r="C4" s="12" t="s">
        <v>56</v>
      </c>
      <c r="D4" s="12" t="s">
        <v>57</v>
      </c>
      <c r="E4" s="12" t="s">
        <v>58</v>
      </c>
      <c r="F4" s="12" t="s">
        <v>59</v>
      </c>
      <c r="G4" s="12" t="s">
        <v>60</v>
      </c>
      <c r="H4" s="12" t="s">
        <v>61</v>
      </c>
      <c r="I4" s="12" t="s">
        <v>62</v>
      </c>
      <c r="J4" s="12" t="s">
        <v>63</v>
      </c>
      <c r="K4" s="12" t="s">
        <v>64</v>
      </c>
      <c r="L4" s="12" t="s">
        <v>65</v>
      </c>
      <c r="M4" s="167" t="s">
        <v>66</v>
      </c>
      <c r="N4" s="11" t="s">
        <v>55</v>
      </c>
      <c r="O4" s="12" t="s">
        <v>56</v>
      </c>
      <c r="P4" s="12" t="s">
        <v>57</v>
      </c>
      <c r="Q4" s="12" t="s">
        <v>58</v>
      </c>
      <c r="R4" s="12" t="s">
        <v>59</v>
      </c>
      <c r="S4" s="12" t="s">
        <v>60</v>
      </c>
      <c r="T4" s="12" t="s">
        <v>61</v>
      </c>
      <c r="U4" s="12" t="s">
        <v>62</v>
      </c>
      <c r="V4" s="12" t="s">
        <v>63</v>
      </c>
      <c r="W4" s="12" t="s">
        <v>64</v>
      </c>
      <c r="X4" s="12" t="s">
        <v>65</v>
      </c>
      <c r="Y4" s="167" t="s">
        <v>67</v>
      </c>
      <c r="Z4" s="11" t="s">
        <v>55</v>
      </c>
      <c r="AA4" s="12" t="s">
        <v>56</v>
      </c>
      <c r="AB4" s="12" t="s">
        <v>57</v>
      </c>
      <c r="AC4" s="12" t="s">
        <v>58</v>
      </c>
      <c r="AD4" s="12" t="s">
        <v>59</v>
      </c>
      <c r="AE4" s="12" t="s">
        <v>60</v>
      </c>
      <c r="AF4" s="12" t="s">
        <v>61</v>
      </c>
      <c r="AG4" s="12" t="s">
        <v>62</v>
      </c>
      <c r="AH4" s="12" t="s">
        <v>63</v>
      </c>
      <c r="AI4" s="12" t="s">
        <v>64</v>
      </c>
      <c r="AJ4" s="12" t="s">
        <v>65</v>
      </c>
      <c r="AK4" s="167" t="s">
        <v>68</v>
      </c>
      <c r="AL4" s="11" t="s">
        <v>55</v>
      </c>
      <c r="AM4" s="12" t="s">
        <v>56</v>
      </c>
      <c r="AN4" s="12" t="s">
        <v>57</v>
      </c>
      <c r="AO4" s="12" t="s">
        <v>58</v>
      </c>
      <c r="AP4" s="12" t="s">
        <v>59</v>
      </c>
      <c r="AQ4" s="12" t="s">
        <v>60</v>
      </c>
      <c r="AR4" s="12" t="s">
        <v>61</v>
      </c>
      <c r="AS4" s="12" t="s">
        <v>62</v>
      </c>
      <c r="AT4" s="12" t="s">
        <v>63</v>
      </c>
      <c r="AU4" s="12" t="s">
        <v>64</v>
      </c>
      <c r="AV4" s="12" t="s">
        <v>65</v>
      </c>
      <c r="AW4" s="167" t="s">
        <v>69</v>
      </c>
      <c r="AX4" s="11" t="s">
        <v>55</v>
      </c>
      <c r="AY4" s="12" t="s">
        <v>56</v>
      </c>
      <c r="AZ4" s="12" t="s">
        <v>57</v>
      </c>
      <c r="BA4" s="12" t="s">
        <v>58</v>
      </c>
      <c r="BB4" s="12" t="s">
        <v>59</v>
      </c>
      <c r="BC4" s="12" t="s">
        <v>60</v>
      </c>
      <c r="BD4" s="12" t="s">
        <v>61</v>
      </c>
      <c r="BE4" s="12" t="s">
        <v>62</v>
      </c>
      <c r="BF4" s="12" t="s">
        <v>63</v>
      </c>
      <c r="BG4" s="12" t="s">
        <v>64</v>
      </c>
      <c r="BH4" s="12" t="s">
        <v>65</v>
      </c>
      <c r="BJ4" s="13"/>
      <c r="BK4" s="14"/>
      <c r="BL4" s="15" t="s">
        <v>70</v>
      </c>
      <c r="BM4" s="16"/>
      <c r="BN4" s="16"/>
      <c r="BO4" s="16"/>
      <c r="BP4" s="16"/>
      <c r="BQ4" s="16"/>
      <c r="BR4" s="16"/>
      <c r="BS4" s="17"/>
    </row>
    <row r="5" spans="1:71" ht="25.5" customHeight="1" x14ac:dyDescent="0.3">
      <c r="A5" s="170"/>
      <c r="B5" s="18" t="s">
        <v>71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68"/>
      <c r="N5" s="18" t="s">
        <v>71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68"/>
      <c r="Z5" s="18" t="s">
        <v>72</v>
      </c>
      <c r="AA5" s="19">
        <v>0</v>
      </c>
      <c r="AB5" s="19">
        <v>0</v>
      </c>
      <c r="AC5" s="19">
        <v>0</v>
      </c>
      <c r="AD5" s="20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68"/>
      <c r="AL5" s="18" t="s">
        <v>72</v>
      </c>
      <c r="AM5" s="19">
        <v>0</v>
      </c>
      <c r="AN5" s="19">
        <v>0</v>
      </c>
      <c r="AO5" s="19">
        <v>0</v>
      </c>
      <c r="AP5" s="20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68"/>
      <c r="AX5" s="18" t="s">
        <v>72</v>
      </c>
      <c r="AY5" s="19">
        <v>0</v>
      </c>
      <c r="AZ5" s="19">
        <v>0</v>
      </c>
      <c r="BA5" s="19">
        <v>0</v>
      </c>
      <c r="BB5" s="20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6</v>
      </c>
      <c r="BJ5" s="21"/>
      <c r="BK5" s="14"/>
      <c r="BL5" s="22" t="s">
        <v>70</v>
      </c>
      <c r="BM5" s="16"/>
      <c r="BN5" s="16"/>
      <c r="BO5" s="16"/>
      <c r="BP5" s="16"/>
      <c r="BQ5" s="16"/>
      <c r="BR5" s="16"/>
      <c r="BS5" s="17"/>
    </row>
    <row r="6" spans="1:71" ht="25.5" customHeight="1" x14ac:dyDescent="0.3">
      <c r="A6" s="10"/>
      <c r="B6" s="18" t="s">
        <v>73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0"/>
      <c r="N6" s="18" t="s">
        <v>73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0"/>
      <c r="Z6" s="18" t="s">
        <v>74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20">
        <v>0</v>
      </c>
      <c r="AG6" s="19">
        <v>0</v>
      </c>
      <c r="AH6" s="19">
        <v>0</v>
      </c>
      <c r="AI6" s="19">
        <v>0</v>
      </c>
      <c r="AJ6" s="19">
        <v>0</v>
      </c>
      <c r="AK6" s="10"/>
      <c r="AL6" s="18" t="s">
        <v>74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20">
        <v>0</v>
      </c>
      <c r="AS6" s="19">
        <v>0</v>
      </c>
      <c r="AT6" s="19">
        <v>0</v>
      </c>
      <c r="AU6" s="19">
        <v>0</v>
      </c>
      <c r="AV6" s="19">
        <v>0</v>
      </c>
      <c r="AW6" s="10"/>
      <c r="AX6" s="18" t="s">
        <v>74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20">
        <v>0</v>
      </c>
      <c r="BE6" s="19">
        <v>0</v>
      </c>
      <c r="BF6" s="19">
        <v>0</v>
      </c>
      <c r="BG6" s="19">
        <v>0</v>
      </c>
      <c r="BH6" s="19">
        <v>4</v>
      </c>
      <c r="BJ6" s="21"/>
      <c r="BK6" s="14"/>
      <c r="BL6" s="22" t="s">
        <v>75</v>
      </c>
      <c r="BM6" s="16"/>
      <c r="BN6" s="16"/>
      <c r="BO6" s="16"/>
      <c r="BP6" s="16"/>
      <c r="BQ6" s="16"/>
      <c r="BR6" s="16"/>
      <c r="BS6" s="17"/>
    </row>
    <row r="7" spans="1:71" ht="25.5" customHeight="1" x14ac:dyDescent="0.3">
      <c r="A7" s="10"/>
      <c r="B7" s="18" t="s">
        <v>76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0"/>
      <c r="N7" s="18" t="s">
        <v>76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0"/>
      <c r="Z7" s="18" t="s">
        <v>77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0"/>
      <c r="AL7" s="18" t="s">
        <v>77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0"/>
      <c r="AX7" s="18" t="s">
        <v>77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14</v>
      </c>
      <c r="BJ7" s="23"/>
      <c r="BK7" s="14"/>
      <c r="BL7" s="24" t="s">
        <v>78</v>
      </c>
      <c r="BM7" s="16"/>
      <c r="BN7" s="16"/>
      <c r="BO7" s="16"/>
      <c r="BP7" s="16"/>
      <c r="BQ7" s="16"/>
      <c r="BR7" s="16"/>
      <c r="BS7" s="17"/>
    </row>
    <row r="8" spans="1:71" ht="25.5" customHeight="1" x14ac:dyDescent="0.3">
      <c r="A8" s="10"/>
      <c r="B8" s="18" t="s">
        <v>79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25" t="s">
        <v>80</v>
      </c>
      <c r="K8" s="19">
        <v>0</v>
      </c>
      <c r="L8" s="19">
        <v>0</v>
      </c>
      <c r="M8" s="10"/>
      <c r="N8" s="18" t="s">
        <v>79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25" t="s">
        <v>80</v>
      </c>
      <c r="W8" s="19">
        <v>0</v>
      </c>
      <c r="X8" s="19">
        <v>0</v>
      </c>
      <c r="Y8" s="10"/>
      <c r="Z8" s="18" t="s">
        <v>81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0"/>
      <c r="AL8" s="18" t="s">
        <v>81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28"/>
      <c r="AX8" s="27" t="s">
        <v>81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J8" s="23"/>
      <c r="BK8" s="14"/>
      <c r="BL8" s="24" t="s">
        <v>78</v>
      </c>
      <c r="BM8" s="16"/>
      <c r="BN8" s="16"/>
      <c r="BO8" s="16"/>
      <c r="BP8" s="16"/>
      <c r="BQ8" s="16"/>
      <c r="BR8" s="16"/>
      <c r="BS8" s="17"/>
    </row>
    <row r="9" spans="1:71" ht="25.5" customHeight="1" x14ac:dyDescent="0.3">
      <c r="A9" s="10"/>
      <c r="B9" s="18" t="s">
        <v>82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0"/>
      <c r="N9" s="18" t="s">
        <v>82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J9" s="21"/>
      <c r="BK9" s="14"/>
      <c r="BL9" s="22" t="s">
        <v>75</v>
      </c>
      <c r="BM9" s="16"/>
      <c r="BN9" s="16"/>
      <c r="BO9" s="16"/>
      <c r="BP9" s="16"/>
      <c r="BQ9" s="16"/>
      <c r="BR9" s="16"/>
      <c r="BS9" s="17"/>
    </row>
    <row r="10" spans="1:71" ht="25.5" customHeight="1" x14ac:dyDescent="0.3">
      <c r="A10" s="10"/>
      <c r="B10" s="27" t="s">
        <v>83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19">
        <v>0</v>
      </c>
      <c r="K10" s="29">
        <v>0</v>
      </c>
      <c r="L10" s="29">
        <v>0</v>
      </c>
      <c r="M10" s="10"/>
      <c r="N10" s="27" t="s">
        <v>83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19">
        <v>0</v>
      </c>
      <c r="W10" s="29">
        <v>0</v>
      </c>
      <c r="X10" s="29">
        <v>0</v>
      </c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J10" s="30"/>
      <c r="BK10" s="14"/>
      <c r="BL10" s="31" t="s">
        <v>11</v>
      </c>
      <c r="BM10" s="16"/>
      <c r="BN10" s="16"/>
      <c r="BO10" s="16"/>
      <c r="BP10" s="16"/>
      <c r="BQ10" s="16"/>
      <c r="BR10" s="16"/>
      <c r="BS10" s="17"/>
    </row>
    <row r="11" spans="1:71" ht="25.5" customHeight="1" x14ac:dyDescent="0.3">
      <c r="A11" s="10" t="s">
        <v>84</v>
      </c>
      <c r="B11" s="3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J11" s="30"/>
      <c r="BK11" s="14"/>
      <c r="BL11" s="31" t="s">
        <v>11</v>
      </c>
      <c r="BM11" s="16"/>
      <c r="BN11" s="16"/>
      <c r="BO11" s="16"/>
      <c r="BP11" s="16"/>
      <c r="BQ11" s="16"/>
      <c r="BR11" s="16"/>
      <c r="BS11" s="17"/>
    </row>
    <row r="12" spans="1:71" ht="25.5" customHeight="1" x14ac:dyDescent="0.3">
      <c r="A12" s="169" t="s">
        <v>85</v>
      </c>
      <c r="B12" s="11" t="s">
        <v>55</v>
      </c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65</v>
      </c>
      <c r="M12" s="167" t="s">
        <v>86</v>
      </c>
      <c r="N12" s="11" t="s">
        <v>55</v>
      </c>
      <c r="O12" s="12" t="s">
        <v>56</v>
      </c>
      <c r="P12" s="12" t="s">
        <v>57</v>
      </c>
      <c r="Q12" s="12" t="s">
        <v>58</v>
      </c>
      <c r="R12" s="12" t="s">
        <v>59</v>
      </c>
      <c r="S12" s="12" t="s">
        <v>60</v>
      </c>
      <c r="T12" s="12" t="s">
        <v>61</v>
      </c>
      <c r="U12" s="12" t="s">
        <v>62</v>
      </c>
      <c r="V12" s="12" t="s">
        <v>63</v>
      </c>
      <c r="W12" s="12" t="s">
        <v>64</v>
      </c>
      <c r="X12" s="12" t="s">
        <v>65</v>
      </c>
      <c r="Y12" s="167" t="s">
        <v>87</v>
      </c>
      <c r="Z12" s="11" t="s">
        <v>55</v>
      </c>
      <c r="AA12" s="12" t="s">
        <v>56</v>
      </c>
      <c r="AB12" s="12" t="s">
        <v>57</v>
      </c>
      <c r="AC12" s="12" t="s">
        <v>58</v>
      </c>
      <c r="AD12" s="12" t="s">
        <v>59</v>
      </c>
      <c r="AE12" s="12" t="s">
        <v>60</v>
      </c>
      <c r="AF12" s="12" t="s">
        <v>61</v>
      </c>
      <c r="AG12" s="12" t="s">
        <v>62</v>
      </c>
      <c r="AH12" s="12" t="s">
        <v>63</v>
      </c>
      <c r="AI12" s="12" t="s">
        <v>64</v>
      </c>
      <c r="AJ12" s="12" t="s">
        <v>65</v>
      </c>
      <c r="AK12" s="167" t="s">
        <v>88</v>
      </c>
      <c r="AL12" s="11" t="s">
        <v>55</v>
      </c>
      <c r="AM12" s="12" t="s">
        <v>56</v>
      </c>
      <c r="AN12" s="12" t="s">
        <v>57</v>
      </c>
      <c r="AO12" s="12" t="s">
        <v>58</v>
      </c>
      <c r="AP12" s="12" t="s">
        <v>59</v>
      </c>
      <c r="AQ12" s="12" t="s">
        <v>60</v>
      </c>
      <c r="AR12" s="12" t="s">
        <v>61</v>
      </c>
      <c r="AS12" s="12" t="s">
        <v>62</v>
      </c>
      <c r="AT12" s="12" t="s">
        <v>63</v>
      </c>
      <c r="AU12" s="12" t="s">
        <v>64</v>
      </c>
      <c r="AV12" s="12" t="s">
        <v>65</v>
      </c>
      <c r="AW12" s="10"/>
      <c r="AX12" s="11" t="s">
        <v>55</v>
      </c>
      <c r="AY12" s="12" t="s">
        <v>56</v>
      </c>
      <c r="AZ12" s="12" t="s">
        <v>57</v>
      </c>
      <c r="BA12" s="12" t="s">
        <v>58</v>
      </c>
      <c r="BB12" s="12" t="s">
        <v>59</v>
      </c>
      <c r="BC12" s="12" t="s">
        <v>60</v>
      </c>
      <c r="BD12" s="12" t="s">
        <v>61</v>
      </c>
      <c r="BE12" s="12" t="s">
        <v>62</v>
      </c>
      <c r="BF12" s="12" t="s">
        <v>63</v>
      </c>
      <c r="BG12" s="12" t="s">
        <v>64</v>
      </c>
      <c r="BH12" s="12" t="s">
        <v>65</v>
      </c>
      <c r="BJ12" s="13"/>
      <c r="BK12" s="14"/>
      <c r="BL12" s="15" t="s">
        <v>70</v>
      </c>
      <c r="BM12" s="16"/>
      <c r="BN12" s="16"/>
      <c r="BO12" s="16"/>
      <c r="BP12" s="16"/>
      <c r="BQ12" s="16"/>
      <c r="BR12" s="16"/>
      <c r="BS12" s="17"/>
    </row>
    <row r="13" spans="1:71" ht="25.5" customHeight="1" x14ac:dyDescent="0.3">
      <c r="A13" s="170"/>
      <c r="B13" s="18" t="s">
        <v>71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68"/>
      <c r="N13" s="18" t="s">
        <v>71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68"/>
      <c r="Z13" s="18" t="s">
        <v>71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68"/>
      <c r="AL13" s="18" t="s">
        <v>71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0" t="s">
        <v>89</v>
      </c>
      <c r="AX13" s="18" t="s">
        <v>71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J13" s="23"/>
      <c r="BK13" s="14"/>
      <c r="BL13" s="24" t="s">
        <v>78</v>
      </c>
      <c r="BM13" s="16"/>
      <c r="BN13" s="16"/>
      <c r="BO13" s="16"/>
      <c r="BP13" s="16"/>
      <c r="BQ13" s="16"/>
      <c r="BR13" s="16"/>
      <c r="BS13" s="17"/>
    </row>
    <row r="14" spans="1:71" ht="25.5" customHeight="1" x14ac:dyDescent="0.3">
      <c r="A14" s="10"/>
      <c r="B14" s="18" t="s">
        <v>73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0"/>
      <c r="N14" s="18" t="s">
        <v>73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0"/>
      <c r="Z14" s="18" t="s">
        <v>73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0"/>
      <c r="AL14" s="18" t="s">
        <v>73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0"/>
      <c r="AX14" s="18" t="s">
        <v>73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J14" s="23"/>
      <c r="BK14" s="14"/>
      <c r="BL14" s="24" t="s">
        <v>78</v>
      </c>
      <c r="BM14" s="16"/>
      <c r="BN14" s="16"/>
      <c r="BO14" s="16"/>
      <c r="BP14" s="16"/>
      <c r="BQ14" s="16"/>
      <c r="BR14" s="16"/>
      <c r="BS14" s="17"/>
    </row>
    <row r="15" spans="1:71" ht="25.5" customHeight="1" x14ac:dyDescent="0.3">
      <c r="A15" s="10"/>
      <c r="B15" s="18" t="s">
        <v>76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0"/>
      <c r="N15" s="18" t="s">
        <v>76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0"/>
      <c r="Z15" s="18" t="s">
        <v>76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0"/>
      <c r="AL15" s="18" t="s">
        <v>76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0"/>
      <c r="AX15" s="18" t="s">
        <v>76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J15" s="21"/>
      <c r="BK15" s="14"/>
      <c r="BL15" s="22" t="s">
        <v>75</v>
      </c>
      <c r="BM15" s="16"/>
      <c r="BN15" s="16"/>
      <c r="BO15" s="16"/>
      <c r="BP15" s="16"/>
      <c r="BQ15" s="16"/>
      <c r="BR15" s="16"/>
      <c r="BS15" s="17"/>
    </row>
    <row r="16" spans="1:71" ht="14.25" customHeight="1" x14ac:dyDescent="0.3">
      <c r="A16" s="10"/>
      <c r="B16" s="18" t="s">
        <v>79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25" t="s">
        <v>80</v>
      </c>
      <c r="K16" s="19">
        <v>0</v>
      </c>
      <c r="L16" s="19">
        <v>0</v>
      </c>
      <c r="M16" s="10"/>
      <c r="N16" s="18" t="s">
        <v>79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25" t="s">
        <v>80</v>
      </c>
      <c r="W16" s="19">
        <v>0</v>
      </c>
      <c r="X16" s="19">
        <v>0</v>
      </c>
      <c r="Y16" s="10"/>
      <c r="Z16" s="18" t="s">
        <v>79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25" t="s">
        <v>80</v>
      </c>
      <c r="AI16" s="19">
        <v>0</v>
      </c>
      <c r="AJ16" s="19">
        <v>0</v>
      </c>
      <c r="AK16" s="10"/>
      <c r="AL16" s="18" t="s">
        <v>79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25" t="s">
        <v>80</v>
      </c>
      <c r="AU16" s="19">
        <v>0</v>
      </c>
      <c r="AV16" s="19">
        <v>0</v>
      </c>
      <c r="AW16" s="10"/>
      <c r="AX16" s="18" t="s">
        <v>79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25" t="s">
        <v>80</v>
      </c>
      <c r="BG16" s="19">
        <v>0</v>
      </c>
      <c r="BH16" s="19">
        <v>0</v>
      </c>
    </row>
    <row r="17" spans="1:71" ht="36" customHeight="1" x14ac:dyDescent="0.3">
      <c r="A17" s="10"/>
      <c r="B17" s="27" t="s">
        <v>90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10"/>
      <c r="N17" s="27" t="s">
        <v>90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10"/>
      <c r="Z17" s="27" t="s">
        <v>90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10"/>
      <c r="AL17" s="27" t="s">
        <v>90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10"/>
      <c r="AX17" s="27" t="s">
        <v>90</v>
      </c>
      <c r="AY17" s="29">
        <v>0</v>
      </c>
      <c r="AZ17" s="29">
        <v>0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0</v>
      </c>
      <c r="BJ17" s="154" t="s">
        <v>91</v>
      </c>
      <c r="BK17" s="151"/>
      <c r="BL17" s="151"/>
      <c r="BM17" s="151"/>
      <c r="BN17" s="151"/>
      <c r="BO17" s="151"/>
      <c r="BP17" s="151"/>
      <c r="BQ17" s="151"/>
      <c r="BR17" s="151"/>
      <c r="BS17" s="151"/>
    </row>
    <row r="20" spans="1:71" ht="25.5" customHeight="1" x14ac:dyDescent="0.3">
      <c r="A20" s="160" t="s">
        <v>92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</row>
    <row r="21" spans="1:71" ht="14.25" customHeight="1" x14ac:dyDescent="0.3">
      <c r="A21" s="33"/>
      <c r="B21" s="34"/>
      <c r="C21" s="12" t="s">
        <v>56</v>
      </c>
      <c r="D21" s="12" t="s">
        <v>57</v>
      </c>
      <c r="E21" s="12" t="s">
        <v>59</v>
      </c>
      <c r="F21" s="12" t="s">
        <v>60</v>
      </c>
      <c r="G21" s="12" t="s">
        <v>61</v>
      </c>
      <c r="H21" s="12" t="s">
        <v>62</v>
      </c>
      <c r="I21" s="12" t="s">
        <v>65</v>
      </c>
      <c r="J21" s="33"/>
      <c r="K21" s="34"/>
      <c r="L21" s="12" t="s">
        <v>56</v>
      </c>
      <c r="M21" s="12" t="s">
        <v>57</v>
      </c>
      <c r="N21" s="12" t="s">
        <v>59</v>
      </c>
      <c r="O21" s="12" t="s">
        <v>60</v>
      </c>
      <c r="P21" s="12" t="s">
        <v>61</v>
      </c>
      <c r="Q21" s="12" t="s">
        <v>62</v>
      </c>
      <c r="R21" s="12" t="s">
        <v>65</v>
      </c>
      <c r="S21" s="33"/>
      <c r="T21" s="34"/>
      <c r="U21" s="12" t="s">
        <v>56</v>
      </c>
      <c r="V21" s="12" t="s">
        <v>57</v>
      </c>
      <c r="W21" s="12" t="s">
        <v>59</v>
      </c>
      <c r="X21" s="12" t="s">
        <v>60</v>
      </c>
      <c r="Y21" s="12" t="s">
        <v>61</v>
      </c>
      <c r="Z21" s="12" t="s">
        <v>62</v>
      </c>
      <c r="AA21" s="12" t="s">
        <v>65</v>
      </c>
      <c r="AB21" s="33"/>
      <c r="AC21" s="34"/>
      <c r="AD21" s="12" t="s">
        <v>56</v>
      </c>
      <c r="AE21" s="12" t="s">
        <v>57</v>
      </c>
      <c r="AF21" s="12" t="s">
        <v>59</v>
      </c>
      <c r="AG21" s="12" t="s">
        <v>60</v>
      </c>
      <c r="AH21" s="12" t="s">
        <v>61</v>
      </c>
      <c r="AI21" s="12" t="s">
        <v>62</v>
      </c>
      <c r="AJ21" s="12" t="s">
        <v>65</v>
      </c>
      <c r="AK21" s="33"/>
      <c r="AL21" s="34"/>
      <c r="AM21" s="12" t="s">
        <v>56</v>
      </c>
      <c r="AN21" s="12" t="s">
        <v>57</v>
      </c>
      <c r="AO21" s="12" t="s">
        <v>59</v>
      </c>
      <c r="AP21" s="12" t="s">
        <v>60</v>
      </c>
      <c r="AQ21" s="12" t="s">
        <v>61</v>
      </c>
      <c r="AR21" s="12" t="s">
        <v>62</v>
      </c>
      <c r="AS21" s="12" t="s">
        <v>65</v>
      </c>
      <c r="AT21" s="33"/>
      <c r="AU21" s="34"/>
      <c r="AV21" s="12" t="s">
        <v>56</v>
      </c>
      <c r="AW21" s="12" t="s">
        <v>57</v>
      </c>
      <c r="AX21" s="12" t="s">
        <v>59</v>
      </c>
      <c r="AY21" s="12" t="s">
        <v>60</v>
      </c>
      <c r="AZ21" s="12" t="s">
        <v>61</v>
      </c>
      <c r="BA21" s="12" t="s">
        <v>62</v>
      </c>
      <c r="BB21" s="12" t="s">
        <v>65</v>
      </c>
    </row>
    <row r="22" spans="1:71" ht="14.25" customHeight="1" x14ac:dyDescent="0.3">
      <c r="A22" s="33" t="s">
        <v>68</v>
      </c>
      <c r="B22" s="34" t="s">
        <v>93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3" t="s">
        <v>54</v>
      </c>
      <c r="K22" s="34" t="s">
        <v>93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3" t="s">
        <v>94</v>
      </c>
      <c r="T22" s="34" t="s">
        <v>93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3" t="s">
        <v>86</v>
      </c>
      <c r="AC22" s="34" t="s">
        <v>93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5">
        <v>0</v>
      </c>
      <c r="AK22" s="33" t="s">
        <v>85</v>
      </c>
      <c r="AL22" s="34" t="s">
        <v>93</v>
      </c>
      <c r="AM22" s="35">
        <v>0</v>
      </c>
      <c r="AN22" s="35">
        <v>0</v>
      </c>
      <c r="AO22" s="35">
        <v>0</v>
      </c>
      <c r="AP22" s="35">
        <v>0</v>
      </c>
      <c r="AQ22" s="35">
        <v>0</v>
      </c>
      <c r="AR22" s="35">
        <v>0</v>
      </c>
      <c r="AS22" s="35">
        <v>0</v>
      </c>
      <c r="AT22" s="33" t="s">
        <v>88</v>
      </c>
      <c r="AU22" s="34" t="s">
        <v>93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</row>
    <row r="23" spans="1:71" ht="14.25" customHeight="1" x14ac:dyDescent="0.3">
      <c r="A23" s="33" t="s">
        <v>68</v>
      </c>
      <c r="B23" s="34" t="s">
        <v>95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3" t="s">
        <v>54</v>
      </c>
      <c r="K23" s="34" t="s">
        <v>95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3" t="s">
        <v>94</v>
      </c>
      <c r="T23" s="34" t="s">
        <v>95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3" t="s">
        <v>86</v>
      </c>
      <c r="AC23" s="34" t="s">
        <v>95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v>0</v>
      </c>
      <c r="AK23" s="33" t="s">
        <v>85</v>
      </c>
      <c r="AL23" s="34" t="s">
        <v>95</v>
      </c>
      <c r="AM23" s="35">
        <v>0</v>
      </c>
      <c r="AN23" s="35">
        <v>0</v>
      </c>
      <c r="AO23" s="35">
        <v>0</v>
      </c>
      <c r="AP23" s="35">
        <v>0</v>
      </c>
      <c r="AQ23" s="35">
        <v>0</v>
      </c>
      <c r="AR23" s="35">
        <v>0</v>
      </c>
      <c r="AS23" s="35">
        <v>0</v>
      </c>
      <c r="AT23" s="33" t="s">
        <v>88</v>
      </c>
      <c r="AU23" s="34" t="s">
        <v>95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</row>
    <row r="24" spans="1:71" ht="14.25" customHeight="1" x14ac:dyDescent="0.3">
      <c r="A24" s="33" t="s">
        <v>68</v>
      </c>
      <c r="B24" s="34" t="s">
        <v>96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3" t="s">
        <v>54</v>
      </c>
      <c r="K24" s="34" t="s">
        <v>96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3" t="s">
        <v>94</v>
      </c>
      <c r="T24" s="34" t="s">
        <v>96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3" t="s">
        <v>86</v>
      </c>
      <c r="AC24" s="34" t="s">
        <v>96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5">
        <v>0</v>
      </c>
      <c r="AK24" s="33" t="s">
        <v>85</v>
      </c>
      <c r="AL24" s="34" t="s">
        <v>96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3" t="s">
        <v>88</v>
      </c>
      <c r="AU24" s="34" t="s">
        <v>96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</row>
    <row r="25" spans="1:71" ht="14.25" customHeight="1" x14ac:dyDescent="0.3">
      <c r="A25" s="33" t="s">
        <v>68</v>
      </c>
      <c r="B25" s="34" t="s">
        <v>93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3" t="s">
        <v>54</v>
      </c>
      <c r="K25" s="34" t="s">
        <v>93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3" t="s">
        <v>94</v>
      </c>
      <c r="T25" s="34" t="s">
        <v>93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3" t="s">
        <v>86</v>
      </c>
      <c r="AC25" s="34" t="s">
        <v>93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0</v>
      </c>
      <c r="AK25" s="33" t="s">
        <v>85</v>
      </c>
      <c r="AL25" s="34" t="s">
        <v>93</v>
      </c>
      <c r="AM25" s="35">
        <v>0</v>
      </c>
      <c r="AN25" s="35">
        <v>0</v>
      </c>
      <c r="AO25" s="35">
        <v>0</v>
      </c>
      <c r="AP25" s="35">
        <v>0</v>
      </c>
      <c r="AQ25" s="35">
        <v>0</v>
      </c>
      <c r="AR25" s="35">
        <v>0</v>
      </c>
      <c r="AS25" s="35">
        <v>0</v>
      </c>
      <c r="AT25" s="33" t="s">
        <v>88</v>
      </c>
      <c r="AU25" s="34" t="s">
        <v>93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</row>
    <row r="26" spans="1:71" ht="14.25" customHeight="1" x14ac:dyDescent="0.3">
      <c r="A26" s="33" t="s">
        <v>68</v>
      </c>
      <c r="B26" s="34" t="s">
        <v>95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3" t="s">
        <v>54</v>
      </c>
      <c r="K26" s="34" t="s">
        <v>95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3" t="s">
        <v>94</v>
      </c>
      <c r="T26" s="34" t="s">
        <v>95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3" t="s">
        <v>86</v>
      </c>
      <c r="AC26" s="34" t="s">
        <v>95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5">
        <v>0</v>
      </c>
      <c r="AJ26" s="35">
        <v>0</v>
      </c>
      <c r="AK26" s="33" t="s">
        <v>85</v>
      </c>
      <c r="AL26" s="34" t="s">
        <v>95</v>
      </c>
      <c r="AM26" s="35">
        <v>0</v>
      </c>
      <c r="AN26" s="35">
        <v>0</v>
      </c>
      <c r="AO26" s="35">
        <v>0</v>
      </c>
      <c r="AP26" s="35">
        <v>0</v>
      </c>
      <c r="AQ26" s="35">
        <v>0</v>
      </c>
      <c r="AR26" s="35">
        <v>0</v>
      </c>
      <c r="AS26" s="35">
        <v>0</v>
      </c>
      <c r="AT26" s="33" t="s">
        <v>88</v>
      </c>
      <c r="AU26" s="34" t="s">
        <v>95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</row>
    <row r="27" spans="1:71" ht="14.25" customHeight="1" x14ac:dyDescent="0.3">
      <c r="A27" s="33" t="s">
        <v>68</v>
      </c>
      <c r="B27" s="36" t="s">
        <v>96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3" t="s">
        <v>54</v>
      </c>
      <c r="K27" s="36" t="s">
        <v>96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3" t="s">
        <v>94</v>
      </c>
      <c r="T27" s="36" t="s">
        <v>96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3" t="s">
        <v>86</v>
      </c>
      <c r="AC27" s="36" t="s">
        <v>96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3" t="s">
        <v>85</v>
      </c>
      <c r="AL27" s="36" t="s">
        <v>96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3" t="s">
        <v>88</v>
      </c>
      <c r="AU27" s="36" t="s">
        <v>96</v>
      </c>
      <c r="AV27" s="37">
        <v>0</v>
      </c>
      <c r="AW27" s="37">
        <v>0</v>
      </c>
      <c r="AX27" s="37">
        <v>0</v>
      </c>
      <c r="AY27" s="37">
        <v>0</v>
      </c>
      <c r="AZ27" s="37">
        <v>0</v>
      </c>
      <c r="BA27" s="37">
        <v>0</v>
      </c>
      <c r="BB27" s="37">
        <v>0</v>
      </c>
    </row>
    <row r="28" spans="1:71" ht="14.25" customHeight="1" x14ac:dyDescent="0.3">
      <c r="A28" s="33"/>
      <c r="B28" s="34"/>
      <c r="C28" s="38" t="s">
        <v>56</v>
      </c>
      <c r="D28" s="38" t="s">
        <v>57</v>
      </c>
      <c r="E28" s="38" t="s">
        <v>59</v>
      </c>
      <c r="F28" s="38" t="s">
        <v>60</v>
      </c>
      <c r="G28" s="38" t="s">
        <v>61</v>
      </c>
      <c r="H28" s="38" t="s">
        <v>62</v>
      </c>
      <c r="I28" s="38" t="s">
        <v>65</v>
      </c>
      <c r="J28" s="33"/>
      <c r="K28" s="34"/>
      <c r="L28" s="38" t="s">
        <v>56</v>
      </c>
      <c r="M28" s="38" t="s">
        <v>57</v>
      </c>
      <c r="N28" s="38" t="s">
        <v>59</v>
      </c>
      <c r="O28" s="38" t="s">
        <v>60</v>
      </c>
      <c r="P28" s="38" t="s">
        <v>61</v>
      </c>
      <c r="Q28" s="38" t="s">
        <v>62</v>
      </c>
      <c r="R28" s="38" t="s">
        <v>65</v>
      </c>
      <c r="S28" s="33"/>
      <c r="T28" s="34"/>
      <c r="U28" s="38" t="s">
        <v>56</v>
      </c>
      <c r="V28" s="38" t="s">
        <v>57</v>
      </c>
      <c r="W28" s="38" t="s">
        <v>59</v>
      </c>
      <c r="X28" s="38" t="s">
        <v>60</v>
      </c>
      <c r="Y28" s="38" t="s">
        <v>61</v>
      </c>
      <c r="Z28" s="38" t="s">
        <v>62</v>
      </c>
      <c r="AA28" s="38" t="s">
        <v>65</v>
      </c>
      <c r="AB28" s="33"/>
      <c r="AC28" s="34"/>
      <c r="AD28" s="38" t="s">
        <v>56</v>
      </c>
      <c r="AE28" s="38" t="s">
        <v>57</v>
      </c>
      <c r="AF28" s="38" t="s">
        <v>59</v>
      </c>
      <c r="AG28" s="38" t="s">
        <v>60</v>
      </c>
      <c r="AH28" s="38" t="s">
        <v>61</v>
      </c>
      <c r="AI28" s="38" t="s">
        <v>62</v>
      </c>
      <c r="AJ28" s="38" t="s">
        <v>65</v>
      </c>
      <c r="AK28" s="33"/>
      <c r="AL28" s="34"/>
      <c r="AM28" s="38" t="s">
        <v>56</v>
      </c>
      <c r="AN28" s="38" t="s">
        <v>57</v>
      </c>
      <c r="AO28" s="38" t="s">
        <v>59</v>
      </c>
      <c r="AP28" s="38" t="s">
        <v>60</v>
      </c>
      <c r="AQ28" s="38" t="s">
        <v>61</v>
      </c>
      <c r="AR28" s="38" t="s">
        <v>62</v>
      </c>
      <c r="AS28" s="38" t="s">
        <v>65</v>
      </c>
      <c r="AT28" s="33"/>
      <c r="AU28" s="34"/>
      <c r="AV28" s="38" t="s">
        <v>56</v>
      </c>
      <c r="AW28" s="38" t="s">
        <v>57</v>
      </c>
      <c r="AX28" s="38" t="s">
        <v>59</v>
      </c>
      <c r="AY28" s="38" t="s">
        <v>60</v>
      </c>
      <c r="AZ28" s="38" t="s">
        <v>61</v>
      </c>
      <c r="BA28" s="38" t="s">
        <v>62</v>
      </c>
      <c r="BB28" s="38" t="s">
        <v>65</v>
      </c>
    </row>
    <row r="29" spans="1:71" ht="14.25" customHeight="1" x14ac:dyDescent="0.3">
      <c r="A29" s="33" t="s">
        <v>97</v>
      </c>
      <c r="B29" s="34" t="s">
        <v>93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3" t="s">
        <v>87</v>
      </c>
      <c r="K29" s="34" t="s">
        <v>93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3" t="s">
        <v>98</v>
      </c>
      <c r="T29" s="34" t="s">
        <v>93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3" t="s">
        <v>67</v>
      </c>
      <c r="AC29" s="34" t="s">
        <v>93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0</v>
      </c>
      <c r="AK29" s="33" t="s">
        <v>69</v>
      </c>
      <c r="AL29" s="34" t="s">
        <v>93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3" t="s">
        <v>66</v>
      </c>
      <c r="AU29" s="34" t="s">
        <v>93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</row>
    <row r="30" spans="1:71" ht="14.25" customHeight="1" x14ac:dyDescent="0.3">
      <c r="A30" s="33" t="s">
        <v>97</v>
      </c>
      <c r="B30" s="34" t="s">
        <v>95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3" t="s">
        <v>87</v>
      </c>
      <c r="K30" s="34" t="s">
        <v>95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3" t="s">
        <v>98</v>
      </c>
      <c r="T30" s="34" t="s">
        <v>95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3" t="s">
        <v>67</v>
      </c>
      <c r="AC30" s="34" t="s">
        <v>95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3" t="s">
        <v>69</v>
      </c>
      <c r="AL30" s="34" t="s">
        <v>95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35">
        <v>0</v>
      </c>
      <c r="AS30" s="35">
        <v>0</v>
      </c>
      <c r="AT30" s="33" t="s">
        <v>66</v>
      </c>
      <c r="AU30" s="34" t="s">
        <v>95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</row>
    <row r="31" spans="1:71" ht="14.25" customHeight="1" x14ac:dyDescent="0.3">
      <c r="A31" s="33" t="s">
        <v>97</v>
      </c>
      <c r="B31" s="34" t="s">
        <v>96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3" t="s">
        <v>87</v>
      </c>
      <c r="K31" s="34" t="s">
        <v>96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3" t="s">
        <v>98</v>
      </c>
      <c r="T31" s="34" t="s">
        <v>96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3" t="s">
        <v>67</v>
      </c>
      <c r="AC31" s="34" t="s">
        <v>96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3" t="s">
        <v>69</v>
      </c>
      <c r="AL31" s="34" t="s">
        <v>96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3" t="s">
        <v>66</v>
      </c>
      <c r="AU31" s="34" t="s">
        <v>96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</row>
    <row r="32" spans="1:71" ht="14.25" customHeight="1" x14ac:dyDescent="0.3">
      <c r="A32" s="33" t="s">
        <v>97</v>
      </c>
      <c r="B32" s="34" t="s">
        <v>93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3" t="s">
        <v>87</v>
      </c>
      <c r="K32" s="34" t="s">
        <v>93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3" t="s">
        <v>98</v>
      </c>
      <c r="T32" s="34" t="s">
        <v>93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3" t="s">
        <v>67</v>
      </c>
      <c r="AC32" s="34" t="s">
        <v>93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3" t="s">
        <v>69</v>
      </c>
      <c r="AL32" s="34" t="s">
        <v>93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3" t="s">
        <v>66</v>
      </c>
      <c r="AU32" s="34" t="s">
        <v>93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</row>
    <row r="33" spans="1:56" ht="14.25" customHeight="1" x14ac:dyDescent="0.3">
      <c r="A33" s="33" t="s">
        <v>97</v>
      </c>
      <c r="B33" s="34" t="s">
        <v>95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3" t="s">
        <v>87</v>
      </c>
      <c r="K33" s="34" t="s">
        <v>95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3" t="s">
        <v>98</v>
      </c>
      <c r="T33" s="34" t="s">
        <v>95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3" t="s">
        <v>67</v>
      </c>
      <c r="AC33" s="34" t="s">
        <v>95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3" t="s">
        <v>69</v>
      </c>
      <c r="AL33" s="34" t="s">
        <v>95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3" t="s">
        <v>66</v>
      </c>
      <c r="AU33" s="34" t="s">
        <v>95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</row>
    <row r="34" spans="1:56" ht="14.25" customHeight="1" x14ac:dyDescent="0.3">
      <c r="A34" s="33" t="s">
        <v>97</v>
      </c>
      <c r="B34" s="36" t="s">
        <v>96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3" t="s">
        <v>87</v>
      </c>
      <c r="K34" s="36" t="s">
        <v>96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3" t="s">
        <v>98</v>
      </c>
      <c r="T34" s="36" t="s">
        <v>96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3" t="s">
        <v>67</v>
      </c>
      <c r="AC34" s="36" t="s">
        <v>96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3" t="s">
        <v>69</v>
      </c>
      <c r="AL34" s="36" t="s">
        <v>96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37">
        <v>0</v>
      </c>
      <c r="AT34" s="33" t="s">
        <v>66</v>
      </c>
      <c r="AU34" s="36" t="s">
        <v>96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7">
        <v>0</v>
      </c>
    </row>
    <row r="35" spans="1:56" ht="25.5" customHeight="1" x14ac:dyDescent="0.3">
      <c r="A35" s="159" t="s">
        <v>99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</row>
    <row r="36" spans="1:56" ht="14.25" customHeight="1" x14ac:dyDescent="0.3">
      <c r="A36" s="18" t="s">
        <v>100</v>
      </c>
      <c r="B36" s="12" t="s">
        <v>101</v>
      </c>
      <c r="C36" s="12" t="s">
        <v>102</v>
      </c>
      <c r="D36" s="12" t="s">
        <v>26</v>
      </c>
      <c r="E36" s="12" t="s">
        <v>103</v>
      </c>
      <c r="F36" s="12" t="s">
        <v>104</v>
      </c>
      <c r="G36" s="12" t="s">
        <v>105</v>
      </c>
      <c r="H36" s="18" t="s">
        <v>82</v>
      </c>
      <c r="I36" s="12" t="s">
        <v>101</v>
      </c>
      <c r="J36" s="12" t="s">
        <v>102</v>
      </c>
      <c r="K36" s="12" t="s">
        <v>26</v>
      </c>
      <c r="L36" s="12" t="s">
        <v>106</v>
      </c>
      <c r="M36" s="12" t="s">
        <v>104</v>
      </c>
      <c r="N36" s="12" t="s">
        <v>105</v>
      </c>
      <c r="O36" s="18" t="s">
        <v>71</v>
      </c>
      <c r="P36" s="12" t="s">
        <v>101</v>
      </c>
      <c r="Q36" s="12" t="s">
        <v>102</v>
      </c>
      <c r="R36" s="12" t="s">
        <v>26</v>
      </c>
      <c r="S36" s="12" t="s">
        <v>106</v>
      </c>
      <c r="T36" s="12" t="s">
        <v>104</v>
      </c>
      <c r="U36" s="12" t="s">
        <v>105</v>
      </c>
      <c r="V36" s="18" t="s">
        <v>76</v>
      </c>
      <c r="W36" s="12" t="s">
        <v>101</v>
      </c>
      <c r="X36" s="12" t="s">
        <v>102</v>
      </c>
      <c r="Y36" s="12" t="s">
        <v>26</v>
      </c>
      <c r="Z36" s="12" t="s">
        <v>106</v>
      </c>
      <c r="AA36" s="12" t="s">
        <v>104</v>
      </c>
      <c r="AB36" s="12" t="s">
        <v>105</v>
      </c>
      <c r="AC36" s="18" t="s">
        <v>72</v>
      </c>
      <c r="AD36" s="12" t="s">
        <v>101</v>
      </c>
      <c r="AE36" s="12" t="s">
        <v>102</v>
      </c>
      <c r="AF36" s="12" t="s">
        <v>26</v>
      </c>
      <c r="AG36" s="12" t="s">
        <v>106</v>
      </c>
      <c r="AH36" s="12" t="s">
        <v>104</v>
      </c>
      <c r="AI36" s="12" t="s">
        <v>105</v>
      </c>
      <c r="AJ36" s="18" t="s">
        <v>74</v>
      </c>
      <c r="AK36" s="12" t="s">
        <v>101</v>
      </c>
      <c r="AL36" s="12" t="s">
        <v>102</v>
      </c>
      <c r="AM36" s="12" t="s">
        <v>26</v>
      </c>
      <c r="AN36" s="12" t="s">
        <v>106</v>
      </c>
      <c r="AO36" s="12" t="s">
        <v>104</v>
      </c>
      <c r="AP36" s="12" t="s">
        <v>105</v>
      </c>
      <c r="AQ36" s="18" t="s">
        <v>90</v>
      </c>
      <c r="AR36" s="12" t="s">
        <v>101</v>
      </c>
      <c r="AS36" s="12" t="s">
        <v>102</v>
      </c>
      <c r="AT36" s="12" t="s">
        <v>26</v>
      </c>
      <c r="AU36" s="12" t="s">
        <v>106</v>
      </c>
      <c r="AV36" s="12" t="s">
        <v>104</v>
      </c>
      <c r="AW36" s="12" t="s">
        <v>105</v>
      </c>
      <c r="AX36" s="18" t="s">
        <v>107</v>
      </c>
      <c r="AY36" s="12" t="s">
        <v>101</v>
      </c>
      <c r="AZ36" s="12" t="s">
        <v>102</v>
      </c>
      <c r="BA36" s="12" t="s">
        <v>26</v>
      </c>
      <c r="BB36" s="12" t="s">
        <v>106</v>
      </c>
      <c r="BC36" s="12" t="s">
        <v>108</v>
      </c>
      <c r="BD36" s="12" t="s">
        <v>105</v>
      </c>
    </row>
    <row r="37" spans="1:56" ht="14.25" customHeight="1" x14ac:dyDescent="0.3">
      <c r="A37" s="18" t="s">
        <v>109</v>
      </c>
      <c r="B37" s="39">
        <v>-9.1000000000000004E-3</v>
      </c>
      <c r="C37" s="19">
        <v>356</v>
      </c>
      <c r="D37" s="19">
        <v>9</v>
      </c>
      <c r="E37" s="19">
        <v>27</v>
      </c>
      <c r="F37" s="19">
        <v>10</v>
      </c>
      <c r="G37" s="19">
        <v>24</v>
      </c>
      <c r="H37" s="18" t="s">
        <v>109</v>
      </c>
      <c r="I37" s="40">
        <v>0.27</v>
      </c>
      <c r="J37" s="19">
        <v>56</v>
      </c>
      <c r="K37" s="19">
        <v>29</v>
      </c>
      <c r="L37" s="40">
        <v>0.52</v>
      </c>
      <c r="M37" s="19">
        <v>3</v>
      </c>
      <c r="N37" s="19">
        <v>11</v>
      </c>
      <c r="O37" s="18" t="s">
        <v>109</v>
      </c>
      <c r="P37" s="40">
        <v>0.31</v>
      </c>
      <c r="Q37" s="19">
        <v>205</v>
      </c>
      <c r="R37" s="19">
        <v>89</v>
      </c>
      <c r="S37" s="40">
        <v>0.43</v>
      </c>
      <c r="T37" s="19">
        <v>10</v>
      </c>
      <c r="U37" s="19">
        <v>16</v>
      </c>
      <c r="V37" s="18" t="s">
        <v>109</v>
      </c>
      <c r="W37" s="40">
        <v>0.3</v>
      </c>
      <c r="X37" s="19">
        <v>71</v>
      </c>
      <c r="Y37" s="19">
        <v>31</v>
      </c>
      <c r="Z37" s="40">
        <v>0.44</v>
      </c>
      <c r="AA37" s="19">
        <v>6</v>
      </c>
      <c r="AB37" s="19">
        <v>4</v>
      </c>
      <c r="AC37" s="18" t="s">
        <v>109</v>
      </c>
      <c r="AD37" s="40">
        <v>0.46</v>
      </c>
      <c r="AE37" s="19">
        <v>50</v>
      </c>
      <c r="AF37" s="19">
        <v>27</v>
      </c>
      <c r="AG37" s="40">
        <v>0.54</v>
      </c>
      <c r="AH37" s="19">
        <v>0</v>
      </c>
      <c r="AI37" s="19">
        <v>4</v>
      </c>
      <c r="AJ37" s="18" t="s">
        <v>109</v>
      </c>
      <c r="AK37" s="40">
        <v>0.47</v>
      </c>
      <c r="AL37" s="19">
        <v>34</v>
      </c>
      <c r="AM37" s="19">
        <v>19</v>
      </c>
      <c r="AN37" s="40">
        <v>0.56000000000000005</v>
      </c>
      <c r="AO37" s="19">
        <v>2</v>
      </c>
      <c r="AP37" s="19">
        <v>1</v>
      </c>
      <c r="AQ37" s="18" t="s">
        <v>109</v>
      </c>
      <c r="AR37" s="40">
        <v>0.1</v>
      </c>
      <c r="AS37" s="19">
        <v>20</v>
      </c>
      <c r="AT37" s="19">
        <v>8</v>
      </c>
      <c r="AU37" s="40">
        <v>0.4</v>
      </c>
      <c r="AV37" s="19">
        <v>0</v>
      </c>
      <c r="AW37" s="19">
        <v>6</v>
      </c>
      <c r="AX37" s="18" t="s">
        <v>109</v>
      </c>
      <c r="AY37" s="40">
        <v>0.1</v>
      </c>
      <c r="AZ37" s="19">
        <v>341</v>
      </c>
      <c r="BA37" s="19">
        <v>64</v>
      </c>
      <c r="BB37" s="40">
        <v>0.19</v>
      </c>
      <c r="BC37" s="40">
        <v>0.26</v>
      </c>
      <c r="BD37" s="19">
        <v>114</v>
      </c>
    </row>
    <row r="38" spans="1:56" ht="14.25" customHeight="1" x14ac:dyDescent="0.3">
      <c r="A38" s="18" t="s">
        <v>68</v>
      </c>
      <c r="B38" s="39">
        <v>-0.1118</v>
      </c>
      <c r="C38" s="19">
        <v>38</v>
      </c>
      <c r="D38" s="19">
        <v>0</v>
      </c>
      <c r="E38" s="19">
        <v>3</v>
      </c>
      <c r="F38" s="19">
        <v>0</v>
      </c>
      <c r="G38" s="19">
        <v>5</v>
      </c>
      <c r="H38" s="18" t="s">
        <v>68</v>
      </c>
      <c r="I38" s="40">
        <v>0</v>
      </c>
      <c r="J38" s="19">
        <v>0</v>
      </c>
      <c r="K38" s="19">
        <v>0</v>
      </c>
      <c r="L38" s="40">
        <v>0</v>
      </c>
      <c r="M38" s="19">
        <v>0</v>
      </c>
      <c r="N38" s="19">
        <v>0</v>
      </c>
      <c r="O38" s="18" t="s">
        <v>68</v>
      </c>
      <c r="P38" s="40">
        <v>0</v>
      </c>
      <c r="Q38" s="19">
        <v>0</v>
      </c>
      <c r="R38" s="19">
        <v>0</v>
      </c>
      <c r="S38" s="40">
        <v>0</v>
      </c>
      <c r="T38" s="19">
        <v>0</v>
      </c>
      <c r="U38" s="19">
        <v>0</v>
      </c>
      <c r="V38" s="18" t="s">
        <v>68</v>
      </c>
      <c r="W38" s="40">
        <v>-1</v>
      </c>
      <c r="X38" s="19">
        <v>1</v>
      </c>
      <c r="Y38" s="19">
        <v>0</v>
      </c>
      <c r="Z38" s="40">
        <v>0</v>
      </c>
      <c r="AA38" s="19">
        <v>1</v>
      </c>
      <c r="AB38" s="19">
        <v>0</v>
      </c>
      <c r="AC38" s="18" t="s">
        <v>68</v>
      </c>
      <c r="AD38" s="40">
        <v>0.48</v>
      </c>
      <c r="AE38" s="19">
        <v>27</v>
      </c>
      <c r="AF38" s="19">
        <v>15</v>
      </c>
      <c r="AG38" s="40">
        <v>0.56000000000000005</v>
      </c>
      <c r="AH38" s="19">
        <v>0</v>
      </c>
      <c r="AI38" s="19">
        <v>2</v>
      </c>
      <c r="AJ38" s="18" t="s">
        <v>68</v>
      </c>
      <c r="AK38" s="40">
        <v>0.62</v>
      </c>
      <c r="AL38" s="19">
        <v>13</v>
      </c>
      <c r="AM38" s="19">
        <v>8</v>
      </c>
      <c r="AN38" s="40">
        <v>0.62</v>
      </c>
      <c r="AO38" s="19">
        <v>0</v>
      </c>
      <c r="AP38" s="19">
        <v>0</v>
      </c>
      <c r="AQ38" s="18" t="s">
        <v>68</v>
      </c>
      <c r="AR38" s="40">
        <v>0</v>
      </c>
      <c r="AS38" s="19">
        <v>0</v>
      </c>
      <c r="AT38" s="19">
        <v>0</v>
      </c>
      <c r="AU38" s="40">
        <v>0</v>
      </c>
      <c r="AV38" s="19">
        <v>0</v>
      </c>
      <c r="AW38" s="19">
        <v>0</v>
      </c>
      <c r="AX38" s="18" t="s">
        <v>68</v>
      </c>
      <c r="AY38" s="40">
        <v>0.43</v>
      </c>
      <c r="AZ38" s="19">
        <v>53</v>
      </c>
      <c r="BA38" s="19">
        <v>18</v>
      </c>
      <c r="BB38" s="40">
        <v>0.34</v>
      </c>
      <c r="BC38" s="40">
        <v>0.32</v>
      </c>
      <c r="BD38" s="19">
        <v>12</v>
      </c>
    </row>
    <row r="39" spans="1:56" ht="14.25" customHeight="1" x14ac:dyDescent="0.3">
      <c r="A39" s="18" t="s">
        <v>97</v>
      </c>
      <c r="B39" s="39">
        <v>8.4500000000000006E-2</v>
      </c>
      <c r="C39" s="19">
        <v>74</v>
      </c>
      <c r="D39" s="19">
        <v>6</v>
      </c>
      <c r="E39" s="19">
        <v>5</v>
      </c>
      <c r="F39" s="19">
        <v>4</v>
      </c>
      <c r="G39" s="19">
        <v>3</v>
      </c>
      <c r="H39" s="18" t="s">
        <v>97</v>
      </c>
      <c r="I39" s="40">
        <v>0</v>
      </c>
      <c r="J39" s="19">
        <v>0</v>
      </c>
      <c r="K39" s="19">
        <v>0</v>
      </c>
      <c r="L39" s="40">
        <v>0</v>
      </c>
      <c r="M39" s="19">
        <v>0</v>
      </c>
      <c r="N39" s="19">
        <v>0</v>
      </c>
      <c r="O39" s="18" t="s">
        <v>97</v>
      </c>
      <c r="P39" s="40">
        <v>0</v>
      </c>
      <c r="Q39" s="19">
        <v>0</v>
      </c>
      <c r="R39" s="19">
        <v>0</v>
      </c>
      <c r="S39" s="40">
        <v>0</v>
      </c>
      <c r="T39" s="19">
        <v>0</v>
      </c>
      <c r="U39" s="19">
        <v>0</v>
      </c>
      <c r="V39" s="18" t="s">
        <v>97</v>
      </c>
      <c r="W39" s="40">
        <v>0</v>
      </c>
      <c r="X39" s="19">
        <v>0</v>
      </c>
      <c r="Y39" s="19">
        <v>0</v>
      </c>
      <c r="Z39" s="40">
        <v>0</v>
      </c>
      <c r="AA39" s="19">
        <v>0</v>
      </c>
      <c r="AB39" s="19">
        <v>0</v>
      </c>
      <c r="AC39" s="18" t="s">
        <v>97</v>
      </c>
      <c r="AD39" s="40">
        <v>0</v>
      </c>
      <c r="AE39" s="19">
        <v>0</v>
      </c>
      <c r="AF39" s="19">
        <v>0</v>
      </c>
      <c r="AG39" s="40">
        <v>0</v>
      </c>
      <c r="AH39" s="19">
        <v>0</v>
      </c>
      <c r="AI39" s="19">
        <v>0</v>
      </c>
      <c r="AJ39" s="18" t="s">
        <v>97</v>
      </c>
      <c r="AK39" s="40">
        <v>0</v>
      </c>
      <c r="AL39" s="19">
        <v>0</v>
      </c>
      <c r="AM39" s="19">
        <v>0</v>
      </c>
      <c r="AN39" s="40">
        <v>0</v>
      </c>
      <c r="AO39" s="19">
        <v>0</v>
      </c>
      <c r="AP39" s="19">
        <v>0</v>
      </c>
      <c r="AQ39" s="18" t="s">
        <v>97</v>
      </c>
      <c r="AR39" s="40">
        <v>0</v>
      </c>
      <c r="AS39" s="19">
        <v>0</v>
      </c>
      <c r="AT39" s="19">
        <v>0</v>
      </c>
      <c r="AU39" s="40">
        <v>0</v>
      </c>
      <c r="AV39" s="19">
        <v>0</v>
      </c>
      <c r="AW39" s="19">
        <v>0</v>
      </c>
      <c r="AX39" s="18" t="s">
        <v>97</v>
      </c>
      <c r="AY39" s="40">
        <v>0.11</v>
      </c>
      <c r="AZ39" s="19">
        <v>28</v>
      </c>
      <c r="BA39" s="19">
        <v>3</v>
      </c>
      <c r="BB39" s="40">
        <v>0.11</v>
      </c>
      <c r="BC39" s="40">
        <v>0.39</v>
      </c>
      <c r="BD39" s="19">
        <v>10</v>
      </c>
    </row>
    <row r="40" spans="1:56" ht="14.25" customHeight="1" x14ac:dyDescent="0.3">
      <c r="A40" s="18" t="s">
        <v>54</v>
      </c>
      <c r="B40" s="39">
        <v>-0.5</v>
      </c>
      <c r="C40" s="19">
        <v>2</v>
      </c>
      <c r="D40" s="19">
        <v>0</v>
      </c>
      <c r="E40" s="19">
        <v>0</v>
      </c>
      <c r="F40" s="19">
        <v>0</v>
      </c>
      <c r="G40" s="19">
        <v>1</v>
      </c>
      <c r="H40" s="18" t="s">
        <v>54</v>
      </c>
      <c r="I40" s="40">
        <v>0.25</v>
      </c>
      <c r="J40" s="19">
        <v>32</v>
      </c>
      <c r="K40" s="19">
        <v>16</v>
      </c>
      <c r="L40" s="40">
        <v>0.5</v>
      </c>
      <c r="M40" s="19">
        <v>3</v>
      </c>
      <c r="N40" s="19">
        <v>5</v>
      </c>
      <c r="O40" s="18" t="s">
        <v>54</v>
      </c>
      <c r="P40" s="40">
        <v>1</v>
      </c>
      <c r="Q40" s="19">
        <v>1</v>
      </c>
      <c r="R40" s="19">
        <v>1</v>
      </c>
      <c r="S40" s="40">
        <v>1</v>
      </c>
      <c r="T40" s="19">
        <v>0</v>
      </c>
      <c r="U40" s="19">
        <v>0</v>
      </c>
      <c r="V40" s="18" t="s">
        <v>54</v>
      </c>
      <c r="W40" s="40">
        <v>0.33</v>
      </c>
      <c r="X40" s="19">
        <v>40</v>
      </c>
      <c r="Y40" s="19">
        <v>17</v>
      </c>
      <c r="Z40" s="40">
        <v>0.42</v>
      </c>
      <c r="AA40" s="19">
        <v>0</v>
      </c>
      <c r="AB40" s="19">
        <v>4</v>
      </c>
      <c r="AC40" s="18" t="s">
        <v>54</v>
      </c>
      <c r="AD40" s="40">
        <v>0</v>
      </c>
      <c r="AE40" s="19">
        <v>0</v>
      </c>
      <c r="AF40" s="19">
        <v>0</v>
      </c>
      <c r="AG40" s="40">
        <v>0</v>
      </c>
      <c r="AH40" s="19">
        <v>0</v>
      </c>
      <c r="AI40" s="19">
        <v>0</v>
      </c>
      <c r="AJ40" s="18" t="s">
        <v>54</v>
      </c>
      <c r="AK40" s="40">
        <v>0</v>
      </c>
      <c r="AL40" s="19">
        <v>0</v>
      </c>
      <c r="AM40" s="19">
        <v>0</v>
      </c>
      <c r="AN40" s="40">
        <v>0</v>
      </c>
      <c r="AO40" s="19">
        <v>0</v>
      </c>
      <c r="AP40" s="19">
        <v>0</v>
      </c>
      <c r="AQ40" s="18" t="s">
        <v>54</v>
      </c>
      <c r="AR40" s="40">
        <v>0</v>
      </c>
      <c r="AS40" s="19">
        <v>0</v>
      </c>
      <c r="AT40" s="19">
        <v>0</v>
      </c>
      <c r="AU40" s="40">
        <v>0</v>
      </c>
      <c r="AV40" s="19">
        <v>0</v>
      </c>
      <c r="AW40" s="19">
        <v>0</v>
      </c>
      <c r="AX40" s="18" t="s">
        <v>54</v>
      </c>
      <c r="AY40" s="40">
        <v>-0.16</v>
      </c>
      <c r="AZ40" s="19">
        <v>45</v>
      </c>
      <c r="BA40" s="19">
        <v>6</v>
      </c>
      <c r="BB40" s="40">
        <v>0.13</v>
      </c>
      <c r="BC40" s="40">
        <v>0.16</v>
      </c>
      <c r="BD40" s="19">
        <v>19</v>
      </c>
    </row>
    <row r="41" spans="1:56" ht="14.25" customHeight="1" x14ac:dyDescent="0.3">
      <c r="A41" s="18" t="s">
        <v>87</v>
      </c>
      <c r="B41" s="25" t="s">
        <v>80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8" t="s">
        <v>87</v>
      </c>
      <c r="I41" s="40">
        <v>0</v>
      </c>
      <c r="J41" s="19">
        <v>0</v>
      </c>
      <c r="K41" s="19">
        <v>0</v>
      </c>
      <c r="L41" s="40">
        <v>0</v>
      </c>
      <c r="M41" s="19">
        <v>0</v>
      </c>
      <c r="N41" s="19">
        <v>0</v>
      </c>
      <c r="O41" s="18" t="s">
        <v>87</v>
      </c>
      <c r="P41" s="40">
        <v>-0.28999999999999998</v>
      </c>
      <c r="Q41" s="19">
        <v>7</v>
      </c>
      <c r="R41" s="19">
        <v>1</v>
      </c>
      <c r="S41" s="40">
        <v>0.14000000000000001</v>
      </c>
      <c r="T41" s="19">
        <v>2</v>
      </c>
      <c r="U41" s="19">
        <v>1</v>
      </c>
      <c r="V41" s="18" t="s">
        <v>87</v>
      </c>
      <c r="W41" s="40">
        <v>0</v>
      </c>
      <c r="X41" s="19">
        <v>0</v>
      </c>
      <c r="Y41" s="19">
        <v>0</v>
      </c>
      <c r="Z41" s="40">
        <v>0</v>
      </c>
      <c r="AA41" s="19">
        <v>0</v>
      </c>
      <c r="AB41" s="19">
        <v>0</v>
      </c>
      <c r="AC41" s="18" t="s">
        <v>87</v>
      </c>
      <c r="AD41" s="40">
        <v>0</v>
      </c>
      <c r="AE41" s="19">
        <v>0</v>
      </c>
      <c r="AF41" s="19">
        <v>0</v>
      </c>
      <c r="AG41" s="40">
        <v>0</v>
      </c>
      <c r="AH41" s="19">
        <v>0</v>
      </c>
      <c r="AI41" s="19">
        <v>0</v>
      </c>
      <c r="AJ41" s="18" t="s">
        <v>87</v>
      </c>
      <c r="AK41" s="40">
        <v>0</v>
      </c>
      <c r="AL41" s="19">
        <v>0</v>
      </c>
      <c r="AM41" s="19">
        <v>0</v>
      </c>
      <c r="AN41" s="40">
        <v>0</v>
      </c>
      <c r="AO41" s="19">
        <v>0</v>
      </c>
      <c r="AP41" s="19">
        <v>0</v>
      </c>
      <c r="AQ41" s="18" t="s">
        <v>87</v>
      </c>
      <c r="AR41" s="40">
        <v>0</v>
      </c>
      <c r="AS41" s="19">
        <v>0</v>
      </c>
      <c r="AT41" s="19">
        <v>0</v>
      </c>
      <c r="AU41" s="40">
        <v>0</v>
      </c>
      <c r="AV41" s="19">
        <v>0</v>
      </c>
      <c r="AW41" s="19">
        <v>0</v>
      </c>
      <c r="AX41" s="18" t="s">
        <v>87</v>
      </c>
      <c r="AY41" s="40">
        <v>1</v>
      </c>
      <c r="AZ41" s="19">
        <v>1</v>
      </c>
      <c r="BA41" s="19">
        <v>0</v>
      </c>
      <c r="BB41" s="40">
        <v>0</v>
      </c>
      <c r="BC41" s="40">
        <v>1</v>
      </c>
      <c r="BD41" s="19">
        <v>0</v>
      </c>
    </row>
    <row r="42" spans="1:56" ht="14.25" customHeight="1" x14ac:dyDescent="0.3">
      <c r="A42" s="18" t="s">
        <v>94</v>
      </c>
      <c r="B42" s="39">
        <v>0.04</v>
      </c>
      <c r="C42" s="19">
        <v>50</v>
      </c>
      <c r="D42" s="19">
        <v>2</v>
      </c>
      <c r="E42" s="19">
        <v>6</v>
      </c>
      <c r="F42" s="19">
        <v>1</v>
      </c>
      <c r="G42" s="19">
        <v>2</v>
      </c>
      <c r="H42" s="18" t="s">
        <v>94</v>
      </c>
      <c r="I42" s="40">
        <v>0</v>
      </c>
      <c r="J42" s="19">
        <v>0</v>
      </c>
      <c r="K42" s="19">
        <v>0</v>
      </c>
      <c r="L42" s="40">
        <v>0</v>
      </c>
      <c r="M42" s="19">
        <v>0</v>
      </c>
      <c r="N42" s="19">
        <v>0</v>
      </c>
      <c r="O42" s="18" t="s">
        <v>94</v>
      </c>
      <c r="P42" s="40">
        <v>0</v>
      </c>
      <c r="Q42" s="19">
        <v>0</v>
      </c>
      <c r="R42" s="19">
        <v>0</v>
      </c>
      <c r="S42" s="40">
        <v>0</v>
      </c>
      <c r="T42" s="19">
        <v>0</v>
      </c>
      <c r="U42" s="19">
        <v>0</v>
      </c>
      <c r="V42" s="18" t="s">
        <v>94</v>
      </c>
      <c r="W42" s="40">
        <v>0</v>
      </c>
      <c r="X42" s="19">
        <v>0</v>
      </c>
      <c r="Y42" s="19">
        <v>0</v>
      </c>
      <c r="Z42" s="40">
        <v>0</v>
      </c>
      <c r="AA42" s="19">
        <v>0</v>
      </c>
      <c r="AB42" s="19">
        <v>0</v>
      </c>
      <c r="AC42" s="18" t="s">
        <v>94</v>
      </c>
      <c r="AD42" s="40">
        <v>0</v>
      </c>
      <c r="AE42" s="19">
        <v>0</v>
      </c>
      <c r="AF42" s="19">
        <v>0</v>
      </c>
      <c r="AG42" s="40">
        <v>0</v>
      </c>
      <c r="AH42" s="19">
        <v>0</v>
      </c>
      <c r="AI42" s="19">
        <v>0</v>
      </c>
      <c r="AJ42" s="18" t="s">
        <v>94</v>
      </c>
      <c r="AK42" s="40">
        <v>0</v>
      </c>
      <c r="AL42" s="19">
        <v>0</v>
      </c>
      <c r="AM42" s="19">
        <v>0</v>
      </c>
      <c r="AN42" s="40">
        <v>0</v>
      </c>
      <c r="AO42" s="19">
        <v>0</v>
      </c>
      <c r="AP42" s="19">
        <v>0</v>
      </c>
      <c r="AQ42" s="18" t="s">
        <v>94</v>
      </c>
      <c r="AR42" s="40">
        <v>0</v>
      </c>
      <c r="AS42" s="19">
        <v>0</v>
      </c>
      <c r="AT42" s="19">
        <v>0</v>
      </c>
      <c r="AU42" s="40">
        <v>0</v>
      </c>
      <c r="AV42" s="19">
        <v>0</v>
      </c>
      <c r="AW42" s="19">
        <v>0</v>
      </c>
      <c r="AX42" s="18" t="s">
        <v>94</v>
      </c>
      <c r="AY42" s="40">
        <v>0.19</v>
      </c>
      <c r="AZ42" s="19">
        <v>26</v>
      </c>
      <c r="BA42" s="19">
        <v>2</v>
      </c>
      <c r="BB42" s="40">
        <v>0.08</v>
      </c>
      <c r="BC42" s="40">
        <v>0.35</v>
      </c>
      <c r="BD42" s="19">
        <v>4</v>
      </c>
    </row>
    <row r="43" spans="1:56" ht="14.25" customHeight="1" x14ac:dyDescent="0.3">
      <c r="A43" s="18" t="s">
        <v>86</v>
      </c>
      <c r="B43" s="39">
        <v>-7.9500000000000001E-2</v>
      </c>
      <c r="C43" s="19">
        <v>44</v>
      </c>
      <c r="D43" s="19">
        <v>0</v>
      </c>
      <c r="E43" s="19">
        <v>0</v>
      </c>
      <c r="F43" s="19">
        <v>1</v>
      </c>
      <c r="G43" s="19">
        <v>4</v>
      </c>
      <c r="H43" s="18" t="s">
        <v>86</v>
      </c>
      <c r="I43" s="40">
        <v>0</v>
      </c>
      <c r="J43" s="19">
        <v>0</v>
      </c>
      <c r="K43" s="19">
        <v>0</v>
      </c>
      <c r="L43" s="40">
        <v>0</v>
      </c>
      <c r="M43" s="19">
        <v>0</v>
      </c>
      <c r="N43" s="19">
        <v>0</v>
      </c>
      <c r="O43" s="18" t="s">
        <v>86</v>
      </c>
      <c r="P43" s="40">
        <v>0.31</v>
      </c>
      <c r="Q43" s="19">
        <v>98</v>
      </c>
      <c r="R43" s="19">
        <v>43</v>
      </c>
      <c r="S43" s="40">
        <v>0.44</v>
      </c>
      <c r="T43" s="19">
        <v>4</v>
      </c>
      <c r="U43" s="19">
        <v>9</v>
      </c>
      <c r="V43" s="18" t="s">
        <v>86</v>
      </c>
      <c r="W43" s="40">
        <v>0</v>
      </c>
      <c r="X43" s="19">
        <v>0</v>
      </c>
      <c r="Y43" s="19">
        <v>0</v>
      </c>
      <c r="Z43" s="40">
        <v>0</v>
      </c>
      <c r="AA43" s="19">
        <v>0</v>
      </c>
      <c r="AB43" s="19">
        <v>0</v>
      </c>
      <c r="AC43" s="18" t="s">
        <v>86</v>
      </c>
      <c r="AD43" s="40">
        <v>0</v>
      </c>
      <c r="AE43" s="19">
        <v>0</v>
      </c>
      <c r="AF43" s="19">
        <v>0</v>
      </c>
      <c r="AG43" s="40">
        <v>0</v>
      </c>
      <c r="AH43" s="19">
        <v>0</v>
      </c>
      <c r="AI43" s="19">
        <v>0</v>
      </c>
      <c r="AJ43" s="18" t="s">
        <v>86</v>
      </c>
      <c r="AK43" s="40">
        <v>0</v>
      </c>
      <c r="AL43" s="19">
        <v>0</v>
      </c>
      <c r="AM43" s="19">
        <v>0</v>
      </c>
      <c r="AN43" s="40">
        <v>0</v>
      </c>
      <c r="AO43" s="19">
        <v>0</v>
      </c>
      <c r="AP43" s="19">
        <v>0</v>
      </c>
      <c r="AQ43" s="18" t="s">
        <v>86</v>
      </c>
      <c r="AR43" s="40">
        <v>0.16</v>
      </c>
      <c r="AS43" s="19">
        <v>19</v>
      </c>
      <c r="AT43" s="19">
        <v>8</v>
      </c>
      <c r="AU43" s="40">
        <v>0.42</v>
      </c>
      <c r="AV43" s="19">
        <v>0</v>
      </c>
      <c r="AW43" s="19">
        <v>5</v>
      </c>
      <c r="AX43" s="18" t="s">
        <v>86</v>
      </c>
      <c r="AY43" s="40">
        <v>-0.08</v>
      </c>
      <c r="AZ43" s="19">
        <v>39</v>
      </c>
      <c r="BA43" s="19">
        <v>5</v>
      </c>
      <c r="BB43" s="40">
        <v>0.13</v>
      </c>
      <c r="BC43" s="40">
        <v>0.26</v>
      </c>
      <c r="BD43" s="19">
        <v>17</v>
      </c>
    </row>
    <row r="44" spans="1:56" ht="14.25" customHeight="1" x14ac:dyDescent="0.3">
      <c r="A44" s="18" t="s">
        <v>85</v>
      </c>
      <c r="B44" s="39">
        <v>8.6E-3</v>
      </c>
      <c r="C44" s="19">
        <v>29</v>
      </c>
      <c r="D44" s="19">
        <v>0</v>
      </c>
      <c r="E44" s="19">
        <v>3</v>
      </c>
      <c r="F44" s="19">
        <v>1</v>
      </c>
      <c r="G44" s="19">
        <v>1</v>
      </c>
      <c r="H44" s="18" t="s">
        <v>85</v>
      </c>
      <c r="I44" s="40">
        <v>0</v>
      </c>
      <c r="J44" s="19">
        <v>0</v>
      </c>
      <c r="K44" s="19">
        <v>0</v>
      </c>
      <c r="L44" s="40">
        <v>0</v>
      </c>
      <c r="M44" s="19">
        <v>0</v>
      </c>
      <c r="N44" s="19">
        <v>0</v>
      </c>
      <c r="O44" s="18" t="s">
        <v>85</v>
      </c>
      <c r="P44" s="40">
        <v>0.34</v>
      </c>
      <c r="Q44" s="19">
        <v>99</v>
      </c>
      <c r="R44" s="19">
        <v>44</v>
      </c>
      <c r="S44" s="40">
        <v>0.44</v>
      </c>
      <c r="T44" s="19">
        <v>4</v>
      </c>
      <c r="U44" s="19">
        <v>6</v>
      </c>
      <c r="V44" s="18" t="s">
        <v>85</v>
      </c>
      <c r="W44" s="40">
        <v>0.33</v>
      </c>
      <c r="X44" s="19">
        <v>3</v>
      </c>
      <c r="Y44" s="19">
        <v>1</v>
      </c>
      <c r="Z44" s="40">
        <v>0.33</v>
      </c>
      <c r="AA44" s="19">
        <v>0</v>
      </c>
      <c r="AB44" s="19">
        <v>0</v>
      </c>
      <c r="AC44" s="18" t="s">
        <v>85</v>
      </c>
      <c r="AD44" s="40">
        <v>0</v>
      </c>
      <c r="AE44" s="19">
        <v>0</v>
      </c>
      <c r="AF44" s="19">
        <v>0</v>
      </c>
      <c r="AG44" s="40">
        <v>0</v>
      </c>
      <c r="AH44" s="19">
        <v>0</v>
      </c>
      <c r="AI44" s="19">
        <v>0</v>
      </c>
      <c r="AJ44" s="18" t="s">
        <v>85</v>
      </c>
      <c r="AK44" s="40">
        <v>0</v>
      </c>
      <c r="AL44" s="19">
        <v>0</v>
      </c>
      <c r="AM44" s="19">
        <v>0</v>
      </c>
      <c r="AN44" s="40">
        <v>0</v>
      </c>
      <c r="AO44" s="19">
        <v>0</v>
      </c>
      <c r="AP44" s="19">
        <v>0</v>
      </c>
      <c r="AQ44" s="18" t="s">
        <v>85</v>
      </c>
      <c r="AR44" s="40">
        <v>-1</v>
      </c>
      <c r="AS44" s="19">
        <v>1</v>
      </c>
      <c r="AT44" s="19">
        <v>0</v>
      </c>
      <c r="AU44" s="40">
        <v>0</v>
      </c>
      <c r="AV44" s="19">
        <v>0</v>
      </c>
      <c r="AW44" s="19">
        <v>1</v>
      </c>
      <c r="AX44" s="18" t="s">
        <v>85</v>
      </c>
      <c r="AY44" s="40">
        <v>0</v>
      </c>
      <c r="AZ44" s="19">
        <v>45</v>
      </c>
      <c r="BA44" s="19">
        <v>6</v>
      </c>
      <c r="BB44" s="40">
        <v>0.13</v>
      </c>
      <c r="BC44" s="40">
        <v>0.27</v>
      </c>
      <c r="BD44" s="19">
        <v>18</v>
      </c>
    </row>
    <row r="45" spans="1:56" ht="14.25" customHeight="1" x14ac:dyDescent="0.3">
      <c r="A45" s="18" t="s">
        <v>67</v>
      </c>
      <c r="B45" s="39">
        <v>9.5999999999999992E-3</v>
      </c>
      <c r="C45" s="19">
        <v>26</v>
      </c>
      <c r="D45" s="19">
        <v>1</v>
      </c>
      <c r="E45" s="19">
        <v>1</v>
      </c>
      <c r="F45" s="19">
        <v>0</v>
      </c>
      <c r="G45" s="19">
        <v>1</v>
      </c>
      <c r="H45" s="18" t="s">
        <v>67</v>
      </c>
      <c r="I45" s="40">
        <v>0</v>
      </c>
      <c r="J45" s="19">
        <v>0</v>
      </c>
      <c r="K45" s="19">
        <v>0</v>
      </c>
      <c r="L45" s="40">
        <v>0</v>
      </c>
      <c r="M45" s="19">
        <v>0</v>
      </c>
      <c r="N45" s="19">
        <v>0</v>
      </c>
      <c r="O45" s="18" t="s">
        <v>67</v>
      </c>
      <c r="P45" s="40">
        <v>0</v>
      </c>
      <c r="Q45" s="19">
        <v>0</v>
      </c>
      <c r="R45" s="19">
        <v>0</v>
      </c>
      <c r="S45" s="40">
        <v>0</v>
      </c>
      <c r="T45" s="19">
        <v>0</v>
      </c>
      <c r="U45" s="19">
        <v>0</v>
      </c>
      <c r="V45" s="18" t="s">
        <v>67</v>
      </c>
      <c r="W45" s="40">
        <v>0</v>
      </c>
      <c r="X45" s="19">
        <v>0</v>
      </c>
      <c r="Y45" s="19">
        <v>0</v>
      </c>
      <c r="Z45" s="40">
        <v>0</v>
      </c>
      <c r="AA45" s="19">
        <v>0</v>
      </c>
      <c r="AB45" s="19">
        <v>0</v>
      </c>
      <c r="AC45" s="18" t="s">
        <v>67</v>
      </c>
      <c r="AD45" s="40">
        <v>0.44</v>
      </c>
      <c r="AE45" s="19">
        <v>9</v>
      </c>
      <c r="AF45" s="19">
        <v>5</v>
      </c>
      <c r="AG45" s="40">
        <v>0.56000000000000005</v>
      </c>
      <c r="AH45" s="19">
        <v>0</v>
      </c>
      <c r="AI45" s="19">
        <v>1</v>
      </c>
      <c r="AJ45" s="18" t="s">
        <v>67</v>
      </c>
      <c r="AK45" s="40">
        <v>0</v>
      </c>
      <c r="AL45" s="19">
        <v>0</v>
      </c>
      <c r="AM45" s="19">
        <v>0</v>
      </c>
      <c r="AN45" s="40">
        <v>0</v>
      </c>
      <c r="AO45" s="19">
        <v>0</v>
      </c>
      <c r="AP45" s="19">
        <v>0</v>
      </c>
      <c r="AQ45" s="18" t="s">
        <v>67</v>
      </c>
      <c r="AR45" s="40">
        <v>0</v>
      </c>
      <c r="AS45" s="19">
        <v>0</v>
      </c>
      <c r="AT45" s="19">
        <v>0</v>
      </c>
      <c r="AU45" s="40">
        <v>0</v>
      </c>
      <c r="AV45" s="19">
        <v>0</v>
      </c>
      <c r="AW45" s="19">
        <v>0</v>
      </c>
      <c r="AX45" s="18" t="s">
        <v>67</v>
      </c>
      <c r="AY45" s="40">
        <v>0.2</v>
      </c>
      <c r="AZ45" s="19">
        <v>10</v>
      </c>
      <c r="BA45" s="19">
        <v>1</v>
      </c>
      <c r="BB45" s="40">
        <v>0.1</v>
      </c>
      <c r="BC45" s="40">
        <v>0.4</v>
      </c>
      <c r="BD45" s="19">
        <v>3</v>
      </c>
    </row>
    <row r="46" spans="1:56" ht="14.25" customHeight="1" x14ac:dyDescent="0.3">
      <c r="A46" s="18" t="s">
        <v>88</v>
      </c>
      <c r="B46" s="39">
        <v>-0.25</v>
      </c>
      <c r="C46" s="19">
        <v>4</v>
      </c>
      <c r="D46" s="19">
        <v>0</v>
      </c>
      <c r="E46" s="19">
        <v>0</v>
      </c>
      <c r="F46" s="19">
        <v>0</v>
      </c>
      <c r="G46" s="19">
        <v>1</v>
      </c>
      <c r="H46" s="18" t="s">
        <v>88</v>
      </c>
      <c r="I46" s="40">
        <v>0</v>
      </c>
      <c r="J46" s="19">
        <v>0</v>
      </c>
      <c r="K46" s="19">
        <v>0</v>
      </c>
      <c r="L46" s="40">
        <v>0</v>
      </c>
      <c r="M46" s="19">
        <v>0</v>
      </c>
      <c r="N46" s="19">
        <v>0</v>
      </c>
      <c r="O46" s="18" t="s">
        <v>88</v>
      </c>
      <c r="P46" s="40">
        <v>0</v>
      </c>
      <c r="Q46" s="19">
        <v>0</v>
      </c>
      <c r="R46" s="19">
        <v>0</v>
      </c>
      <c r="S46" s="40">
        <v>0</v>
      </c>
      <c r="T46" s="19">
        <v>0</v>
      </c>
      <c r="U46" s="19">
        <v>0</v>
      </c>
      <c r="V46" s="18" t="s">
        <v>88</v>
      </c>
      <c r="W46" s="40">
        <v>0</v>
      </c>
      <c r="X46" s="19">
        <v>0</v>
      </c>
      <c r="Y46" s="19">
        <v>0</v>
      </c>
      <c r="Z46" s="40">
        <v>0</v>
      </c>
      <c r="AA46" s="19">
        <v>0</v>
      </c>
      <c r="AB46" s="19">
        <v>0</v>
      </c>
      <c r="AC46" s="18" t="s">
        <v>88</v>
      </c>
      <c r="AD46" s="40">
        <v>0</v>
      </c>
      <c r="AE46" s="19">
        <v>0</v>
      </c>
      <c r="AF46" s="19">
        <v>0</v>
      </c>
      <c r="AG46" s="40">
        <v>0</v>
      </c>
      <c r="AH46" s="19">
        <v>0</v>
      </c>
      <c r="AI46" s="19">
        <v>0</v>
      </c>
      <c r="AJ46" s="18" t="s">
        <v>88</v>
      </c>
      <c r="AK46" s="40">
        <v>0</v>
      </c>
      <c r="AL46" s="19">
        <v>0</v>
      </c>
      <c r="AM46" s="19">
        <v>0</v>
      </c>
      <c r="AN46" s="40">
        <v>0</v>
      </c>
      <c r="AO46" s="19">
        <v>0</v>
      </c>
      <c r="AP46" s="19">
        <v>0</v>
      </c>
      <c r="AQ46" s="18" t="s">
        <v>88</v>
      </c>
      <c r="AR46" s="40">
        <v>0</v>
      </c>
      <c r="AS46" s="19">
        <v>0</v>
      </c>
      <c r="AT46" s="19">
        <v>0</v>
      </c>
      <c r="AU46" s="40">
        <v>0</v>
      </c>
      <c r="AV46" s="19">
        <v>0</v>
      </c>
      <c r="AW46" s="19">
        <v>0</v>
      </c>
      <c r="AX46" s="18" t="s">
        <v>88</v>
      </c>
      <c r="AY46" s="40">
        <v>0</v>
      </c>
      <c r="AZ46" s="19">
        <v>0</v>
      </c>
      <c r="BA46" s="19">
        <v>0</v>
      </c>
      <c r="BB46" s="40">
        <v>0</v>
      </c>
      <c r="BC46" s="40">
        <v>0</v>
      </c>
      <c r="BD46" s="19">
        <v>0</v>
      </c>
    </row>
    <row r="47" spans="1:56" ht="14.25" customHeight="1" x14ac:dyDescent="0.3">
      <c r="A47" s="18" t="s">
        <v>69</v>
      </c>
      <c r="B47" s="39">
        <v>-2.3099999999999999E-2</v>
      </c>
      <c r="C47" s="19">
        <v>54</v>
      </c>
      <c r="D47" s="19">
        <v>0</v>
      </c>
      <c r="E47" s="19">
        <v>5</v>
      </c>
      <c r="F47" s="19">
        <v>3</v>
      </c>
      <c r="G47" s="19">
        <v>4</v>
      </c>
      <c r="H47" s="18" t="s">
        <v>69</v>
      </c>
      <c r="I47" s="40">
        <v>0</v>
      </c>
      <c r="J47" s="19">
        <v>0</v>
      </c>
      <c r="K47" s="19">
        <v>0</v>
      </c>
      <c r="L47" s="40">
        <v>0</v>
      </c>
      <c r="M47" s="19">
        <v>0</v>
      </c>
      <c r="N47" s="19">
        <v>0</v>
      </c>
      <c r="O47" s="18" t="s">
        <v>69</v>
      </c>
      <c r="P47" s="40">
        <v>0</v>
      </c>
      <c r="Q47" s="19">
        <v>0</v>
      </c>
      <c r="R47" s="19">
        <v>0</v>
      </c>
      <c r="S47" s="40">
        <v>0</v>
      </c>
      <c r="T47" s="19">
        <v>0</v>
      </c>
      <c r="U47" s="19">
        <v>0</v>
      </c>
      <c r="V47" s="18" t="s">
        <v>69</v>
      </c>
      <c r="W47" s="40">
        <v>0</v>
      </c>
      <c r="X47" s="19">
        <v>0</v>
      </c>
      <c r="Y47" s="19">
        <v>0</v>
      </c>
      <c r="Z47" s="40">
        <v>0</v>
      </c>
      <c r="AA47" s="19">
        <v>0</v>
      </c>
      <c r="AB47" s="19">
        <v>0</v>
      </c>
      <c r="AC47" s="18" t="s">
        <v>69</v>
      </c>
      <c r="AD47" s="40">
        <v>0.5</v>
      </c>
      <c r="AE47" s="19">
        <v>12</v>
      </c>
      <c r="AF47" s="19">
        <v>6</v>
      </c>
      <c r="AG47" s="40">
        <v>0.5</v>
      </c>
      <c r="AH47" s="19">
        <v>0</v>
      </c>
      <c r="AI47" s="19">
        <v>0</v>
      </c>
      <c r="AJ47" s="18" t="s">
        <v>69</v>
      </c>
      <c r="AK47" s="40">
        <v>0.5</v>
      </c>
      <c r="AL47" s="19">
        <v>8</v>
      </c>
      <c r="AM47" s="19">
        <v>4</v>
      </c>
      <c r="AN47" s="40">
        <v>0.5</v>
      </c>
      <c r="AO47" s="19">
        <v>0</v>
      </c>
      <c r="AP47" s="19">
        <v>0</v>
      </c>
      <c r="AQ47" s="18" t="s">
        <v>69</v>
      </c>
      <c r="AR47" s="40">
        <v>0</v>
      </c>
      <c r="AS47" s="19">
        <v>0</v>
      </c>
      <c r="AT47" s="19">
        <v>0</v>
      </c>
      <c r="AU47" s="40">
        <v>0</v>
      </c>
      <c r="AV47" s="19">
        <v>0</v>
      </c>
      <c r="AW47" s="19">
        <v>0</v>
      </c>
      <c r="AX47" s="18" t="s">
        <v>69</v>
      </c>
      <c r="AY47" s="40">
        <v>0</v>
      </c>
      <c r="AZ47" s="19">
        <v>47</v>
      </c>
      <c r="BA47" s="19">
        <v>12</v>
      </c>
      <c r="BB47" s="40">
        <v>0.26</v>
      </c>
      <c r="BC47" s="40">
        <v>0.17</v>
      </c>
      <c r="BD47" s="19">
        <v>20</v>
      </c>
    </row>
    <row r="48" spans="1:56" ht="14.25" customHeight="1" x14ac:dyDescent="0.3">
      <c r="A48" s="27" t="s">
        <v>66</v>
      </c>
      <c r="B48" s="25" t="s">
        <v>80</v>
      </c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27" t="s">
        <v>66</v>
      </c>
      <c r="I48" s="40">
        <v>0.28999999999999998</v>
      </c>
      <c r="J48" s="19">
        <v>24</v>
      </c>
      <c r="K48" s="19">
        <v>13</v>
      </c>
      <c r="L48" s="40">
        <v>0.54</v>
      </c>
      <c r="M48" s="19">
        <v>0</v>
      </c>
      <c r="N48" s="19">
        <v>6</v>
      </c>
      <c r="O48" s="27" t="s">
        <v>66</v>
      </c>
      <c r="P48" s="40">
        <v>0</v>
      </c>
      <c r="Q48" s="19">
        <v>0</v>
      </c>
      <c r="R48" s="19">
        <v>0</v>
      </c>
      <c r="S48" s="40">
        <v>0</v>
      </c>
      <c r="T48" s="19">
        <v>0</v>
      </c>
      <c r="U48" s="19">
        <v>0</v>
      </c>
      <c r="V48" s="27" t="s">
        <v>66</v>
      </c>
      <c r="W48" s="40">
        <v>0.3</v>
      </c>
      <c r="X48" s="19">
        <v>27</v>
      </c>
      <c r="Y48" s="19">
        <v>13</v>
      </c>
      <c r="Z48" s="40">
        <v>0.48</v>
      </c>
      <c r="AA48" s="19">
        <v>5</v>
      </c>
      <c r="AB48" s="19">
        <v>0</v>
      </c>
      <c r="AC48" s="27" t="s">
        <v>66</v>
      </c>
      <c r="AD48" s="41">
        <v>0</v>
      </c>
      <c r="AE48" s="29">
        <v>0</v>
      </c>
      <c r="AF48" s="29">
        <v>0</v>
      </c>
      <c r="AG48" s="41">
        <v>0</v>
      </c>
      <c r="AH48" s="29">
        <v>0</v>
      </c>
      <c r="AI48" s="29">
        <v>0</v>
      </c>
      <c r="AJ48" s="27" t="s">
        <v>66</v>
      </c>
      <c r="AK48" s="41">
        <v>0</v>
      </c>
      <c r="AL48" s="29">
        <v>0</v>
      </c>
      <c r="AM48" s="29">
        <v>0</v>
      </c>
      <c r="AN48" s="41">
        <v>0</v>
      </c>
      <c r="AO48" s="29">
        <v>0</v>
      </c>
      <c r="AP48" s="29">
        <v>0</v>
      </c>
      <c r="AQ48" s="27" t="s">
        <v>66</v>
      </c>
      <c r="AR48" s="40">
        <v>0</v>
      </c>
      <c r="AS48" s="19">
        <v>0</v>
      </c>
      <c r="AT48" s="19">
        <v>0</v>
      </c>
      <c r="AU48" s="40">
        <v>0</v>
      </c>
      <c r="AV48" s="19">
        <v>0</v>
      </c>
      <c r="AW48" s="19">
        <v>0</v>
      </c>
      <c r="AX48" s="27" t="s">
        <v>66</v>
      </c>
      <c r="AY48" s="41">
        <v>0</v>
      </c>
      <c r="AZ48" s="29">
        <v>13</v>
      </c>
      <c r="BA48" s="29">
        <v>1</v>
      </c>
      <c r="BB48" s="41">
        <v>0.08</v>
      </c>
      <c r="BC48" s="41">
        <v>0.31</v>
      </c>
      <c r="BD48" s="29">
        <v>5</v>
      </c>
    </row>
    <row r="49" spans="1:56" ht="14.25" customHeight="1" x14ac:dyDescent="0.3">
      <c r="A49" s="27" t="s">
        <v>110</v>
      </c>
      <c r="B49" s="39">
        <v>7.1400000000000005E-2</v>
      </c>
      <c r="C49" s="29">
        <v>7</v>
      </c>
      <c r="D49" s="29">
        <v>0</v>
      </c>
      <c r="E49" s="29">
        <v>2</v>
      </c>
      <c r="F49" s="29">
        <v>0</v>
      </c>
      <c r="G49" s="29">
        <v>0</v>
      </c>
      <c r="H49" s="27" t="s">
        <v>110</v>
      </c>
      <c r="I49" s="40">
        <v>0</v>
      </c>
      <c r="J49" s="19">
        <v>0</v>
      </c>
      <c r="K49" s="19">
        <v>0</v>
      </c>
      <c r="L49" s="40">
        <v>0</v>
      </c>
      <c r="M49" s="19">
        <v>0</v>
      </c>
      <c r="N49" s="19">
        <v>0</v>
      </c>
      <c r="O49" s="27" t="s">
        <v>110</v>
      </c>
      <c r="P49" s="40">
        <v>0</v>
      </c>
      <c r="Q49" s="19">
        <v>0</v>
      </c>
      <c r="R49" s="19">
        <v>0</v>
      </c>
      <c r="S49" s="40">
        <v>0</v>
      </c>
      <c r="T49" s="19">
        <v>0</v>
      </c>
      <c r="U49" s="19">
        <v>0</v>
      </c>
      <c r="V49" s="27" t="s">
        <v>110</v>
      </c>
      <c r="W49" s="40">
        <v>0</v>
      </c>
      <c r="X49" s="19">
        <v>0</v>
      </c>
      <c r="Y49" s="19">
        <v>0</v>
      </c>
      <c r="Z49" s="40">
        <v>0</v>
      </c>
      <c r="AA49" s="19">
        <v>0</v>
      </c>
      <c r="AB49" s="19">
        <v>0</v>
      </c>
      <c r="AC49" s="27" t="s">
        <v>110</v>
      </c>
      <c r="AD49" s="41">
        <v>0</v>
      </c>
      <c r="AE49" s="29">
        <v>0</v>
      </c>
      <c r="AF49" s="29">
        <v>0</v>
      </c>
      <c r="AG49" s="41">
        <v>0</v>
      </c>
      <c r="AH49" s="29">
        <v>0</v>
      </c>
      <c r="AI49" s="29">
        <v>0</v>
      </c>
      <c r="AJ49" s="27" t="s">
        <v>110</v>
      </c>
      <c r="AK49" s="41">
        <v>0</v>
      </c>
      <c r="AL49" s="29">
        <v>0</v>
      </c>
      <c r="AM49" s="29">
        <v>0</v>
      </c>
      <c r="AN49" s="41">
        <v>0</v>
      </c>
      <c r="AO49" s="29">
        <v>0</v>
      </c>
      <c r="AP49" s="29">
        <v>0</v>
      </c>
      <c r="AQ49" s="27" t="s">
        <v>110</v>
      </c>
      <c r="AR49" s="40">
        <v>0</v>
      </c>
      <c r="AS49" s="19">
        <v>0</v>
      </c>
      <c r="AT49" s="19">
        <v>0</v>
      </c>
      <c r="AU49" s="40">
        <v>0</v>
      </c>
      <c r="AV49" s="19">
        <v>0</v>
      </c>
      <c r="AW49" s="19">
        <v>0</v>
      </c>
      <c r="AX49" s="27" t="s">
        <v>110</v>
      </c>
      <c r="AY49" s="41">
        <v>0</v>
      </c>
      <c r="AZ49" s="29">
        <v>0</v>
      </c>
      <c r="BA49" s="29">
        <v>0</v>
      </c>
      <c r="BB49" s="41">
        <v>0</v>
      </c>
      <c r="BC49" s="41">
        <v>0</v>
      </c>
      <c r="BD49" s="29">
        <v>0</v>
      </c>
    </row>
    <row r="50" spans="1:56" ht="14.25" customHeight="1" x14ac:dyDescent="0.3">
      <c r="A50" s="10"/>
      <c r="B50" s="10"/>
      <c r="C50" s="10"/>
      <c r="D50" s="10"/>
      <c r="E50" s="10"/>
      <c r="F50" s="10"/>
      <c r="G50" s="1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</row>
    <row r="51" spans="1:56" ht="14.25" customHeight="1" x14ac:dyDescent="0.3">
      <c r="A51" s="18" t="s">
        <v>111</v>
      </c>
      <c r="B51" s="12" t="s">
        <v>101</v>
      </c>
      <c r="C51" s="12" t="s">
        <v>102</v>
      </c>
      <c r="D51" s="12" t="s">
        <v>26</v>
      </c>
      <c r="E51" s="12" t="s">
        <v>103</v>
      </c>
      <c r="F51" s="12" t="s">
        <v>104</v>
      </c>
      <c r="G51" s="12" t="s">
        <v>105</v>
      </c>
      <c r="H51" s="18" t="s">
        <v>83</v>
      </c>
      <c r="I51" s="12" t="s">
        <v>101</v>
      </c>
      <c r="J51" s="12" t="s">
        <v>102</v>
      </c>
      <c r="K51" s="12" t="s">
        <v>26</v>
      </c>
      <c r="L51" s="12" t="s">
        <v>106</v>
      </c>
      <c r="M51" s="12" t="s">
        <v>104</v>
      </c>
      <c r="N51" s="12" t="s">
        <v>105</v>
      </c>
      <c r="O51" s="18" t="s">
        <v>73</v>
      </c>
      <c r="P51" s="12" t="s">
        <v>101</v>
      </c>
      <c r="Q51" s="12" t="s">
        <v>102</v>
      </c>
      <c r="R51" s="12" t="s">
        <v>26</v>
      </c>
      <c r="S51" s="12" t="s">
        <v>106</v>
      </c>
      <c r="T51" s="12" t="s">
        <v>104</v>
      </c>
      <c r="U51" s="12" t="s">
        <v>105</v>
      </c>
      <c r="V51" s="18" t="s">
        <v>79</v>
      </c>
      <c r="W51" s="12" t="s">
        <v>101</v>
      </c>
      <c r="X51" s="12" t="s">
        <v>102</v>
      </c>
      <c r="Y51" s="12" t="s">
        <v>26</v>
      </c>
      <c r="Z51" s="12" t="s">
        <v>106</v>
      </c>
      <c r="AA51" s="12" t="s">
        <v>104</v>
      </c>
      <c r="AB51" s="12" t="s">
        <v>105</v>
      </c>
      <c r="AC51" s="18" t="s">
        <v>77</v>
      </c>
      <c r="AD51" s="12" t="s">
        <v>101</v>
      </c>
      <c r="AE51" s="12" t="s">
        <v>102</v>
      </c>
      <c r="AF51" s="12" t="s">
        <v>26</v>
      </c>
      <c r="AG51" s="12" t="s">
        <v>106</v>
      </c>
      <c r="AH51" s="12" t="s">
        <v>104</v>
      </c>
      <c r="AI51" s="12" t="s">
        <v>105</v>
      </c>
      <c r="AJ51" s="11" t="s">
        <v>81</v>
      </c>
      <c r="AK51" s="12" t="s">
        <v>101</v>
      </c>
      <c r="AL51" s="12" t="s">
        <v>102</v>
      </c>
      <c r="AM51" s="12" t="s">
        <v>26</v>
      </c>
      <c r="AN51" s="12" t="s">
        <v>106</v>
      </c>
      <c r="AO51" s="12" t="s">
        <v>104</v>
      </c>
      <c r="AP51" s="12" t="s">
        <v>105</v>
      </c>
      <c r="AQ51" s="18" t="s">
        <v>112</v>
      </c>
      <c r="AR51" s="12" t="s">
        <v>101</v>
      </c>
      <c r="AS51" s="12" t="s">
        <v>102</v>
      </c>
      <c r="AT51" s="12" t="s">
        <v>26</v>
      </c>
      <c r="AU51" s="12" t="s">
        <v>106</v>
      </c>
      <c r="AV51" s="12" t="s">
        <v>104</v>
      </c>
      <c r="AW51" s="12" t="s">
        <v>105</v>
      </c>
      <c r="AX51" s="18" t="s">
        <v>113</v>
      </c>
      <c r="AY51" s="12" t="s">
        <v>101</v>
      </c>
      <c r="AZ51" s="12" t="s">
        <v>102</v>
      </c>
      <c r="BA51" s="12" t="s">
        <v>26</v>
      </c>
      <c r="BB51" s="12" t="s">
        <v>106</v>
      </c>
      <c r="BC51" s="12" t="s">
        <v>104</v>
      </c>
      <c r="BD51" s="12" t="s">
        <v>105</v>
      </c>
    </row>
    <row r="52" spans="1:56" ht="14.25" customHeight="1" x14ac:dyDescent="0.3">
      <c r="A52" s="11" t="s">
        <v>109</v>
      </c>
      <c r="B52" s="39">
        <v>-0.1583</v>
      </c>
      <c r="C52" s="19">
        <v>199</v>
      </c>
      <c r="D52" s="19">
        <v>15</v>
      </c>
      <c r="E52" s="19">
        <v>24</v>
      </c>
      <c r="F52" s="19">
        <v>5</v>
      </c>
      <c r="G52" s="19">
        <v>55</v>
      </c>
      <c r="H52" s="18" t="s">
        <v>109</v>
      </c>
      <c r="I52" s="40">
        <v>0.32</v>
      </c>
      <c r="J52" s="19">
        <v>22</v>
      </c>
      <c r="K52" s="19">
        <v>10</v>
      </c>
      <c r="L52" s="40">
        <v>0.45</v>
      </c>
      <c r="M52" s="19">
        <v>3</v>
      </c>
      <c r="N52" s="19">
        <v>0</v>
      </c>
      <c r="O52" s="18" t="s">
        <v>109</v>
      </c>
      <c r="P52" s="40">
        <v>0</v>
      </c>
      <c r="Q52" s="19">
        <v>0</v>
      </c>
      <c r="R52" s="19">
        <v>0</v>
      </c>
      <c r="S52" s="40">
        <v>0</v>
      </c>
      <c r="T52" s="19">
        <v>0</v>
      </c>
      <c r="U52" s="19">
        <v>0</v>
      </c>
      <c r="V52" s="18" t="s">
        <v>109</v>
      </c>
      <c r="W52" s="40">
        <v>0</v>
      </c>
      <c r="X52" s="19">
        <v>0</v>
      </c>
      <c r="Y52" s="19">
        <v>0</v>
      </c>
      <c r="Z52" s="40">
        <v>0</v>
      </c>
      <c r="AA52" s="19">
        <v>0</v>
      </c>
      <c r="AB52" s="19">
        <v>0</v>
      </c>
      <c r="AC52" s="18" t="s">
        <v>109</v>
      </c>
      <c r="AD52" s="40">
        <v>0.42</v>
      </c>
      <c r="AE52" s="19">
        <v>69</v>
      </c>
      <c r="AF52" s="19">
        <v>38</v>
      </c>
      <c r="AG52" s="40">
        <v>0.55000000000000004</v>
      </c>
      <c r="AH52" s="19">
        <v>3</v>
      </c>
      <c r="AI52" s="19">
        <v>6</v>
      </c>
      <c r="AJ52" s="18" t="s">
        <v>109</v>
      </c>
      <c r="AK52" s="40">
        <v>0.5</v>
      </c>
      <c r="AL52" s="19">
        <v>4</v>
      </c>
      <c r="AM52" s="19">
        <v>2</v>
      </c>
      <c r="AN52" s="40">
        <v>0.5</v>
      </c>
      <c r="AO52" s="19">
        <v>0</v>
      </c>
      <c r="AP52" s="19">
        <v>0</v>
      </c>
      <c r="AQ52" s="18" t="s">
        <v>109</v>
      </c>
      <c r="AR52" s="40">
        <v>0.2</v>
      </c>
      <c r="AS52" s="19">
        <v>335</v>
      </c>
      <c r="AT52" s="19">
        <v>125</v>
      </c>
      <c r="AU52" s="40">
        <v>0.37</v>
      </c>
      <c r="AV52" s="19">
        <v>23</v>
      </c>
      <c r="AW52" s="19">
        <v>36</v>
      </c>
      <c r="AX52" s="18" t="s">
        <v>109</v>
      </c>
      <c r="AY52" s="40">
        <v>0.34</v>
      </c>
      <c r="AZ52" s="19">
        <v>413</v>
      </c>
      <c r="BA52" s="19">
        <v>198</v>
      </c>
      <c r="BB52" s="40">
        <v>0.48</v>
      </c>
      <c r="BC52" s="19">
        <v>24</v>
      </c>
      <c r="BD52" s="19">
        <v>34</v>
      </c>
    </row>
    <row r="53" spans="1:56" ht="14.25" customHeight="1" x14ac:dyDescent="0.3">
      <c r="A53" s="11" t="s">
        <v>68</v>
      </c>
      <c r="B53" s="25" t="s">
        <v>80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8" t="s">
        <v>68</v>
      </c>
      <c r="I53" s="40">
        <v>0</v>
      </c>
      <c r="J53" s="19">
        <v>0</v>
      </c>
      <c r="K53" s="19">
        <v>0</v>
      </c>
      <c r="L53" s="40">
        <v>0</v>
      </c>
      <c r="M53" s="19">
        <v>0</v>
      </c>
      <c r="N53" s="19">
        <v>0</v>
      </c>
      <c r="O53" s="18" t="s">
        <v>68</v>
      </c>
      <c r="P53" s="40">
        <v>0</v>
      </c>
      <c r="Q53" s="19">
        <v>0</v>
      </c>
      <c r="R53" s="19">
        <v>0</v>
      </c>
      <c r="S53" s="40">
        <v>0</v>
      </c>
      <c r="T53" s="19">
        <v>0</v>
      </c>
      <c r="U53" s="19">
        <v>0</v>
      </c>
      <c r="V53" s="18" t="s">
        <v>68</v>
      </c>
      <c r="W53" s="40">
        <v>0</v>
      </c>
      <c r="X53" s="19">
        <v>0</v>
      </c>
      <c r="Y53" s="19">
        <v>0</v>
      </c>
      <c r="Z53" s="40">
        <v>0</v>
      </c>
      <c r="AA53" s="19">
        <v>0</v>
      </c>
      <c r="AB53" s="19">
        <v>0</v>
      </c>
      <c r="AC53" s="18" t="s">
        <v>68</v>
      </c>
      <c r="AD53" s="40">
        <v>0.47</v>
      </c>
      <c r="AE53" s="19">
        <v>19</v>
      </c>
      <c r="AF53" s="19">
        <v>11</v>
      </c>
      <c r="AG53" s="40">
        <v>0.57999999999999996</v>
      </c>
      <c r="AH53" s="19">
        <v>1</v>
      </c>
      <c r="AI53" s="19">
        <v>1</v>
      </c>
      <c r="AJ53" s="18" t="s">
        <v>68</v>
      </c>
      <c r="AK53" s="40">
        <v>0.67</v>
      </c>
      <c r="AL53" s="19">
        <v>3</v>
      </c>
      <c r="AM53" s="19">
        <v>2</v>
      </c>
      <c r="AN53" s="40">
        <v>0.67</v>
      </c>
      <c r="AO53" s="19">
        <v>0</v>
      </c>
      <c r="AP53" s="19">
        <v>0</v>
      </c>
      <c r="AQ53" s="18" t="s">
        <v>68</v>
      </c>
      <c r="AR53" s="40">
        <v>0.4</v>
      </c>
      <c r="AS53" s="19">
        <v>15</v>
      </c>
      <c r="AT53" s="19">
        <v>7</v>
      </c>
      <c r="AU53" s="40">
        <v>0.47</v>
      </c>
      <c r="AV53" s="19">
        <v>0</v>
      </c>
      <c r="AW53" s="19">
        <v>1</v>
      </c>
      <c r="AX53" s="18" t="s">
        <v>68</v>
      </c>
      <c r="AY53" s="40">
        <v>0.5</v>
      </c>
      <c r="AZ53" s="19">
        <v>52</v>
      </c>
      <c r="BA53" s="19">
        <v>31</v>
      </c>
      <c r="BB53" s="40">
        <v>0.6</v>
      </c>
      <c r="BC53" s="19">
        <v>2</v>
      </c>
      <c r="BD53" s="19">
        <v>3</v>
      </c>
    </row>
    <row r="54" spans="1:56" ht="14.25" customHeight="1" x14ac:dyDescent="0.3">
      <c r="A54" s="11" t="s">
        <v>97</v>
      </c>
      <c r="B54" s="25" t="s">
        <v>80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8" t="s">
        <v>97</v>
      </c>
      <c r="I54" s="40">
        <v>0</v>
      </c>
      <c r="J54" s="19">
        <v>1</v>
      </c>
      <c r="K54" s="19">
        <v>0</v>
      </c>
      <c r="L54" s="40">
        <v>0</v>
      </c>
      <c r="M54" s="19">
        <v>0</v>
      </c>
      <c r="N54" s="19">
        <v>0</v>
      </c>
      <c r="O54" s="18" t="s">
        <v>97</v>
      </c>
      <c r="P54" s="40">
        <v>0</v>
      </c>
      <c r="Q54" s="19">
        <v>0</v>
      </c>
      <c r="R54" s="19">
        <v>0</v>
      </c>
      <c r="S54" s="40">
        <v>0</v>
      </c>
      <c r="T54" s="19">
        <v>0</v>
      </c>
      <c r="U54" s="19">
        <v>0</v>
      </c>
      <c r="V54" s="18" t="s">
        <v>97</v>
      </c>
      <c r="W54" s="40">
        <v>0</v>
      </c>
      <c r="X54" s="19">
        <v>0</v>
      </c>
      <c r="Y54" s="19">
        <v>0</v>
      </c>
      <c r="Z54" s="40">
        <v>0</v>
      </c>
      <c r="AA54" s="19">
        <v>0</v>
      </c>
      <c r="AB54" s="19">
        <v>0</v>
      </c>
      <c r="AC54" s="18" t="s">
        <v>97</v>
      </c>
      <c r="AD54" s="40">
        <v>0</v>
      </c>
      <c r="AE54" s="19">
        <v>0</v>
      </c>
      <c r="AF54" s="19">
        <v>0</v>
      </c>
      <c r="AG54" s="40">
        <v>0</v>
      </c>
      <c r="AH54" s="19">
        <v>0</v>
      </c>
      <c r="AI54" s="19">
        <v>0</v>
      </c>
      <c r="AJ54" s="18" t="s">
        <v>97</v>
      </c>
      <c r="AK54" s="40">
        <v>0</v>
      </c>
      <c r="AL54" s="19">
        <v>0</v>
      </c>
      <c r="AM54" s="19">
        <v>0</v>
      </c>
      <c r="AN54" s="40">
        <v>0</v>
      </c>
      <c r="AO54" s="19">
        <v>0</v>
      </c>
      <c r="AP54" s="19">
        <v>0</v>
      </c>
      <c r="AQ54" s="18" t="s">
        <v>97</v>
      </c>
      <c r="AR54" s="40">
        <v>0.36</v>
      </c>
      <c r="AS54" s="19">
        <v>11</v>
      </c>
      <c r="AT54" s="19">
        <v>6</v>
      </c>
      <c r="AU54" s="40">
        <v>0.55000000000000004</v>
      </c>
      <c r="AV54" s="19">
        <v>2</v>
      </c>
      <c r="AW54" s="19">
        <v>0</v>
      </c>
      <c r="AX54" s="18" t="s">
        <v>97</v>
      </c>
      <c r="AY54" s="40">
        <v>0</v>
      </c>
      <c r="AZ54" s="19">
        <v>3</v>
      </c>
      <c r="BA54" s="19">
        <v>0</v>
      </c>
      <c r="BB54" s="40">
        <v>0</v>
      </c>
      <c r="BC54" s="19">
        <v>0</v>
      </c>
      <c r="BD54" s="19">
        <v>0</v>
      </c>
    </row>
    <row r="55" spans="1:56" ht="14.25" customHeight="1" x14ac:dyDescent="0.3">
      <c r="A55" s="11" t="s">
        <v>54</v>
      </c>
      <c r="B55" s="39">
        <v>-0.2944</v>
      </c>
      <c r="C55" s="19">
        <v>45</v>
      </c>
      <c r="D55" s="19">
        <v>4</v>
      </c>
      <c r="E55" s="19">
        <v>5</v>
      </c>
      <c r="F55" s="19">
        <v>1</v>
      </c>
      <c r="G55" s="19">
        <v>19</v>
      </c>
      <c r="H55" s="18" t="s">
        <v>54</v>
      </c>
      <c r="I55" s="40">
        <v>0.38</v>
      </c>
      <c r="J55" s="19">
        <v>16</v>
      </c>
      <c r="K55" s="19">
        <v>8</v>
      </c>
      <c r="L55" s="40">
        <v>0.5</v>
      </c>
      <c r="M55" s="19">
        <v>2</v>
      </c>
      <c r="N55" s="19">
        <v>0</v>
      </c>
      <c r="O55" s="18" t="s">
        <v>54</v>
      </c>
      <c r="P55" s="40">
        <v>0</v>
      </c>
      <c r="Q55" s="19">
        <v>0</v>
      </c>
      <c r="R55" s="19">
        <v>0</v>
      </c>
      <c r="S55" s="40">
        <v>0</v>
      </c>
      <c r="T55" s="19">
        <v>0</v>
      </c>
      <c r="U55" s="19">
        <v>0</v>
      </c>
      <c r="V55" s="18" t="s">
        <v>54</v>
      </c>
      <c r="W55" s="40">
        <v>0</v>
      </c>
      <c r="X55" s="19">
        <v>0</v>
      </c>
      <c r="Y55" s="19">
        <v>0</v>
      </c>
      <c r="Z55" s="40">
        <v>0</v>
      </c>
      <c r="AA55" s="19">
        <v>0</v>
      </c>
      <c r="AB55" s="19">
        <v>0</v>
      </c>
      <c r="AC55" s="18" t="s">
        <v>54</v>
      </c>
      <c r="AD55" s="40">
        <v>0</v>
      </c>
      <c r="AE55" s="19">
        <v>0</v>
      </c>
      <c r="AF55" s="19">
        <v>0</v>
      </c>
      <c r="AG55" s="40">
        <v>0</v>
      </c>
      <c r="AH55" s="19">
        <v>0</v>
      </c>
      <c r="AI55" s="19">
        <v>0</v>
      </c>
      <c r="AJ55" s="18" t="s">
        <v>54</v>
      </c>
      <c r="AK55" s="40">
        <v>0</v>
      </c>
      <c r="AL55" s="19">
        <v>0</v>
      </c>
      <c r="AM55" s="19">
        <v>0</v>
      </c>
      <c r="AN55" s="40">
        <v>0</v>
      </c>
      <c r="AO55" s="19">
        <v>0</v>
      </c>
      <c r="AP55" s="19">
        <v>0</v>
      </c>
      <c r="AQ55" s="18" t="s">
        <v>54</v>
      </c>
      <c r="AR55" s="40">
        <v>0.27</v>
      </c>
      <c r="AS55" s="19">
        <v>49</v>
      </c>
      <c r="AT55" s="19">
        <v>23</v>
      </c>
      <c r="AU55" s="40">
        <v>0.47</v>
      </c>
      <c r="AV55" s="19">
        <v>4</v>
      </c>
      <c r="AW55" s="19">
        <v>6</v>
      </c>
      <c r="AX55" s="18" t="s">
        <v>54</v>
      </c>
      <c r="AY55" s="40">
        <v>0.23</v>
      </c>
      <c r="AZ55" s="19">
        <v>73</v>
      </c>
      <c r="BA55" s="19">
        <v>30</v>
      </c>
      <c r="BB55" s="40">
        <v>0.41</v>
      </c>
      <c r="BC55" s="19">
        <v>6</v>
      </c>
      <c r="BD55" s="19">
        <v>7</v>
      </c>
    </row>
    <row r="56" spans="1:56" ht="14.25" customHeight="1" x14ac:dyDescent="0.3">
      <c r="A56" s="11" t="s">
        <v>87</v>
      </c>
      <c r="B56" s="39">
        <v>-0.29170000000000001</v>
      </c>
      <c r="C56" s="19">
        <v>6</v>
      </c>
      <c r="D56" s="19">
        <v>0</v>
      </c>
      <c r="E56" s="19">
        <v>1</v>
      </c>
      <c r="F56" s="19">
        <v>0</v>
      </c>
      <c r="G56" s="19">
        <v>2</v>
      </c>
      <c r="H56" s="18" t="s">
        <v>87</v>
      </c>
      <c r="I56" s="40">
        <v>0</v>
      </c>
      <c r="J56" s="19">
        <v>0</v>
      </c>
      <c r="K56" s="19">
        <v>0</v>
      </c>
      <c r="L56" s="40">
        <v>0</v>
      </c>
      <c r="M56" s="19">
        <v>0</v>
      </c>
      <c r="N56" s="19">
        <v>0</v>
      </c>
      <c r="O56" s="18" t="s">
        <v>87</v>
      </c>
      <c r="P56" s="40">
        <v>0</v>
      </c>
      <c r="Q56" s="19">
        <v>0</v>
      </c>
      <c r="R56" s="19">
        <v>0</v>
      </c>
      <c r="S56" s="40">
        <v>0</v>
      </c>
      <c r="T56" s="19">
        <v>0</v>
      </c>
      <c r="U56" s="19">
        <v>0</v>
      </c>
      <c r="V56" s="18" t="s">
        <v>87</v>
      </c>
      <c r="W56" s="40">
        <v>0</v>
      </c>
      <c r="X56" s="19">
        <v>0</v>
      </c>
      <c r="Y56" s="19">
        <v>0</v>
      </c>
      <c r="Z56" s="40">
        <v>0</v>
      </c>
      <c r="AA56" s="19">
        <v>0</v>
      </c>
      <c r="AB56" s="19">
        <v>0</v>
      </c>
      <c r="AC56" s="18" t="s">
        <v>87</v>
      </c>
      <c r="AD56" s="40">
        <v>0</v>
      </c>
      <c r="AE56" s="19">
        <v>0</v>
      </c>
      <c r="AF56" s="19">
        <v>0</v>
      </c>
      <c r="AG56" s="40">
        <v>0</v>
      </c>
      <c r="AH56" s="19">
        <v>0</v>
      </c>
      <c r="AI56" s="19">
        <v>0</v>
      </c>
      <c r="AJ56" s="18" t="s">
        <v>87</v>
      </c>
      <c r="AK56" s="40">
        <v>0</v>
      </c>
      <c r="AL56" s="19">
        <v>0</v>
      </c>
      <c r="AM56" s="19">
        <v>0</v>
      </c>
      <c r="AN56" s="40">
        <v>0</v>
      </c>
      <c r="AO56" s="19">
        <v>0</v>
      </c>
      <c r="AP56" s="19">
        <v>0</v>
      </c>
      <c r="AQ56" s="18" t="s">
        <v>87</v>
      </c>
      <c r="AR56" s="40">
        <v>-0.5</v>
      </c>
      <c r="AS56" s="19">
        <v>4</v>
      </c>
      <c r="AT56" s="19">
        <v>1</v>
      </c>
      <c r="AU56" s="40">
        <v>0.25</v>
      </c>
      <c r="AV56" s="19">
        <v>2</v>
      </c>
      <c r="AW56" s="19">
        <v>1</v>
      </c>
      <c r="AX56" s="18" t="s">
        <v>87</v>
      </c>
      <c r="AY56" s="40">
        <v>0</v>
      </c>
      <c r="AZ56" s="19">
        <v>3</v>
      </c>
      <c r="BA56" s="19">
        <v>0</v>
      </c>
      <c r="BB56" s="40">
        <v>0</v>
      </c>
      <c r="BC56" s="19">
        <v>0</v>
      </c>
      <c r="BD56" s="19">
        <v>0</v>
      </c>
    </row>
    <row r="57" spans="1:56" ht="14.25" customHeight="1" x14ac:dyDescent="0.3">
      <c r="A57" s="11" t="s">
        <v>94</v>
      </c>
      <c r="B57" s="25" t="s">
        <v>80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8" t="s">
        <v>94</v>
      </c>
      <c r="I57" s="40">
        <v>0</v>
      </c>
      <c r="J57" s="19">
        <v>0</v>
      </c>
      <c r="K57" s="19">
        <v>0</v>
      </c>
      <c r="L57" s="40">
        <v>0</v>
      </c>
      <c r="M57" s="19">
        <v>0</v>
      </c>
      <c r="N57" s="19">
        <v>0</v>
      </c>
      <c r="O57" s="18" t="s">
        <v>94</v>
      </c>
      <c r="P57" s="40">
        <v>0</v>
      </c>
      <c r="Q57" s="19">
        <v>0</v>
      </c>
      <c r="R57" s="19">
        <v>0</v>
      </c>
      <c r="S57" s="40">
        <v>0</v>
      </c>
      <c r="T57" s="19">
        <v>0</v>
      </c>
      <c r="U57" s="19">
        <v>0</v>
      </c>
      <c r="V57" s="18" t="s">
        <v>94</v>
      </c>
      <c r="W57" s="40">
        <v>0</v>
      </c>
      <c r="X57" s="19">
        <v>0</v>
      </c>
      <c r="Y57" s="19">
        <v>0</v>
      </c>
      <c r="Z57" s="40">
        <v>0</v>
      </c>
      <c r="AA57" s="19">
        <v>0</v>
      </c>
      <c r="AB57" s="19">
        <v>0</v>
      </c>
      <c r="AC57" s="18" t="s">
        <v>94</v>
      </c>
      <c r="AD57" s="40">
        <v>0</v>
      </c>
      <c r="AE57" s="19">
        <v>0</v>
      </c>
      <c r="AF57" s="19">
        <v>0</v>
      </c>
      <c r="AG57" s="40">
        <v>0</v>
      </c>
      <c r="AH57" s="19">
        <v>0</v>
      </c>
      <c r="AI57" s="19">
        <v>0</v>
      </c>
      <c r="AJ57" s="18" t="s">
        <v>94</v>
      </c>
      <c r="AK57" s="40">
        <v>0</v>
      </c>
      <c r="AL57" s="19">
        <v>0</v>
      </c>
      <c r="AM57" s="19">
        <v>0</v>
      </c>
      <c r="AN57" s="40">
        <v>0</v>
      </c>
      <c r="AO57" s="19">
        <v>0</v>
      </c>
      <c r="AP57" s="19">
        <v>0</v>
      </c>
      <c r="AQ57" s="18" t="s">
        <v>94</v>
      </c>
      <c r="AR57" s="40">
        <v>0</v>
      </c>
      <c r="AS57" s="19">
        <v>3</v>
      </c>
      <c r="AT57" s="19">
        <v>1</v>
      </c>
      <c r="AU57" s="40">
        <v>0.33</v>
      </c>
      <c r="AV57" s="19">
        <v>0</v>
      </c>
      <c r="AW57" s="19">
        <v>1</v>
      </c>
      <c r="AX57" s="18" t="s">
        <v>94</v>
      </c>
      <c r="AY57" s="40">
        <v>0</v>
      </c>
      <c r="AZ57" s="19">
        <v>2</v>
      </c>
      <c r="BA57" s="19">
        <v>1</v>
      </c>
      <c r="BB57" s="40">
        <v>0.5</v>
      </c>
      <c r="BC57" s="19">
        <v>1</v>
      </c>
      <c r="BD57" s="19">
        <v>0</v>
      </c>
    </row>
    <row r="58" spans="1:56" ht="14.25" customHeight="1" x14ac:dyDescent="0.3">
      <c r="A58" s="11" t="s">
        <v>86</v>
      </c>
      <c r="B58" s="39">
        <v>-0.34849999999999998</v>
      </c>
      <c r="C58" s="19">
        <v>33</v>
      </c>
      <c r="D58" s="19">
        <v>3</v>
      </c>
      <c r="E58" s="19">
        <v>4</v>
      </c>
      <c r="F58" s="19">
        <v>1</v>
      </c>
      <c r="G58" s="19">
        <v>16</v>
      </c>
      <c r="H58" s="18" t="s">
        <v>86</v>
      </c>
      <c r="I58" s="40">
        <v>0</v>
      </c>
      <c r="J58" s="19">
        <v>0</v>
      </c>
      <c r="K58" s="19">
        <v>0</v>
      </c>
      <c r="L58" s="40">
        <v>0</v>
      </c>
      <c r="M58" s="19">
        <v>0</v>
      </c>
      <c r="N58" s="19">
        <v>0</v>
      </c>
      <c r="O58" s="18" t="s">
        <v>86</v>
      </c>
      <c r="P58" s="40">
        <v>0</v>
      </c>
      <c r="Q58" s="19">
        <v>0</v>
      </c>
      <c r="R58" s="19">
        <v>0</v>
      </c>
      <c r="S58" s="40">
        <v>0</v>
      </c>
      <c r="T58" s="19">
        <v>0</v>
      </c>
      <c r="U58" s="19">
        <v>0</v>
      </c>
      <c r="V58" s="18" t="s">
        <v>86</v>
      </c>
      <c r="W58" s="40">
        <v>0</v>
      </c>
      <c r="X58" s="19">
        <v>0</v>
      </c>
      <c r="Y58" s="19">
        <v>0</v>
      </c>
      <c r="Z58" s="40">
        <v>0</v>
      </c>
      <c r="AA58" s="19">
        <v>0</v>
      </c>
      <c r="AB58" s="19">
        <v>0</v>
      </c>
      <c r="AC58" s="18" t="s">
        <v>86</v>
      </c>
      <c r="AD58" s="40">
        <v>0</v>
      </c>
      <c r="AE58" s="19">
        <v>0</v>
      </c>
      <c r="AF58" s="19">
        <v>0</v>
      </c>
      <c r="AG58" s="40">
        <v>0</v>
      </c>
      <c r="AH58" s="19">
        <v>0</v>
      </c>
      <c r="AI58" s="19">
        <v>0</v>
      </c>
      <c r="AJ58" s="18" t="s">
        <v>86</v>
      </c>
      <c r="AK58" s="40">
        <v>0</v>
      </c>
      <c r="AL58" s="19">
        <v>0</v>
      </c>
      <c r="AM58" s="19">
        <v>0</v>
      </c>
      <c r="AN58" s="40">
        <v>0</v>
      </c>
      <c r="AO58" s="19">
        <v>0</v>
      </c>
      <c r="AP58" s="19">
        <v>0</v>
      </c>
      <c r="AQ58" s="18" t="s">
        <v>86</v>
      </c>
      <c r="AR58" s="40">
        <v>0.08</v>
      </c>
      <c r="AS58" s="19">
        <v>88</v>
      </c>
      <c r="AT58" s="19">
        <v>27</v>
      </c>
      <c r="AU58" s="40">
        <v>0.31</v>
      </c>
      <c r="AV58" s="19">
        <v>6</v>
      </c>
      <c r="AW58" s="19">
        <v>14</v>
      </c>
      <c r="AX58" s="18" t="s">
        <v>86</v>
      </c>
      <c r="AY58" s="40">
        <v>0.36</v>
      </c>
      <c r="AZ58" s="19">
        <v>88</v>
      </c>
      <c r="BA58" s="19">
        <v>42</v>
      </c>
      <c r="BB58" s="40">
        <v>0.48</v>
      </c>
      <c r="BC58" s="19">
        <v>2</v>
      </c>
      <c r="BD58" s="19">
        <v>8</v>
      </c>
    </row>
    <row r="59" spans="1:56" ht="14.25" customHeight="1" x14ac:dyDescent="0.3">
      <c r="A59" s="11" t="s">
        <v>85</v>
      </c>
      <c r="B59" s="39">
        <v>2.2700000000000001E-2</v>
      </c>
      <c r="C59" s="19">
        <v>77</v>
      </c>
      <c r="D59" s="19">
        <v>4</v>
      </c>
      <c r="E59" s="19">
        <v>11</v>
      </c>
      <c r="F59" s="19">
        <v>2</v>
      </c>
      <c r="G59" s="19">
        <v>6</v>
      </c>
      <c r="H59" s="18" t="s">
        <v>85</v>
      </c>
      <c r="I59" s="40">
        <v>0</v>
      </c>
      <c r="J59" s="19">
        <v>0</v>
      </c>
      <c r="K59" s="19">
        <v>0</v>
      </c>
      <c r="L59" s="40">
        <v>0</v>
      </c>
      <c r="M59" s="19">
        <v>0</v>
      </c>
      <c r="N59" s="19">
        <v>0</v>
      </c>
      <c r="O59" s="18" t="s">
        <v>85</v>
      </c>
      <c r="P59" s="40">
        <v>0.21</v>
      </c>
      <c r="Q59" s="19">
        <v>66</v>
      </c>
      <c r="R59" s="19">
        <v>23</v>
      </c>
      <c r="S59" s="40">
        <v>0.35</v>
      </c>
      <c r="T59" s="19">
        <v>4</v>
      </c>
      <c r="U59" s="19">
        <v>5</v>
      </c>
      <c r="V59" s="18" t="s">
        <v>85</v>
      </c>
      <c r="W59" s="40">
        <v>-0.5</v>
      </c>
      <c r="X59" s="19">
        <v>2</v>
      </c>
      <c r="Y59" s="19">
        <v>0</v>
      </c>
      <c r="Z59" s="40">
        <v>0</v>
      </c>
      <c r="AA59" s="19">
        <v>0</v>
      </c>
      <c r="AB59" s="19">
        <v>1</v>
      </c>
      <c r="AC59" s="18" t="s">
        <v>85</v>
      </c>
      <c r="AD59" s="40">
        <v>0</v>
      </c>
      <c r="AE59" s="19">
        <v>0</v>
      </c>
      <c r="AF59" s="19">
        <v>0</v>
      </c>
      <c r="AG59" s="40">
        <v>0</v>
      </c>
      <c r="AH59" s="19">
        <v>0</v>
      </c>
      <c r="AI59" s="19">
        <v>0</v>
      </c>
      <c r="AJ59" s="18" t="s">
        <v>85</v>
      </c>
      <c r="AK59" s="40">
        <v>0</v>
      </c>
      <c r="AL59" s="19">
        <v>0</v>
      </c>
      <c r="AM59" s="19">
        <v>0</v>
      </c>
      <c r="AN59" s="40">
        <v>0</v>
      </c>
      <c r="AO59" s="19">
        <v>0</v>
      </c>
      <c r="AP59" s="19">
        <v>0</v>
      </c>
      <c r="AQ59" s="18" t="s">
        <v>85</v>
      </c>
      <c r="AR59" s="40">
        <v>0.28000000000000003</v>
      </c>
      <c r="AS59" s="19">
        <v>89</v>
      </c>
      <c r="AT59" s="19">
        <v>34</v>
      </c>
      <c r="AU59" s="40">
        <v>0.38</v>
      </c>
      <c r="AV59" s="19">
        <v>2</v>
      </c>
      <c r="AW59" s="19">
        <v>7</v>
      </c>
      <c r="AX59" s="18" t="s">
        <v>85</v>
      </c>
      <c r="AY59" s="40">
        <v>0.27</v>
      </c>
      <c r="AZ59" s="19">
        <v>84</v>
      </c>
      <c r="BA59" s="19">
        <v>35</v>
      </c>
      <c r="BB59" s="40">
        <v>0.42</v>
      </c>
      <c r="BC59" s="19">
        <v>6</v>
      </c>
      <c r="BD59" s="19">
        <v>6</v>
      </c>
    </row>
    <row r="60" spans="1:56" ht="14.25" customHeight="1" x14ac:dyDescent="0.3">
      <c r="A60" s="11" t="s">
        <v>67</v>
      </c>
      <c r="B60" s="25" t="s">
        <v>80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8" t="s">
        <v>67</v>
      </c>
      <c r="I60" s="40">
        <v>0</v>
      </c>
      <c r="J60" s="19">
        <v>0</v>
      </c>
      <c r="K60" s="19">
        <v>0</v>
      </c>
      <c r="L60" s="40">
        <v>0</v>
      </c>
      <c r="M60" s="19">
        <v>0</v>
      </c>
      <c r="N60" s="19">
        <v>0</v>
      </c>
      <c r="O60" s="18" t="s">
        <v>67</v>
      </c>
      <c r="P60" s="40">
        <v>0</v>
      </c>
      <c r="Q60" s="19">
        <v>0</v>
      </c>
      <c r="R60" s="19">
        <v>0</v>
      </c>
      <c r="S60" s="40">
        <v>0</v>
      </c>
      <c r="T60" s="19">
        <v>0</v>
      </c>
      <c r="U60" s="19">
        <v>0</v>
      </c>
      <c r="V60" s="18" t="s">
        <v>67</v>
      </c>
      <c r="W60" s="40">
        <v>0</v>
      </c>
      <c r="X60" s="19">
        <v>0</v>
      </c>
      <c r="Y60" s="19">
        <v>0</v>
      </c>
      <c r="Z60" s="40">
        <v>0</v>
      </c>
      <c r="AA60" s="19">
        <v>0</v>
      </c>
      <c r="AB60" s="19">
        <v>0</v>
      </c>
      <c r="AC60" s="18" t="s">
        <v>67</v>
      </c>
      <c r="AD60" s="40">
        <v>0.56000000000000005</v>
      </c>
      <c r="AE60" s="19">
        <v>9</v>
      </c>
      <c r="AF60" s="19">
        <v>5</v>
      </c>
      <c r="AG60" s="40">
        <v>0.56000000000000005</v>
      </c>
      <c r="AH60" s="19">
        <v>0</v>
      </c>
      <c r="AI60" s="19">
        <v>0</v>
      </c>
      <c r="AJ60" s="18" t="s">
        <v>67</v>
      </c>
      <c r="AK60" s="40">
        <v>0</v>
      </c>
      <c r="AL60" s="19">
        <v>0</v>
      </c>
      <c r="AM60" s="19">
        <v>0</v>
      </c>
      <c r="AN60" s="40">
        <v>0</v>
      </c>
      <c r="AO60" s="19">
        <v>0</v>
      </c>
      <c r="AP60" s="19">
        <v>0</v>
      </c>
      <c r="AQ60" s="18" t="s">
        <v>67</v>
      </c>
      <c r="AR60" s="40">
        <v>0.43</v>
      </c>
      <c r="AS60" s="19">
        <v>7</v>
      </c>
      <c r="AT60" s="19">
        <v>3</v>
      </c>
      <c r="AU60" s="40">
        <v>0.43</v>
      </c>
      <c r="AV60" s="19">
        <v>0</v>
      </c>
      <c r="AW60" s="19">
        <v>0</v>
      </c>
      <c r="AX60" s="18" t="s">
        <v>67</v>
      </c>
      <c r="AY60" s="40">
        <v>0.54</v>
      </c>
      <c r="AZ60" s="19">
        <v>13</v>
      </c>
      <c r="BA60" s="19">
        <v>8</v>
      </c>
      <c r="BB60" s="40">
        <v>0.62</v>
      </c>
      <c r="BC60" s="19">
        <v>0</v>
      </c>
      <c r="BD60" s="19">
        <v>1</v>
      </c>
    </row>
    <row r="61" spans="1:56" ht="14.25" customHeight="1" x14ac:dyDescent="0.3">
      <c r="A61" s="11" t="s">
        <v>88</v>
      </c>
      <c r="B61" s="25" t="s">
        <v>80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8" t="s">
        <v>88</v>
      </c>
      <c r="I61" s="40">
        <v>0</v>
      </c>
      <c r="J61" s="19">
        <v>0</v>
      </c>
      <c r="K61" s="19">
        <v>0</v>
      </c>
      <c r="L61" s="40">
        <v>0</v>
      </c>
      <c r="M61" s="19">
        <v>0</v>
      </c>
      <c r="N61" s="19">
        <v>0</v>
      </c>
      <c r="O61" s="18" t="s">
        <v>88</v>
      </c>
      <c r="P61" s="40">
        <v>0</v>
      </c>
      <c r="Q61" s="19">
        <v>0</v>
      </c>
      <c r="R61" s="19">
        <v>0</v>
      </c>
      <c r="S61" s="40">
        <v>0</v>
      </c>
      <c r="T61" s="19">
        <v>0</v>
      </c>
      <c r="U61" s="19">
        <v>0</v>
      </c>
      <c r="V61" s="18" t="s">
        <v>88</v>
      </c>
      <c r="W61" s="40">
        <v>0</v>
      </c>
      <c r="X61" s="19">
        <v>0</v>
      </c>
      <c r="Y61" s="19">
        <v>0</v>
      </c>
      <c r="Z61" s="40">
        <v>0</v>
      </c>
      <c r="AA61" s="19">
        <v>0</v>
      </c>
      <c r="AB61" s="19">
        <v>0</v>
      </c>
      <c r="AC61" s="18" t="s">
        <v>88</v>
      </c>
      <c r="AD61" s="40">
        <v>0</v>
      </c>
      <c r="AE61" s="19">
        <v>0</v>
      </c>
      <c r="AF61" s="19">
        <v>0</v>
      </c>
      <c r="AG61" s="40">
        <v>0</v>
      </c>
      <c r="AH61" s="19">
        <v>0</v>
      </c>
      <c r="AI61" s="19">
        <v>0</v>
      </c>
      <c r="AJ61" s="18" t="s">
        <v>88</v>
      </c>
      <c r="AK61" s="40">
        <v>0</v>
      </c>
      <c r="AL61" s="19">
        <v>0</v>
      </c>
      <c r="AM61" s="19">
        <v>0</v>
      </c>
      <c r="AN61" s="40">
        <v>0</v>
      </c>
      <c r="AO61" s="19">
        <v>0</v>
      </c>
      <c r="AP61" s="19">
        <v>0</v>
      </c>
      <c r="AQ61" s="18" t="s">
        <v>88</v>
      </c>
      <c r="AR61" s="40">
        <v>0</v>
      </c>
      <c r="AS61" s="19">
        <v>0</v>
      </c>
      <c r="AT61" s="19">
        <v>0</v>
      </c>
      <c r="AU61" s="40">
        <v>0</v>
      </c>
      <c r="AV61" s="19">
        <v>0</v>
      </c>
      <c r="AW61" s="19">
        <v>0</v>
      </c>
      <c r="AX61" s="18" t="s">
        <v>88</v>
      </c>
      <c r="AY61" s="40">
        <v>0</v>
      </c>
      <c r="AZ61" s="19">
        <v>0</v>
      </c>
      <c r="BA61" s="19">
        <v>0</v>
      </c>
      <c r="BB61" s="40">
        <v>0</v>
      </c>
      <c r="BC61" s="19">
        <v>0</v>
      </c>
      <c r="BD61" s="19">
        <v>0</v>
      </c>
    </row>
    <row r="62" spans="1:56" ht="14.25" customHeight="1" x14ac:dyDescent="0.3">
      <c r="A62" s="11" t="s">
        <v>69</v>
      </c>
      <c r="B62" s="25" t="s">
        <v>80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8" t="s">
        <v>69</v>
      </c>
      <c r="I62" s="40">
        <v>0</v>
      </c>
      <c r="J62" s="19">
        <v>0</v>
      </c>
      <c r="K62" s="19">
        <v>0</v>
      </c>
      <c r="L62" s="40">
        <v>0</v>
      </c>
      <c r="M62" s="19">
        <v>0</v>
      </c>
      <c r="N62" s="19">
        <v>0</v>
      </c>
      <c r="O62" s="18" t="s">
        <v>69</v>
      </c>
      <c r="P62" s="40">
        <v>0</v>
      </c>
      <c r="Q62" s="19">
        <v>0</v>
      </c>
      <c r="R62" s="19">
        <v>0</v>
      </c>
      <c r="S62" s="40">
        <v>0</v>
      </c>
      <c r="T62" s="19">
        <v>0</v>
      </c>
      <c r="U62" s="19">
        <v>0</v>
      </c>
      <c r="V62" s="18" t="s">
        <v>69</v>
      </c>
      <c r="W62" s="40">
        <v>0</v>
      </c>
      <c r="X62" s="19">
        <v>0</v>
      </c>
      <c r="Y62" s="19">
        <v>0</v>
      </c>
      <c r="Z62" s="40">
        <v>0</v>
      </c>
      <c r="AA62" s="19">
        <v>0</v>
      </c>
      <c r="AB62" s="19">
        <v>0</v>
      </c>
      <c r="AC62" s="18" t="s">
        <v>69</v>
      </c>
      <c r="AD62" s="40">
        <v>0.24</v>
      </c>
      <c r="AE62" s="19">
        <v>29</v>
      </c>
      <c r="AF62" s="19">
        <v>14</v>
      </c>
      <c r="AG62" s="40">
        <v>0.48</v>
      </c>
      <c r="AH62" s="19">
        <v>2</v>
      </c>
      <c r="AI62" s="19">
        <v>5</v>
      </c>
      <c r="AJ62" s="18" t="s">
        <v>69</v>
      </c>
      <c r="AK62" s="40">
        <v>0</v>
      </c>
      <c r="AL62" s="19">
        <v>0</v>
      </c>
      <c r="AM62" s="19">
        <v>0</v>
      </c>
      <c r="AN62" s="40">
        <v>0</v>
      </c>
      <c r="AO62" s="19">
        <v>0</v>
      </c>
      <c r="AP62" s="19">
        <v>0</v>
      </c>
      <c r="AQ62" s="18" t="s">
        <v>69</v>
      </c>
      <c r="AR62" s="40">
        <v>0.44</v>
      </c>
      <c r="AS62" s="19">
        <v>9</v>
      </c>
      <c r="AT62" s="19">
        <v>4</v>
      </c>
      <c r="AU62" s="40">
        <v>0.44</v>
      </c>
      <c r="AV62" s="19">
        <v>0</v>
      </c>
      <c r="AW62" s="19">
        <v>0</v>
      </c>
      <c r="AX62" s="18" t="s">
        <v>69</v>
      </c>
      <c r="AY62" s="40">
        <v>0.32</v>
      </c>
      <c r="AZ62" s="19">
        <v>41</v>
      </c>
      <c r="BA62" s="19">
        <v>20</v>
      </c>
      <c r="BB62" s="40">
        <v>0.49</v>
      </c>
      <c r="BC62" s="19">
        <v>2</v>
      </c>
      <c r="BD62" s="19">
        <v>5</v>
      </c>
    </row>
    <row r="63" spans="1:56" ht="14.25" customHeight="1" x14ac:dyDescent="0.3">
      <c r="A63" s="42" t="s">
        <v>66</v>
      </c>
      <c r="B63" s="39">
        <v>-0.13189999999999999</v>
      </c>
      <c r="C63" s="29">
        <v>36</v>
      </c>
      <c r="D63" s="29">
        <v>4</v>
      </c>
      <c r="E63" s="29">
        <v>3</v>
      </c>
      <c r="F63" s="29">
        <v>1</v>
      </c>
      <c r="G63" s="29">
        <v>10</v>
      </c>
      <c r="H63" s="27" t="s">
        <v>66</v>
      </c>
      <c r="I63" s="40">
        <v>0.2</v>
      </c>
      <c r="J63" s="19">
        <v>5</v>
      </c>
      <c r="K63" s="19">
        <v>2</v>
      </c>
      <c r="L63" s="40">
        <v>0.4</v>
      </c>
      <c r="M63" s="19">
        <v>1</v>
      </c>
      <c r="N63" s="19">
        <v>0</v>
      </c>
      <c r="O63" s="27" t="s">
        <v>66</v>
      </c>
      <c r="P63" s="40">
        <v>0</v>
      </c>
      <c r="Q63" s="19">
        <v>0</v>
      </c>
      <c r="R63" s="19">
        <v>0</v>
      </c>
      <c r="S63" s="40">
        <v>0</v>
      </c>
      <c r="T63" s="19">
        <v>0</v>
      </c>
      <c r="U63" s="19">
        <v>0</v>
      </c>
      <c r="V63" s="27" t="s">
        <v>66</v>
      </c>
      <c r="W63" s="40">
        <v>0</v>
      </c>
      <c r="X63" s="19">
        <v>0</v>
      </c>
      <c r="Y63" s="19">
        <v>0</v>
      </c>
      <c r="Z63" s="40">
        <v>0</v>
      </c>
      <c r="AA63" s="19">
        <v>0</v>
      </c>
      <c r="AB63" s="19">
        <v>0</v>
      </c>
      <c r="AC63" s="27" t="s">
        <v>66</v>
      </c>
      <c r="AD63" s="41">
        <v>0</v>
      </c>
      <c r="AE63" s="29">
        <v>0</v>
      </c>
      <c r="AF63" s="29">
        <v>0</v>
      </c>
      <c r="AG63" s="41">
        <v>0</v>
      </c>
      <c r="AH63" s="29">
        <v>0</v>
      </c>
      <c r="AI63" s="29">
        <v>0</v>
      </c>
      <c r="AJ63" s="27" t="s">
        <v>66</v>
      </c>
      <c r="AK63" s="41">
        <v>0</v>
      </c>
      <c r="AL63" s="29">
        <v>0</v>
      </c>
      <c r="AM63" s="29">
        <v>0</v>
      </c>
      <c r="AN63" s="41">
        <v>0</v>
      </c>
      <c r="AO63" s="29">
        <v>0</v>
      </c>
      <c r="AP63" s="29">
        <v>0</v>
      </c>
      <c r="AQ63" s="27" t="s">
        <v>66</v>
      </c>
      <c r="AR63" s="41">
        <v>0.06</v>
      </c>
      <c r="AS63" s="29">
        <v>49</v>
      </c>
      <c r="AT63" s="29">
        <v>14</v>
      </c>
      <c r="AU63" s="41">
        <v>0.28999999999999998</v>
      </c>
      <c r="AV63" s="29">
        <v>6</v>
      </c>
      <c r="AW63" s="29">
        <v>5</v>
      </c>
      <c r="AX63" s="27" t="s">
        <v>66</v>
      </c>
      <c r="AY63" s="41">
        <v>0.37</v>
      </c>
      <c r="AZ63" s="29">
        <v>35</v>
      </c>
      <c r="BA63" s="29">
        <v>20</v>
      </c>
      <c r="BB63" s="41">
        <v>0.56999999999999995</v>
      </c>
      <c r="BC63" s="29">
        <v>4</v>
      </c>
      <c r="BD63" s="29">
        <v>3</v>
      </c>
    </row>
    <row r="64" spans="1:56" ht="25.5" customHeight="1" x14ac:dyDescent="0.3">
      <c r="A64" s="42" t="s">
        <v>110</v>
      </c>
      <c r="B64" s="25" t="s">
        <v>80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7" t="s">
        <v>110</v>
      </c>
      <c r="I64" s="40">
        <v>0</v>
      </c>
      <c r="J64" s="19">
        <v>0</v>
      </c>
      <c r="K64" s="19">
        <v>0</v>
      </c>
      <c r="L64" s="40">
        <v>0</v>
      </c>
      <c r="M64" s="19">
        <v>0</v>
      </c>
      <c r="N64" s="19">
        <v>0</v>
      </c>
      <c r="O64" s="27" t="s">
        <v>110</v>
      </c>
      <c r="P64" s="40">
        <v>0</v>
      </c>
      <c r="Q64" s="19">
        <v>0</v>
      </c>
      <c r="R64" s="19">
        <v>0</v>
      </c>
      <c r="S64" s="40">
        <v>0</v>
      </c>
      <c r="T64" s="19">
        <v>0</v>
      </c>
      <c r="U64" s="19">
        <v>0</v>
      </c>
      <c r="V64" s="27" t="s">
        <v>110</v>
      </c>
      <c r="W64" s="40">
        <v>0</v>
      </c>
      <c r="X64" s="19">
        <v>0</v>
      </c>
      <c r="Y64" s="19">
        <v>0</v>
      </c>
      <c r="Z64" s="40">
        <v>0</v>
      </c>
      <c r="AA64" s="19">
        <v>0</v>
      </c>
      <c r="AB64" s="19">
        <v>0</v>
      </c>
      <c r="AC64" s="27" t="s">
        <v>110</v>
      </c>
      <c r="AD64" s="41">
        <v>0</v>
      </c>
      <c r="AE64" s="29">
        <v>0</v>
      </c>
      <c r="AF64" s="29">
        <v>0</v>
      </c>
      <c r="AG64" s="41">
        <v>0</v>
      </c>
      <c r="AH64" s="29">
        <v>0</v>
      </c>
      <c r="AI64" s="29">
        <v>0</v>
      </c>
      <c r="AJ64" s="27" t="s">
        <v>110</v>
      </c>
      <c r="AK64" s="41">
        <v>0</v>
      </c>
      <c r="AL64" s="29">
        <v>0</v>
      </c>
      <c r="AM64" s="29">
        <v>0</v>
      </c>
      <c r="AN64" s="41">
        <v>0</v>
      </c>
      <c r="AO64" s="29">
        <v>0</v>
      </c>
      <c r="AP64" s="29">
        <v>0</v>
      </c>
      <c r="AQ64" s="27" t="s">
        <v>110</v>
      </c>
      <c r="AR64" s="41">
        <v>0</v>
      </c>
      <c r="AS64" s="29">
        <v>0</v>
      </c>
      <c r="AT64" s="29">
        <v>0</v>
      </c>
      <c r="AU64" s="41">
        <v>0</v>
      </c>
      <c r="AV64" s="29">
        <v>0</v>
      </c>
      <c r="AW64" s="29">
        <v>0</v>
      </c>
      <c r="AX64" s="27" t="s">
        <v>110</v>
      </c>
      <c r="AY64" s="41">
        <v>0</v>
      </c>
      <c r="AZ64" s="29">
        <v>0</v>
      </c>
      <c r="BA64" s="29">
        <v>0</v>
      </c>
      <c r="BB64" s="41">
        <v>0</v>
      </c>
      <c r="BC64" s="29">
        <v>0</v>
      </c>
      <c r="BD64" s="29">
        <v>0</v>
      </c>
    </row>
    <row r="65" spans="1:35" ht="13.5" customHeight="1" x14ac:dyDescent="0.3"/>
    <row r="66" spans="1:35" ht="30" customHeight="1" x14ac:dyDescent="0.3">
      <c r="A66" s="155" t="s">
        <v>114</v>
      </c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N66" s="153" t="s">
        <v>115</v>
      </c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</row>
    <row r="67" spans="1:35" ht="25.5" customHeight="1" x14ac:dyDescent="0.3">
      <c r="B67" s="43" t="s">
        <v>97</v>
      </c>
      <c r="C67" s="44" t="s">
        <v>116</v>
      </c>
      <c r="D67" s="44" t="s">
        <v>117</v>
      </c>
      <c r="E67" s="45" t="s">
        <v>118</v>
      </c>
      <c r="F67" s="44" t="s">
        <v>119</v>
      </c>
      <c r="G67" s="45" t="s">
        <v>120</v>
      </c>
      <c r="H67" s="44" t="s">
        <v>121</v>
      </c>
      <c r="I67" s="45" t="s">
        <v>122</v>
      </c>
      <c r="J67" s="44" t="s">
        <v>123</v>
      </c>
      <c r="K67" s="44" t="s">
        <v>102</v>
      </c>
      <c r="O67" s="46" t="s">
        <v>94</v>
      </c>
      <c r="P67" s="44" t="s">
        <v>116</v>
      </c>
      <c r="Q67" s="44" t="s">
        <v>117</v>
      </c>
      <c r="R67" s="44" t="s">
        <v>118</v>
      </c>
      <c r="S67" s="44" t="s">
        <v>119</v>
      </c>
      <c r="T67" s="44" t="s">
        <v>120</v>
      </c>
      <c r="U67" s="44" t="s">
        <v>121</v>
      </c>
      <c r="V67" s="44" t="s">
        <v>122</v>
      </c>
      <c r="W67" s="44" t="s">
        <v>123</v>
      </c>
      <c r="X67" s="44" t="s">
        <v>102</v>
      </c>
    </row>
    <row r="68" spans="1:35" ht="24" customHeight="1" x14ac:dyDescent="0.3">
      <c r="A68" s="43" t="s">
        <v>97</v>
      </c>
      <c r="B68" s="43" t="s">
        <v>124</v>
      </c>
      <c r="C68" s="47">
        <v>11</v>
      </c>
      <c r="D68" s="48">
        <f>IF(K68&gt;0,C68/K68,0)</f>
        <v>0.36666666666666664</v>
      </c>
      <c r="E68" s="47">
        <v>10</v>
      </c>
      <c r="F68" s="48">
        <f>IF(K68&gt;0,E68/K68,0)</f>
        <v>0.33333333333333331</v>
      </c>
      <c r="G68" s="47">
        <v>7</v>
      </c>
      <c r="H68" s="48">
        <f>IF(K68&gt;0,G68/K68,0)</f>
        <v>0.23333333333333334</v>
      </c>
      <c r="I68" s="47">
        <v>2</v>
      </c>
      <c r="J68" s="48">
        <f>IF(K68&gt;0,I68/K68,0)</f>
        <v>6.6666666666666666E-2</v>
      </c>
      <c r="K68" s="47">
        <v>30</v>
      </c>
      <c r="N68" s="46" t="s">
        <v>94</v>
      </c>
      <c r="O68" s="46" t="s">
        <v>124</v>
      </c>
      <c r="P68" s="49">
        <v>11</v>
      </c>
      <c r="Q68" s="48">
        <f>IF(X68&gt;0,P68/X68,0)</f>
        <v>0.40740740740740738</v>
      </c>
      <c r="R68" s="49">
        <v>8</v>
      </c>
      <c r="S68" s="48">
        <f>IF(X68&gt;0,R68/X68,0)</f>
        <v>0.29629629629629628</v>
      </c>
      <c r="T68" s="49">
        <v>6</v>
      </c>
      <c r="U68" s="48">
        <f>IF(X68&gt;0,T68/X68,0)</f>
        <v>0.22222222222222221</v>
      </c>
      <c r="V68" s="49">
        <v>2</v>
      </c>
      <c r="W68" s="48">
        <f>IF(X68&gt;0,V68/X68,0)</f>
        <v>7.407407407407407E-2</v>
      </c>
      <c r="X68" s="49">
        <v>27</v>
      </c>
      <c r="AA68" s="43"/>
      <c r="AB68" s="44" t="s">
        <v>101</v>
      </c>
      <c r="AD68" s="43" t="s">
        <v>97</v>
      </c>
      <c r="AE68" s="44" t="s">
        <v>101</v>
      </c>
      <c r="AF68" s="44" t="s">
        <v>102</v>
      </c>
      <c r="AG68" s="44" t="s">
        <v>26</v>
      </c>
      <c r="AH68" s="44" t="s">
        <v>106</v>
      </c>
      <c r="AI68" s="44" t="s">
        <v>125</v>
      </c>
    </row>
    <row r="69" spans="1:35" ht="21.75" customHeight="1" x14ac:dyDescent="0.3">
      <c r="A69" s="43" t="s">
        <v>97</v>
      </c>
      <c r="B69" s="50"/>
      <c r="C69" s="51">
        <v>4</v>
      </c>
      <c r="D69" s="48">
        <f>IF(C68&gt;0,C69/C68,0)</f>
        <v>0.36363636363636365</v>
      </c>
      <c r="E69" s="51">
        <v>5</v>
      </c>
      <c r="F69" s="48">
        <f>IF(E68&gt;0,E69/E68,0)</f>
        <v>0.5</v>
      </c>
      <c r="G69" s="51">
        <v>3</v>
      </c>
      <c r="H69" s="48">
        <f>IF(G68&gt;0,G69/G68,0)</f>
        <v>0.42857142857142855</v>
      </c>
      <c r="I69" s="51">
        <v>2</v>
      </c>
      <c r="J69" s="48">
        <f>IF(I68&gt;0,I69/I68,0)</f>
        <v>1</v>
      </c>
      <c r="K69" s="51"/>
      <c r="N69" s="46" t="s">
        <v>94</v>
      </c>
      <c r="O69" s="50"/>
      <c r="P69" s="52">
        <v>3</v>
      </c>
      <c r="Q69" s="48">
        <f>IF(P68&gt;0,P69/P68,0)</f>
        <v>0.27272727272727271</v>
      </c>
      <c r="R69" s="52">
        <v>4</v>
      </c>
      <c r="S69" s="48">
        <f>IF(R68&gt;0,R69/R68,0)</f>
        <v>0.5</v>
      </c>
      <c r="T69" s="52">
        <v>0</v>
      </c>
      <c r="U69" s="48">
        <f>IF(T68&gt;0,T69/T68,0)</f>
        <v>0</v>
      </c>
      <c r="V69" s="52">
        <v>0</v>
      </c>
      <c r="W69" s="48">
        <f>IF(V68&gt;0,V69/V68,0)</f>
        <v>0</v>
      </c>
      <c r="X69" s="52"/>
      <c r="AA69" s="44" t="s">
        <v>126</v>
      </c>
      <c r="AB69" s="53">
        <v>0.37</v>
      </c>
      <c r="AD69" s="43" t="s">
        <v>124</v>
      </c>
      <c r="AE69" s="53">
        <v>0.37</v>
      </c>
      <c r="AF69" s="51">
        <v>30</v>
      </c>
      <c r="AG69" s="51">
        <v>14</v>
      </c>
      <c r="AH69" s="53">
        <v>0.47</v>
      </c>
      <c r="AI69" s="53">
        <v>0.1</v>
      </c>
    </row>
    <row r="70" spans="1:35" ht="21.75" customHeight="1" x14ac:dyDescent="0.3">
      <c r="A70" s="43" t="s">
        <v>97</v>
      </c>
      <c r="B70" s="43" t="s">
        <v>127</v>
      </c>
      <c r="C70" s="47">
        <v>9</v>
      </c>
      <c r="D70" s="48">
        <f>IF(K70&gt;0,C70/K70,0)</f>
        <v>0.375</v>
      </c>
      <c r="E70" s="47">
        <v>7</v>
      </c>
      <c r="F70" s="48">
        <f>IF(K70&gt;0,E70/K70,0)</f>
        <v>0.29166666666666669</v>
      </c>
      <c r="G70" s="47">
        <v>8</v>
      </c>
      <c r="H70" s="48">
        <f>IF(K70&gt;0,G70/K70,0)</f>
        <v>0.33333333333333331</v>
      </c>
      <c r="I70" s="47">
        <v>0</v>
      </c>
      <c r="J70" s="48">
        <f>IF(K70&gt;0,I70/K70,0)</f>
        <v>0</v>
      </c>
      <c r="K70" s="47">
        <v>24</v>
      </c>
      <c r="N70" s="46" t="s">
        <v>94</v>
      </c>
      <c r="O70" s="46" t="s">
        <v>127</v>
      </c>
      <c r="P70" s="49">
        <v>10</v>
      </c>
      <c r="Q70" s="48">
        <f>IF(X70&gt;0,P70/X70,0)</f>
        <v>0.37037037037037035</v>
      </c>
      <c r="R70" s="49">
        <v>9</v>
      </c>
      <c r="S70" s="48">
        <f>IF(X70&gt;0,R70/X70,0)</f>
        <v>0.33333333333333331</v>
      </c>
      <c r="T70" s="49">
        <v>8</v>
      </c>
      <c r="U70" s="48">
        <f>IF(X70&gt;0,T70/X70,0)</f>
        <v>0.29629629629629628</v>
      </c>
      <c r="V70" s="49">
        <v>0</v>
      </c>
      <c r="W70" s="48">
        <f>IF(X70&gt;0,V70/X70,0)</f>
        <v>0</v>
      </c>
      <c r="X70" s="49">
        <v>27</v>
      </c>
      <c r="AA70" s="44" t="s">
        <v>128</v>
      </c>
      <c r="AB70" s="53">
        <v>0.37</v>
      </c>
      <c r="AD70" s="43" t="s">
        <v>127</v>
      </c>
      <c r="AE70" s="53">
        <v>0.28999999999999998</v>
      </c>
      <c r="AF70" s="51">
        <v>24</v>
      </c>
      <c r="AG70" s="51">
        <v>12</v>
      </c>
      <c r="AH70" s="53">
        <v>0.5</v>
      </c>
      <c r="AI70" s="53">
        <v>0.21</v>
      </c>
    </row>
    <row r="71" spans="1:35" ht="21.75" customHeight="1" x14ac:dyDescent="0.3">
      <c r="A71" s="43" t="s">
        <v>97</v>
      </c>
      <c r="B71" s="50"/>
      <c r="C71" s="51">
        <v>3</v>
      </c>
      <c r="D71" s="48">
        <f>IF(C70&gt;0,C71/C70,0)</f>
        <v>0.33333333333333331</v>
      </c>
      <c r="E71" s="51">
        <v>4</v>
      </c>
      <c r="F71" s="48">
        <f>IF(E70&gt;0,E71/E70,0)</f>
        <v>0.5714285714285714</v>
      </c>
      <c r="G71" s="51">
        <v>5</v>
      </c>
      <c r="H71" s="48">
        <f>IF(G70&gt;0,G71/G70,0)</f>
        <v>0.625</v>
      </c>
      <c r="I71" s="51">
        <v>0</v>
      </c>
      <c r="J71" s="48">
        <f>IF(I70&gt;0,I71/I70,0)</f>
        <v>0</v>
      </c>
      <c r="K71" s="51"/>
      <c r="N71" s="46" t="s">
        <v>94</v>
      </c>
      <c r="O71" s="50"/>
      <c r="P71" s="52">
        <v>6</v>
      </c>
      <c r="Q71" s="48">
        <f>IF(P70&gt;0,P71/P70,0)</f>
        <v>0.6</v>
      </c>
      <c r="R71" s="52">
        <v>6</v>
      </c>
      <c r="S71" s="48">
        <f>IF(R70&gt;0,R71/R70,0)</f>
        <v>0.66666666666666663</v>
      </c>
      <c r="T71" s="52">
        <v>4</v>
      </c>
      <c r="U71" s="48">
        <f>IF(T70&gt;0,T71/T70,0)</f>
        <v>0.5</v>
      </c>
      <c r="V71" s="52">
        <v>0</v>
      </c>
      <c r="W71" s="48">
        <f>IF(V70&gt;0,V71/V70,0)</f>
        <v>0</v>
      </c>
      <c r="X71" s="52"/>
      <c r="AA71" s="44" t="s">
        <v>129</v>
      </c>
      <c r="AB71" s="53">
        <v>0.35</v>
      </c>
      <c r="AD71" s="43" t="s">
        <v>130</v>
      </c>
      <c r="AE71" s="53">
        <v>0.42</v>
      </c>
      <c r="AF71" s="51">
        <v>26</v>
      </c>
      <c r="AG71" s="51">
        <v>15</v>
      </c>
      <c r="AH71" s="53">
        <v>0.57999999999999996</v>
      </c>
      <c r="AI71" s="53">
        <v>0.15</v>
      </c>
    </row>
    <row r="72" spans="1:35" ht="21.75" customHeight="1" x14ac:dyDescent="0.3">
      <c r="A72" s="43" t="s">
        <v>97</v>
      </c>
      <c r="B72" s="43" t="s">
        <v>130</v>
      </c>
      <c r="C72" s="47">
        <v>9</v>
      </c>
      <c r="D72" s="48">
        <f>IF(K72&gt;0,C72/K72,0)</f>
        <v>0.34615384615384615</v>
      </c>
      <c r="E72" s="47">
        <v>12</v>
      </c>
      <c r="F72" s="48">
        <f>IF(K72&gt;0,E72/K72,0)</f>
        <v>0.46153846153846156</v>
      </c>
      <c r="G72" s="47">
        <v>5</v>
      </c>
      <c r="H72" s="48">
        <f>IF(K72&gt;0,G72/K72,0)</f>
        <v>0.19230769230769232</v>
      </c>
      <c r="I72" s="47">
        <v>0</v>
      </c>
      <c r="J72" s="48">
        <f>IF(K72&gt;0,I72/K72,0)</f>
        <v>0</v>
      </c>
      <c r="K72" s="47">
        <v>26</v>
      </c>
      <c r="N72" s="46" t="s">
        <v>94</v>
      </c>
      <c r="O72" s="46" t="s">
        <v>130</v>
      </c>
      <c r="P72" s="49">
        <v>7</v>
      </c>
      <c r="Q72" s="48">
        <f>IF(X72&gt;0,P72/X72,0)</f>
        <v>0.29166666666666669</v>
      </c>
      <c r="R72" s="49">
        <v>13</v>
      </c>
      <c r="S72" s="48">
        <f>IF(X72&gt;0,R72/X72,0)</f>
        <v>0.54166666666666663</v>
      </c>
      <c r="T72" s="49">
        <v>3</v>
      </c>
      <c r="U72" s="48">
        <f>IF(X72&gt;0,T72/X72,0)</f>
        <v>0.125</v>
      </c>
      <c r="V72" s="49">
        <v>1</v>
      </c>
      <c r="W72" s="48">
        <f>IF(X72&gt;0,V72/X72,0)</f>
        <v>4.1666666666666664E-2</v>
      </c>
      <c r="X72" s="49">
        <v>24</v>
      </c>
      <c r="AA72" s="44" t="s">
        <v>131</v>
      </c>
      <c r="AB72" s="53">
        <v>0.59</v>
      </c>
      <c r="AD72" s="43" t="s">
        <v>132</v>
      </c>
      <c r="AE72" s="53">
        <v>0.32</v>
      </c>
      <c r="AF72" s="51">
        <v>25</v>
      </c>
      <c r="AG72" s="51">
        <v>12</v>
      </c>
      <c r="AH72" s="53">
        <v>0.48</v>
      </c>
      <c r="AI72" s="53">
        <v>0.16</v>
      </c>
    </row>
    <row r="73" spans="1:35" ht="21.75" customHeight="1" x14ac:dyDescent="0.3">
      <c r="A73" s="43" t="s">
        <v>97</v>
      </c>
      <c r="B73" s="50"/>
      <c r="C73" s="51">
        <v>6</v>
      </c>
      <c r="D73" s="48">
        <f>IF(C72&gt;0,C73/C72,0)</f>
        <v>0.66666666666666663</v>
      </c>
      <c r="E73" s="51">
        <v>7</v>
      </c>
      <c r="F73" s="48">
        <f>IF(E72&gt;0,E73/E72,0)</f>
        <v>0.58333333333333337</v>
      </c>
      <c r="G73" s="51">
        <v>2</v>
      </c>
      <c r="H73" s="48">
        <f>IF(G72&gt;0,G73/G72,0)</f>
        <v>0.4</v>
      </c>
      <c r="I73" s="51">
        <v>0</v>
      </c>
      <c r="J73" s="48">
        <f>IF(I72&gt;0,I73/I72,0)</f>
        <v>0</v>
      </c>
      <c r="K73" s="51"/>
      <c r="N73" s="46" t="s">
        <v>94</v>
      </c>
      <c r="O73" s="50"/>
      <c r="P73" s="52">
        <v>4</v>
      </c>
      <c r="Q73" s="48">
        <f>IF(P72&gt;0,P73/P72,0)</f>
        <v>0.5714285714285714</v>
      </c>
      <c r="R73" s="52">
        <v>6</v>
      </c>
      <c r="S73" s="48">
        <f>IF(R72&gt;0,R73/R72,0)</f>
        <v>0.46153846153846156</v>
      </c>
      <c r="T73" s="52">
        <v>1</v>
      </c>
      <c r="U73" s="48">
        <f>IF(T72&gt;0,T73/T72,0)</f>
        <v>0.33333333333333331</v>
      </c>
      <c r="V73" s="52">
        <v>0</v>
      </c>
      <c r="W73" s="48">
        <f>IF(V72&gt;0,V73/V72,0)</f>
        <v>0</v>
      </c>
      <c r="X73" s="52"/>
      <c r="AA73" s="44" t="s">
        <v>133</v>
      </c>
      <c r="AB73" s="53">
        <v>0.16</v>
      </c>
      <c r="AD73" s="43" t="s">
        <v>134</v>
      </c>
      <c r="AE73" s="53">
        <v>0.33</v>
      </c>
      <c r="AF73" s="51">
        <v>24</v>
      </c>
      <c r="AG73" s="51">
        <v>13</v>
      </c>
      <c r="AH73" s="53">
        <v>0.54</v>
      </c>
      <c r="AI73" s="53">
        <v>0.21</v>
      </c>
    </row>
    <row r="74" spans="1:35" ht="21.75" customHeight="1" x14ac:dyDescent="0.3">
      <c r="A74" s="43" t="s">
        <v>97</v>
      </c>
      <c r="B74" s="43" t="s">
        <v>132</v>
      </c>
      <c r="C74" s="47">
        <v>9</v>
      </c>
      <c r="D74" s="48">
        <f>IF(K74&gt;0,C74/K74,0)</f>
        <v>0.36</v>
      </c>
      <c r="E74" s="47">
        <v>10</v>
      </c>
      <c r="F74" s="48">
        <f>IF(K74&gt;0,E74/K74,0)</f>
        <v>0.4</v>
      </c>
      <c r="G74" s="47">
        <v>6</v>
      </c>
      <c r="H74" s="48">
        <f>IF(K74&gt;0,G74/K74,0)</f>
        <v>0.24</v>
      </c>
      <c r="I74" s="47">
        <v>0</v>
      </c>
      <c r="J74" s="48">
        <f>IF(K74&gt;0,I74/K74,0)</f>
        <v>0</v>
      </c>
      <c r="K74" s="47">
        <v>25</v>
      </c>
      <c r="N74" s="46" t="s">
        <v>94</v>
      </c>
      <c r="O74" s="46" t="s">
        <v>132</v>
      </c>
      <c r="P74" s="49">
        <v>9</v>
      </c>
      <c r="Q74" s="48">
        <f>IF(X74&gt;0,P74/X74,0)</f>
        <v>0.5</v>
      </c>
      <c r="R74" s="49">
        <v>7</v>
      </c>
      <c r="S74" s="48">
        <f>IF(X74&gt;0,R74/X74,0)</f>
        <v>0.3888888888888889</v>
      </c>
      <c r="T74" s="49">
        <v>2</v>
      </c>
      <c r="U74" s="48">
        <f>IF(X74&gt;0,T74/X74,0)</f>
        <v>0.1111111111111111</v>
      </c>
      <c r="V74" s="49">
        <v>0</v>
      </c>
      <c r="W74" s="48">
        <f>IF(X74&gt;0,V74/X74,0)</f>
        <v>0</v>
      </c>
      <c r="X74" s="49">
        <v>18</v>
      </c>
      <c r="AA74" s="44" t="s">
        <v>135</v>
      </c>
      <c r="AB74" s="53">
        <v>0.16</v>
      </c>
      <c r="AD74" s="43" t="s">
        <v>136</v>
      </c>
      <c r="AE74" s="53">
        <v>0.44</v>
      </c>
      <c r="AF74" s="51">
        <v>18</v>
      </c>
      <c r="AG74" s="51">
        <v>9</v>
      </c>
      <c r="AH74" s="53">
        <v>0.5</v>
      </c>
      <c r="AI74" s="53">
        <v>0.06</v>
      </c>
    </row>
    <row r="75" spans="1:35" ht="21.75" customHeight="1" x14ac:dyDescent="0.3">
      <c r="A75" s="43" t="s">
        <v>97</v>
      </c>
      <c r="B75" s="50"/>
      <c r="C75" s="51">
        <v>5</v>
      </c>
      <c r="D75" s="48">
        <f>IF(C74&gt;0,C75/C74,0)</f>
        <v>0.55555555555555558</v>
      </c>
      <c r="E75" s="51">
        <v>4</v>
      </c>
      <c r="F75" s="48">
        <f>IF(E74&gt;0,E75/E74,0)</f>
        <v>0.4</v>
      </c>
      <c r="G75" s="51">
        <v>3</v>
      </c>
      <c r="H75" s="48">
        <f>IF(G74&gt;0,G75/G74,0)</f>
        <v>0.5</v>
      </c>
      <c r="I75" s="51">
        <v>0</v>
      </c>
      <c r="J75" s="48">
        <f>IF(I74&gt;0,I75/I74,0)</f>
        <v>0</v>
      </c>
      <c r="K75" s="51"/>
      <c r="N75" s="46" t="s">
        <v>94</v>
      </c>
      <c r="O75" s="50"/>
      <c r="P75" s="52">
        <v>4</v>
      </c>
      <c r="Q75" s="48">
        <f>IF(P74&gt;0,P75/P74,0)</f>
        <v>0.44444444444444442</v>
      </c>
      <c r="R75" s="52">
        <v>5</v>
      </c>
      <c r="S75" s="48">
        <f>IF(R74&gt;0,R75/R74,0)</f>
        <v>0.7142857142857143</v>
      </c>
      <c r="T75" s="52">
        <v>1</v>
      </c>
      <c r="U75" s="48">
        <f>IF(T74&gt;0,T75/T74,0)</f>
        <v>0.5</v>
      </c>
      <c r="V75" s="52">
        <v>0</v>
      </c>
      <c r="W75" s="48">
        <f>IF(V74&gt;0,V75/V74,0)</f>
        <v>0</v>
      </c>
      <c r="X75" s="52"/>
      <c r="AD75" s="43" t="s">
        <v>137</v>
      </c>
      <c r="AE75" s="53">
        <v>0.36</v>
      </c>
      <c r="AF75" s="51">
        <v>147</v>
      </c>
      <c r="AG75" s="51">
        <v>75</v>
      </c>
      <c r="AH75" s="53">
        <v>0.51</v>
      </c>
      <c r="AI75" s="53">
        <v>0.15</v>
      </c>
    </row>
    <row r="76" spans="1:35" ht="21.75" customHeight="1" x14ac:dyDescent="0.3">
      <c r="A76" s="43" t="s">
        <v>97</v>
      </c>
      <c r="B76" s="43" t="s">
        <v>134</v>
      </c>
      <c r="C76" s="47">
        <v>10</v>
      </c>
      <c r="D76" s="48">
        <f>IF(K76&gt;0,C76/K76,0)</f>
        <v>0.41666666666666669</v>
      </c>
      <c r="E76" s="47">
        <v>8</v>
      </c>
      <c r="F76" s="48">
        <f>IF(K76&gt;0,E76/K76,0)</f>
        <v>0.33333333333333331</v>
      </c>
      <c r="G76" s="47">
        <v>5</v>
      </c>
      <c r="H76" s="48">
        <f>IF(K76&gt;0,G76/K76,0)</f>
        <v>0.20833333333333334</v>
      </c>
      <c r="I76" s="47">
        <v>0</v>
      </c>
      <c r="J76" s="48">
        <f>IF(K76&gt;0,I76/K76,0)</f>
        <v>0</v>
      </c>
      <c r="K76" s="47">
        <v>24</v>
      </c>
      <c r="N76" s="46" t="s">
        <v>94</v>
      </c>
      <c r="O76" s="46" t="s">
        <v>134</v>
      </c>
      <c r="P76" s="49">
        <v>4</v>
      </c>
      <c r="Q76" s="48">
        <f>IF(X76&gt;0,P76/X76,0)</f>
        <v>0.30769230769230771</v>
      </c>
      <c r="R76" s="49">
        <v>5</v>
      </c>
      <c r="S76" s="48">
        <f>IF(X76&gt;0,R76/X76,0)</f>
        <v>0.38461538461538464</v>
      </c>
      <c r="T76" s="49">
        <v>1</v>
      </c>
      <c r="U76" s="48">
        <f>IF(X76&gt;0,T76/X76,0)</f>
        <v>7.6923076923076927E-2</v>
      </c>
      <c r="V76" s="49">
        <v>2</v>
      </c>
      <c r="W76" s="48">
        <f>IF(X76&gt;0,V76/X76,0)</f>
        <v>0.15384615384615385</v>
      </c>
      <c r="X76" s="49">
        <v>13</v>
      </c>
      <c r="AD76" s="43" t="s">
        <v>138</v>
      </c>
      <c r="AE76" s="53">
        <v>0.16</v>
      </c>
      <c r="AF76" s="51">
        <v>122</v>
      </c>
      <c r="AG76" s="51">
        <v>44</v>
      </c>
      <c r="AH76" s="53">
        <v>0.36</v>
      </c>
      <c r="AI76" s="53">
        <v>0.2</v>
      </c>
    </row>
    <row r="77" spans="1:35" ht="21.75" customHeight="1" x14ac:dyDescent="0.3">
      <c r="A77" s="43" t="s">
        <v>97</v>
      </c>
      <c r="B77" s="50"/>
      <c r="C77" s="51">
        <v>5</v>
      </c>
      <c r="D77" s="48">
        <f>IF(C76&gt;0,C77/C76,0)</f>
        <v>0.5</v>
      </c>
      <c r="E77" s="51">
        <v>6</v>
      </c>
      <c r="F77" s="48">
        <f>IF(E76&gt;0,E77/E76,0)</f>
        <v>0.75</v>
      </c>
      <c r="G77" s="51">
        <v>2</v>
      </c>
      <c r="H77" s="48">
        <f>IF(G76&gt;0,G77/G76,0)</f>
        <v>0.4</v>
      </c>
      <c r="I77" s="51">
        <v>0</v>
      </c>
      <c r="J77" s="48">
        <f>IF(I76&gt;0,I77/I76,0)</f>
        <v>0</v>
      </c>
      <c r="K77" s="51"/>
      <c r="N77" s="46" t="s">
        <v>94</v>
      </c>
      <c r="O77" s="50"/>
      <c r="P77" s="52">
        <v>1</v>
      </c>
      <c r="Q77" s="48">
        <f>IF(P76&gt;0,P77/P76,0)</f>
        <v>0.25</v>
      </c>
      <c r="R77" s="52">
        <v>2</v>
      </c>
      <c r="S77" s="48">
        <f>IF(R76&gt;0,R77/R76,0)</f>
        <v>0.4</v>
      </c>
      <c r="T77" s="52">
        <v>0</v>
      </c>
      <c r="U77" s="48">
        <f>IF(T76&gt;0,T77/T76,0)</f>
        <v>0</v>
      </c>
      <c r="V77" s="52">
        <v>1</v>
      </c>
      <c r="W77" s="48">
        <f>IF(V76&gt;0,V77/V76,0)</f>
        <v>0.5</v>
      </c>
      <c r="X77" s="52"/>
      <c r="AE77" s="54"/>
      <c r="AH77" s="54"/>
      <c r="AI77" s="54"/>
    </row>
    <row r="78" spans="1:35" ht="24" customHeight="1" x14ac:dyDescent="0.3">
      <c r="A78" s="43" t="s">
        <v>97</v>
      </c>
      <c r="B78" s="43" t="s">
        <v>136</v>
      </c>
      <c r="C78" s="47">
        <v>6</v>
      </c>
      <c r="D78" s="48">
        <f>IF(K78&gt;0,C78/K78,0)</f>
        <v>0.33333333333333331</v>
      </c>
      <c r="E78" s="47">
        <v>8</v>
      </c>
      <c r="F78" s="48">
        <f>IF(K78&gt;0,E78/K78,0)</f>
        <v>0.44444444444444442</v>
      </c>
      <c r="G78" s="47">
        <v>3</v>
      </c>
      <c r="H78" s="48">
        <f>IF(K78&gt;0,G78/K78,0)</f>
        <v>0.16666666666666666</v>
      </c>
      <c r="I78" s="47">
        <v>1</v>
      </c>
      <c r="J78" s="48">
        <f>IF(K78&gt;0,I78/K78,0)</f>
        <v>5.5555555555555552E-2</v>
      </c>
      <c r="K78" s="47">
        <v>18</v>
      </c>
      <c r="N78" s="46" t="s">
        <v>94</v>
      </c>
      <c r="O78" s="46" t="s">
        <v>136</v>
      </c>
      <c r="P78" s="49">
        <v>4</v>
      </c>
      <c r="Q78" s="48">
        <f>IF(X78&gt;0,P78/X78,0)</f>
        <v>0.33333333333333331</v>
      </c>
      <c r="R78" s="49">
        <v>4</v>
      </c>
      <c r="S78" s="48">
        <f>IF(X78&gt;0,R78/X78,0)</f>
        <v>0.33333333333333331</v>
      </c>
      <c r="T78" s="49">
        <v>3</v>
      </c>
      <c r="U78" s="48">
        <f>IF(X78&gt;0,T78/X78,0)</f>
        <v>0.25</v>
      </c>
      <c r="V78" s="49">
        <v>1</v>
      </c>
      <c r="W78" s="48">
        <f>IF(X78&gt;0,V78/X78,0)</f>
        <v>8.3333333333333329E-2</v>
      </c>
      <c r="X78" s="49">
        <v>12</v>
      </c>
      <c r="AA78" s="46"/>
      <c r="AB78" s="44" t="s">
        <v>101</v>
      </c>
      <c r="AD78" s="46" t="s">
        <v>94</v>
      </c>
      <c r="AE78" s="55" t="s">
        <v>101</v>
      </c>
      <c r="AF78" s="44" t="s">
        <v>102</v>
      </c>
      <c r="AG78" s="44" t="s">
        <v>26</v>
      </c>
      <c r="AH78" s="55" t="s">
        <v>106</v>
      </c>
      <c r="AI78" s="55" t="s">
        <v>125</v>
      </c>
    </row>
    <row r="79" spans="1:35" ht="21.75" customHeight="1" x14ac:dyDescent="0.3">
      <c r="A79" s="43" t="s">
        <v>97</v>
      </c>
      <c r="B79" s="50"/>
      <c r="C79" s="51">
        <v>1</v>
      </c>
      <c r="D79" s="48">
        <f>IF(C78&gt;0,C79/C78,0)</f>
        <v>0.16666666666666666</v>
      </c>
      <c r="E79" s="51">
        <v>6</v>
      </c>
      <c r="F79" s="48">
        <f>IF(E78&gt;0,E79/E78,0)</f>
        <v>0.75</v>
      </c>
      <c r="G79" s="51">
        <v>2</v>
      </c>
      <c r="H79" s="48">
        <f>IF(G78&gt;0,G79/G78,0)</f>
        <v>0.66666666666666663</v>
      </c>
      <c r="I79" s="51">
        <v>0</v>
      </c>
      <c r="J79" s="48">
        <f>IF(I78&gt;0,I79/I78,0)</f>
        <v>0</v>
      </c>
      <c r="K79" s="51"/>
      <c r="N79" s="46" t="s">
        <v>94</v>
      </c>
      <c r="O79" s="50"/>
      <c r="P79" s="52">
        <v>3</v>
      </c>
      <c r="Q79" s="48">
        <f>IF(P78&gt;0,P79/P78,0)</f>
        <v>0.75</v>
      </c>
      <c r="R79" s="52">
        <v>3</v>
      </c>
      <c r="S79" s="48">
        <f>IF(R78&gt;0,R79/R78,0)</f>
        <v>0.75</v>
      </c>
      <c r="T79" s="52">
        <v>3</v>
      </c>
      <c r="U79" s="48">
        <f>IF(T78&gt;0,T79/T78,0)</f>
        <v>1</v>
      </c>
      <c r="V79" s="52">
        <v>1</v>
      </c>
      <c r="W79" s="48">
        <f>IF(V78&gt;0,V79/V78,0)</f>
        <v>1</v>
      </c>
      <c r="X79" s="52"/>
      <c r="AA79" s="44" t="s">
        <v>126</v>
      </c>
      <c r="AB79" s="53">
        <v>0.28999999999999998</v>
      </c>
      <c r="AD79" s="46" t="s">
        <v>124</v>
      </c>
      <c r="AE79" s="53">
        <v>-0.04</v>
      </c>
      <c r="AF79" s="51">
        <v>27</v>
      </c>
      <c r="AG79" s="51">
        <v>7</v>
      </c>
      <c r="AH79" s="53">
        <v>0.26</v>
      </c>
      <c r="AI79" s="53">
        <v>0.3</v>
      </c>
    </row>
    <row r="80" spans="1:35" ht="21.75" customHeight="1" x14ac:dyDescent="0.3">
      <c r="A80" s="162" t="s">
        <v>139</v>
      </c>
      <c r="B80" s="163"/>
      <c r="C80" s="163"/>
      <c r="D80" s="163"/>
      <c r="E80" s="163"/>
      <c r="F80" s="164"/>
      <c r="G80" s="157" t="s">
        <v>140</v>
      </c>
      <c r="H80" s="158"/>
      <c r="I80" s="158"/>
      <c r="J80" s="158"/>
      <c r="K80" s="158"/>
      <c r="L80" s="158"/>
      <c r="N80" s="162" t="s">
        <v>139</v>
      </c>
      <c r="O80" s="163"/>
      <c r="P80" s="163"/>
      <c r="Q80" s="163"/>
      <c r="R80" s="163"/>
      <c r="S80" s="164"/>
      <c r="T80" s="157" t="s">
        <v>140</v>
      </c>
      <c r="U80" s="158"/>
      <c r="V80" s="158"/>
      <c r="W80" s="158"/>
      <c r="X80" s="158"/>
      <c r="Y80" s="158"/>
      <c r="AA80" s="44" t="s">
        <v>128</v>
      </c>
      <c r="AB80" s="53">
        <v>0.31</v>
      </c>
      <c r="AD80" s="46" t="s">
        <v>127</v>
      </c>
      <c r="AE80" s="53">
        <v>0.56000000000000005</v>
      </c>
      <c r="AF80" s="51">
        <v>27</v>
      </c>
      <c r="AG80" s="51">
        <v>16</v>
      </c>
      <c r="AH80" s="53">
        <v>0.59</v>
      </c>
      <c r="AI80" s="53">
        <v>0.04</v>
      </c>
    </row>
    <row r="81" spans="1:48" ht="21.75" customHeight="1" x14ac:dyDescent="0.3">
      <c r="A81" s="56">
        <v>54</v>
      </c>
      <c r="B81" s="57"/>
      <c r="C81" s="58">
        <v>55</v>
      </c>
      <c r="D81" s="57"/>
      <c r="E81" s="58">
        <v>20</v>
      </c>
      <c r="F81" s="57"/>
      <c r="G81" s="56">
        <v>60</v>
      </c>
      <c r="H81" s="57"/>
      <c r="I81" s="56">
        <v>19</v>
      </c>
      <c r="J81" s="57"/>
      <c r="K81" s="56">
        <v>22</v>
      </c>
      <c r="L81" s="57"/>
      <c r="N81" s="56">
        <v>45</v>
      </c>
      <c r="O81" s="57"/>
      <c r="P81" s="58">
        <v>46</v>
      </c>
      <c r="Q81" s="57"/>
      <c r="R81" s="58">
        <v>17</v>
      </c>
      <c r="S81" s="57"/>
      <c r="T81" s="56">
        <v>52</v>
      </c>
      <c r="U81" s="57"/>
      <c r="V81" s="56">
        <v>14</v>
      </c>
      <c r="W81" s="57"/>
      <c r="X81" s="56">
        <v>15</v>
      </c>
      <c r="Y81" s="57"/>
      <c r="AA81" s="44" t="s">
        <v>129</v>
      </c>
      <c r="AB81" s="53">
        <v>0.35</v>
      </c>
      <c r="AD81" s="46" t="s">
        <v>130</v>
      </c>
      <c r="AE81" s="53">
        <v>0.28999999999999998</v>
      </c>
      <c r="AF81" s="51">
        <v>24</v>
      </c>
      <c r="AG81" s="51">
        <v>11</v>
      </c>
      <c r="AH81" s="53">
        <v>0.46</v>
      </c>
      <c r="AI81" s="53">
        <v>0.17</v>
      </c>
    </row>
    <row r="82" spans="1:48" ht="21.75" customHeight="1" x14ac:dyDescent="0.3">
      <c r="A82" s="59">
        <v>24</v>
      </c>
      <c r="B82" s="60">
        <v>0.44</v>
      </c>
      <c r="C82" s="61">
        <v>32</v>
      </c>
      <c r="D82" s="60">
        <v>0.57999999999999996</v>
      </c>
      <c r="E82" s="61">
        <v>10</v>
      </c>
      <c r="F82" s="60">
        <v>0.5</v>
      </c>
      <c r="G82" s="59">
        <v>23</v>
      </c>
      <c r="H82" s="60">
        <v>0.38</v>
      </c>
      <c r="I82" s="59">
        <v>7</v>
      </c>
      <c r="J82" s="60">
        <v>0.37</v>
      </c>
      <c r="K82" s="59">
        <v>6</v>
      </c>
      <c r="L82" s="60">
        <v>0.27</v>
      </c>
      <c r="N82" s="59">
        <v>21</v>
      </c>
      <c r="O82" s="60">
        <v>0.47</v>
      </c>
      <c r="P82" s="61">
        <v>26</v>
      </c>
      <c r="Q82" s="60">
        <v>0.56999999999999995</v>
      </c>
      <c r="R82" s="61">
        <v>5</v>
      </c>
      <c r="S82" s="60">
        <v>0.28999999999999998</v>
      </c>
      <c r="T82" s="59">
        <v>20</v>
      </c>
      <c r="U82" s="60">
        <v>0.38</v>
      </c>
      <c r="V82" s="59">
        <v>9</v>
      </c>
      <c r="W82" s="60">
        <v>0.64</v>
      </c>
      <c r="X82" s="59">
        <v>5</v>
      </c>
      <c r="Y82" s="60">
        <v>0.33</v>
      </c>
      <c r="AA82" s="44" t="s">
        <v>131</v>
      </c>
      <c r="AB82" s="53">
        <v>0.15</v>
      </c>
      <c r="AD82" s="46" t="s">
        <v>132</v>
      </c>
      <c r="AE82" s="53">
        <v>0.33</v>
      </c>
      <c r="AF82" s="51">
        <v>18</v>
      </c>
      <c r="AG82" s="51">
        <v>10</v>
      </c>
      <c r="AH82" s="53">
        <v>0.56000000000000005</v>
      </c>
      <c r="AI82" s="53">
        <v>0.22</v>
      </c>
    </row>
    <row r="83" spans="1:48" ht="21.75" customHeight="1" x14ac:dyDescent="0.3">
      <c r="A83" s="62"/>
      <c r="B83" s="63"/>
      <c r="C83" s="58">
        <v>3</v>
      </c>
      <c r="D83" s="57"/>
      <c r="E83" s="64">
        <v>14</v>
      </c>
      <c r="F83" s="57"/>
      <c r="G83" s="56"/>
      <c r="H83" s="57"/>
      <c r="I83" s="64">
        <v>6</v>
      </c>
      <c r="J83" s="65"/>
      <c r="K83" s="56">
        <v>15</v>
      </c>
      <c r="L83" s="57"/>
      <c r="N83" s="62"/>
      <c r="O83" s="63"/>
      <c r="P83" s="58">
        <v>6</v>
      </c>
      <c r="Q83" s="57"/>
      <c r="R83" s="64">
        <v>6</v>
      </c>
      <c r="S83" s="57"/>
      <c r="T83" s="56"/>
      <c r="U83" s="57"/>
      <c r="V83" s="64">
        <v>6</v>
      </c>
      <c r="W83" s="65"/>
      <c r="X83" s="56">
        <v>15</v>
      </c>
      <c r="Y83" s="57"/>
      <c r="AA83" s="44" t="s">
        <v>133</v>
      </c>
      <c r="AB83" s="53">
        <v>0.31</v>
      </c>
      <c r="AD83" s="46" t="s">
        <v>134</v>
      </c>
      <c r="AE83" s="53">
        <v>0.23</v>
      </c>
      <c r="AF83" s="51">
        <v>13</v>
      </c>
      <c r="AG83" s="51">
        <v>5</v>
      </c>
      <c r="AH83" s="53">
        <v>0.38</v>
      </c>
      <c r="AI83" s="53">
        <v>0.15</v>
      </c>
    </row>
    <row r="84" spans="1:48" ht="21.75" customHeight="1" x14ac:dyDescent="0.3">
      <c r="A84" s="66"/>
      <c r="B84" s="67"/>
      <c r="C84" s="61">
        <v>2</v>
      </c>
      <c r="D84" s="60">
        <v>0.67</v>
      </c>
      <c r="E84" s="68">
        <v>7</v>
      </c>
      <c r="F84" s="69">
        <v>0.5</v>
      </c>
      <c r="G84" s="59"/>
      <c r="H84" s="60"/>
      <c r="I84" s="68">
        <v>2</v>
      </c>
      <c r="J84" s="70">
        <v>0.33</v>
      </c>
      <c r="K84" s="59">
        <v>6</v>
      </c>
      <c r="L84" s="60">
        <v>0.4</v>
      </c>
      <c r="N84" s="66"/>
      <c r="O84" s="67"/>
      <c r="P84" s="61">
        <v>2</v>
      </c>
      <c r="Q84" s="60">
        <v>0.33</v>
      </c>
      <c r="R84" s="68">
        <v>4</v>
      </c>
      <c r="S84" s="69">
        <v>0.67</v>
      </c>
      <c r="T84" s="59"/>
      <c r="U84" s="60"/>
      <c r="V84" s="68">
        <v>2</v>
      </c>
      <c r="W84" s="70">
        <v>0.33</v>
      </c>
      <c r="X84" s="59">
        <v>9</v>
      </c>
      <c r="Y84" s="60">
        <v>0.6</v>
      </c>
      <c r="AA84" s="44" t="s">
        <v>135</v>
      </c>
      <c r="AB84" s="53">
        <v>0.3</v>
      </c>
      <c r="AD84" s="46" t="s">
        <v>136</v>
      </c>
      <c r="AE84" s="53">
        <v>0.83</v>
      </c>
      <c r="AF84" s="51">
        <v>12</v>
      </c>
      <c r="AG84" s="51">
        <v>10</v>
      </c>
      <c r="AH84" s="53">
        <v>0.83</v>
      </c>
      <c r="AI84" s="53">
        <v>0</v>
      </c>
    </row>
    <row r="85" spans="1:48" ht="21.75" customHeight="1" x14ac:dyDescent="0.3">
      <c r="A85" s="71"/>
      <c r="B85" s="72"/>
      <c r="AD85" s="46" t="s">
        <v>137</v>
      </c>
      <c r="AE85" s="53">
        <v>0.33</v>
      </c>
      <c r="AF85" s="51">
        <v>121</v>
      </c>
      <c r="AG85" s="51">
        <v>59</v>
      </c>
      <c r="AH85" s="53">
        <v>0.49</v>
      </c>
      <c r="AI85" s="53">
        <v>0.16</v>
      </c>
    </row>
    <row r="86" spans="1:48" ht="21.75" customHeight="1" x14ac:dyDescent="0.3">
      <c r="D86" s="73"/>
      <c r="AD86" s="46" t="s">
        <v>138</v>
      </c>
      <c r="AE86" s="53">
        <v>0.3</v>
      </c>
      <c r="AF86" s="51">
        <v>103</v>
      </c>
      <c r="AG86" s="51">
        <v>45</v>
      </c>
      <c r="AH86" s="53">
        <v>0.44</v>
      </c>
      <c r="AI86" s="53">
        <v>0.14000000000000001</v>
      </c>
    </row>
    <row r="89" spans="1:48" ht="14.25" customHeight="1" x14ac:dyDescent="0.3">
      <c r="A89" s="74"/>
      <c r="B89" s="75" t="s">
        <v>142</v>
      </c>
      <c r="C89" s="75" t="s">
        <v>102</v>
      </c>
      <c r="D89" s="75" t="s">
        <v>143</v>
      </c>
      <c r="E89" s="75" t="s">
        <v>26</v>
      </c>
      <c r="F89" s="12" t="s">
        <v>103</v>
      </c>
      <c r="G89" s="74" t="s">
        <v>104</v>
      </c>
      <c r="H89" s="75" t="s">
        <v>105</v>
      </c>
      <c r="I89" s="74"/>
      <c r="J89" s="75" t="s">
        <v>142</v>
      </c>
      <c r="K89" s="75" t="s">
        <v>102</v>
      </c>
      <c r="L89" s="75" t="s">
        <v>143</v>
      </c>
      <c r="M89" s="75" t="s">
        <v>26</v>
      </c>
      <c r="N89" s="12" t="s">
        <v>103</v>
      </c>
      <c r="O89" s="74" t="s">
        <v>104</v>
      </c>
      <c r="P89" s="75" t="s">
        <v>105</v>
      </c>
      <c r="Q89" s="74"/>
      <c r="R89" s="75" t="s">
        <v>142</v>
      </c>
      <c r="S89" s="75" t="s">
        <v>102</v>
      </c>
      <c r="T89" s="75" t="s">
        <v>143</v>
      </c>
      <c r="U89" s="75" t="s">
        <v>26</v>
      </c>
      <c r="V89" s="75" t="s">
        <v>103</v>
      </c>
      <c r="W89" s="75" t="s">
        <v>104</v>
      </c>
      <c r="X89" s="12" t="s">
        <v>105</v>
      </c>
      <c r="Y89" s="74"/>
      <c r="Z89" s="75" t="s">
        <v>142</v>
      </c>
      <c r="AA89" s="75" t="s">
        <v>102</v>
      </c>
      <c r="AB89" s="75" t="s">
        <v>143</v>
      </c>
      <c r="AC89" s="75" t="s">
        <v>26</v>
      </c>
      <c r="AD89" s="12" t="s">
        <v>103</v>
      </c>
      <c r="AE89" s="74" t="s">
        <v>104</v>
      </c>
      <c r="AF89" s="75" t="s">
        <v>105</v>
      </c>
      <c r="AG89" s="74"/>
      <c r="AH89" s="75" t="s">
        <v>142</v>
      </c>
      <c r="AI89" s="75" t="s">
        <v>102</v>
      </c>
      <c r="AJ89" s="75" t="s">
        <v>143</v>
      </c>
      <c r="AK89" s="75" t="s">
        <v>26</v>
      </c>
      <c r="AL89" s="75" t="s">
        <v>103</v>
      </c>
      <c r="AM89" s="75" t="s">
        <v>104</v>
      </c>
      <c r="AN89" s="12" t="s">
        <v>105</v>
      </c>
      <c r="AO89" s="74"/>
      <c r="AP89" s="75" t="s">
        <v>142</v>
      </c>
      <c r="AQ89" s="75" t="s">
        <v>102</v>
      </c>
      <c r="AR89" s="75" t="s">
        <v>143</v>
      </c>
      <c r="AS89" s="75" t="s">
        <v>26</v>
      </c>
      <c r="AT89" s="75" t="s">
        <v>103</v>
      </c>
      <c r="AU89" s="75" t="s">
        <v>104</v>
      </c>
      <c r="AV89" s="12" t="s">
        <v>105</v>
      </c>
    </row>
    <row r="90" spans="1:48" ht="14.25" customHeight="1" x14ac:dyDescent="0.3">
      <c r="A90" s="76" t="s">
        <v>144</v>
      </c>
      <c r="B90" s="10" t="s">
        <v>145</v>
      </c>
      <c r="C90" s="77">
        <v>39</v>
      </c>
      <c r="D90" s="79">
        <v>0.2384</v>
      </c>
      <c r="E90" s="77">
        <v>15</v>
      </c>
      <c r="F90" s="78">
        <v>15</v>
      </c>
      <c r="G90" s="78">
        <v>0</v>
      </c>
      <c r="H90" s="77">
        <v>2</v>
      </c>
      <c r="I90" s="76" t="s">
        <v>146</v>
      </c>
      <c r="J90" s="10" t="s">
        <v>145</v>
      </c>
      <c r="K90" s="77">
        <v>28</v>
      </c>
      <c r="L90" s="79">
        <v>0.16070000000000001</v>
      </c>
      <c r="M90" s="77">
        <v>4</v>
      </c>
      <c r="N90" s="78">
        <v>6</v>
      </c>
      <c r="O90" s="78">
        <v>3</v>
      </c>
      <c r="P90" s="77">
        <v>1</v>
      </c>
      <c r="Q90" s="76" t="s">
        <v>87</v>
      </c>
      <c r="R90" s="10" t="s">
        <v>145</v>
      </c>
      <c r="S90" s="77">
        <v>0</v>
      </c>
      <c r="T90" s="10" t="s">
        <v>80</v>
      </c>
      <c r="U90" s="77">
        <v>0</v>
      </c>
      <c r="V90" s="77">
        <v>0</v>
      </c>
      <c r="W90" s="77">
        <v>0</v>
      </c>
      <c r="X90" s="78">
        <v>0</v>
      </c>
      <c r="Y90" s="76" t="s">
        <v>85</v>
      </c>
      <c r="Z90" s="10" t="s">
        <v>145</v>
      </c>
      <c r="AA90" s="77">
        <v>7</v>
      </c>
      <c r="AB90" s="79">
        <v>0.5</v>
      </c>
      <c r="AC90" s="77">
        <v>2</v>
      </c>
      <c r="AD90" s="78">
        <v>3</v>
      </c>
      <c r="AE90" s="78">
        <v>0</v>
      </c>
      <c r="AF90" s="77">
        <v>0</v>
      </c>
      <c r="AG90" s="76" t="s">
        <v>86</v>
      </c>
      <c r="AH90" s="10" t="s">
        <v>145</v>
      </c>
      <c r="AI90" s="77">
        <v>8</v>
      </c>
      <c r="AJ90" s="79">
        <v>0.4375</v>
      </c>
      <c r="AK90" s="77">
        <v>2</v>
      </c>
      <c r="AL90" s="77">
        <v>3</v>
      </c>
      <c r="AM90" s="77">
        <v>0</v>
      </c>
      <c r="AN90" s="78">
        <v>0</v>
      </c>
      <c r="AO90" s="76" t="s">
        <v>88</v>
      </c>
      <c r="AP90" s="10" t="s">
        <v>145</v>
      </c>
      <c r="AQ90" s="77">
        <v>1</v>
      </c>
      <c r="AR90" s="77">
        <v>1</v>
      </c>
      <c r="AS90" s="77">
        <v>1</v>
      </c>
      <c r="AT90" s="77">
        <v>0</v>
      </c>
      <c r="AU90" s="77">
        <v>0</v>
      </c>
      <c r="AV90" s="78">
        <v>0</v>
      </c>
    </row>
    <row r="91" spans="1:48" ht="14.25" customHeight="1" x14ac:dyDescent="0.3">
      <c r="A91" s="76" t="s">
        <v>144</v>
      </c>
      <c r="B91" s="10" t="s">
        <v>147</v>
      </c>
      <c r="C91" s="77">
        <v>39</v>
      </c>
      <c r="D91" s="79">
        <v>0.51280000000000003</v>
      </c>
      <c r="E91" s="77">
        <v>17</v>
      </c>
      <c r="F91" s="78">
        <v>10</v>
      </c>
      <c r="G91" s="80">
        <v>2</v>
      </c>
      <c r="H91" s="77">
        <v>1</v>
      </c>
      <c r="I91" s="76" t="s">
        <v>146</v>
      </c>
      <c r="J91" s="10" t="s">
        <v>147</v>
      </c>
      <c r="K91" s="77">
        <v>25</v>
      </c>
      <c r="L91" s="79">
        <v>0.08</v>
      </c>
      <c r="M91" s="77">
        <v>3</v>
      </c>
      <c r="N91" s="78">
        <v>6</v>
      </c>
      <c r="O91" s="80">
        <v>2</v>
      </c>
      <c r="P91" s="77">
        <v>3</v>
      </c>
      <c r="Q91" s="76" t="s">
        <v>87</v>
      </c>
      <c r="R91" s="10" t="s">
        <v>147</v>
      </c>
      <c r="S91" s="77">
        <v>1</v>
      </c>
      <c r="T91" s="77">
        <v>0</v>
      </c>
      <c r="U91" s="77">
        <v>0</v>
      </c>
      <c r="V91" s="77">
        <v>0</v>
      </c>
      <c r="W91" s="77">
        <v>0</v>
      </c>
      <c r="X91" s="78">
        <v>0</v>
      </c>
      <c r="Y91" s="76" t="s">
        <v>85</v>
      </c>
      <c r="Z91" s="10" t="s">
        <v>147</v>
      </c>
      <c r="AA91" s="77">
        <v>37</v>
      </c>
      <c r="AB91" s="79">
        <v>0.52700000000000002</v>
      </c>
      <c r="AC91" s="77">
        <v>13</v>
      </c>
      <c r="AD91" s="78">
        <v>15</v>
      </c>
      <c r="AE91" s="80">
        <v>2</v>
      </c>
      <c r="AF91" s="77">
        <v>0</v>
      </c>
      <c r="AG91" s="76" t="s">
        <v>86</v>
      </c>
      <c r="AH91" s="10" t="s">
        <v>147</v>
      </c>
      <c r="AI91" s="77">
        <v>38</v>
      </c>
      <c r="AJ91" s="79">
        <v>0.44740000000000002</v>
      </c>
      <c r="AK91" s="77">
        <v>12</v>
      </c>
      <c r="AL91" s="77">
        <v>13</v>
      </c>
      <c r="AM91" s="77">
        <v>1</v>
      </c>
      <c r="AN91" s="78">
        <v>1</v>
      </c>
      <c r="AO91" s="76" t="s">
        <v>88</v>
      </c>
      <c r="AP91" s="10" t="s">
        <v>147</v>
      </c>
      <c r="AQ91" s="77">
        <v>3</v>
      </c>
      <c r="AR91" s="79">
        <v>0.16669999999999999</v>
      </c>
      <c r="AS91" s="77">
        <v>0</v>
      </c>
      <c r="AT91" s="77">
        <v>1</v>
      </c>
      <c r="AU91" s="77">
        <v>0</v>
      </c>
      <c r="AV91" s="78">
        <v>0</v>
      </c>
    </row>
    <row r="92" spans="1:48" ht="14.25" customHeight="1" x14ac:dyDescent="0.3">
      <c r="A92" s="76" t="s">
        <v>144</v>
      </c>
      <c r="B92" s="10" t="s">
        <v>148</v>
      </c>
      <c r="C92" s="77">
        <v>6</v>
      </c>
      <c r="D92" s="79">
        <v>0.33329999999999999</v>
      </c>
      <c r="E92" s="77">
        <v>0</v>
      </c>
      <c r="F92" s="78">
        <v>4</v>
      </c>
      <c r="G92" s="80">
        <v>0</v>
      </c>
      <c r="H92" s="77">
        <v>0</v>
      </c>
      <c r="I92" s="76" t="s">
        <v>146</v>
      </c>
      <c r="J92" s="10" t="s">
        <v>148</v>
      </c>
      <c r="K92" s="77">
        <v>0</v>
      </c>
      <c r="L92" s="10" t="s">
        <v>80</v>
      </c>
      <c r="M92" s="77">
        <v>0</v>
      </c>
      <c r="N92" s="78">
        <v>0</v>
      </c>
      <c r="O92" s="80">
        <v>0</v>
      </c>
      <c r="P92" s="77">
        <v>0</v>
      </c>
      <c r="Q92" s="76" t="s">
        <v>87</v>
      </c>
      <c r="R92" s="10" t="s">
        <v>148</v>
      </c>
      <c r="S92" s="77">
        <v>0</v>
      </c>
      <c r="T92" s="10" t="s">
        <v>80</v>
      </c>
      <c r="U92" s="77">
        <v>0</v>
      </c>
      <c r="V92" s="77">
        <v>0</v>
      </c>
      <c r="W92" s="77">
        <v>0</v>
      </c>
      <c r="X92" s="78">
        <v>0</v>
      </c>
      <c r="Y92" s="76" t="s">
        <v>85</v>
      </c>
      <c r="Z92" s="10" t="s">
        <v>148</v>
      </c>
      <c r="AA92" s="77">
        <v>33</v>
      </c>
      <c r="AB92" s="79">
        <v>0.63639999999999997</v>
      </c>
      <c r="AC92" s="77">
        <v>15</v>
      </c>
      <c r="AD92" s="78">
        <v>12</v>
      </c>
      <c r="AE92" s="80">
        <v>0</v>
      </c>
      <c r="AF92" s="77">
        <v>0</v>
      </c>
      <c r="AG92" s="76" t="s">
        <v>86</v>
      </c>
      <c r="AH92" s="10" t="s">
        <v>148</v>
      </c>
      <c r="AI92" s="77">
        <v>30</v>
      </c>
      <c r="AJ92" s="79">
        <v>0.4667</v>
      </c>
      <c r="AK92" s="77">
        <v>6</v>
      </c>
      <c r="AL92" s="77">
        <v>17</v>
      </c>
      <c r="AM92" s="77">
        <v>1</v>
      </c>
      <c r="AN92" s="78">
        <v>0</v>
      </c>
      <c r="AO92" s="76" t="s">
        <v>88</v>
      </c>
      <c r="AP92" s="10" t="s">
        <v>148</v>
      </c>
      <c r="AQ92" s="77">
        <v>0</v>
      </c>
      <c r="AR92" s="10" t="s">
        <v>80</v>
      </c>
      <c r="AS92" s="77">
        <v>0</v>
      </c>
      <c r="AT92" s="77">
        <v>0</v>
      </c>
      <c r="AU92" s="77">
        <v>0</v>
      </c>
      <c r="AV92" s="78">
        <v>0</v>
      </c>
    </row>
    <row r="93" spans="1:48" ht="14.25" customHeight="1" x14ac:dyDescent="0.3">
      <c r="A93" s="76" t="s">
        <v>144</v>
      </c>
      <c r="B93" s="10" t="s">
        <v>149</v>
      </c>
      <c r="C93" s="77">
        <v>16</v>
      </c>
      <c r="D93" s="79">
        <v>-0.15629999999999999</v>
      </c>
      <c r="E93" s="77">
        <v>1</v>
      </c>
      <c r="F93" s="78">
        <v>1</v>
      </c>
      <c r="G93" s="80">
        <v>0</v>
      </c>
      <c r="H93" s="77">
        <v>4</v>
      </c>
      <c r="I93" s="76" t="s">
        <v>146</v>
      </c>
      <c r="J93" s="10" t="s">
        <v>149</v>
      </c>
      <c r="K93" s="77">
        <v>3</v>
      </c>
      <c r="L93" s="77">
        <v>0</v>
      </c>
      <c r="M93" s="77">
        <v>0</v>
      </c>
      <c r="N93" s="78">
        <v>0</v>
      </c>
      <c r="O93" s="80">
        <v>0</v>
      </c>
      <c r="P93" s="77">
        <v>0</v>
      </c>
      <c r="Q93" s="76" t="s">
        <v>87</v>
      </c>
      <c r="R93" s="10" t="s">
        <v>149</v>
      </c>
      <c r="S93" s="77">
        <v>1</v>
      </c>
      <c r="T93" s="79">
        <v>0.5</v>
      </c>
      <c r="U93" s="77">
        <v>0</v>
      </c>
      <c r="V93" s="77">
        <v>1</v>
      </c>
      <c r="W93" s="77">
        <v>0</v>
      </c>
      <c r="X93" s="78">
        <v>0</v>
      </c>
      <c r="Y93" s="76" t="s">
        <v>85</v>
      </c>
      <c r="Z93" s="10" t="s">
        <v>149</v>
      </c>
      <c r="AA93" s="77">
        <v>4</v>
      </c>
      <c r="AB93" s="79">
        <v>0.125</v>
      </c>
      <c r="AC93" s="77">
        <v>0</v>
      </c>
      <c r="AD93" s="78">
        <v>1</v>
      </c>
      <c r="AE93" s="80">
        <v>0</v>
      </c>
      <c r="AF93" s="77">
        <v>0</v>
      </c>
      <c r="AG93" s="76" t="s">
        <v>86</v>
      </c>
      <c r="AH93" s="10" t="s">
        <v>149</v>
      </c>
      <c r="AI93" s="77">
        <v>3</v>
      </c>
      <c r="AJ93" s="79">
        <v>0.33329999999999999</v>
      </c>
      <c r="AK93" s="77">
        <v>0</v>
      </c>
      <c r="AL93" s="77">
        <v>2</v>
      </c>
      <c r="AM93" s="77">
        <v>0</v>
      </c>
      <c r="AN93" s="78">
        <v>0</v>
      </c>
      <c r="AO93" s="76" t="s">
        <v>88</v>
      </c>
      <c r="AP93" s="10" t="s">
        <v>149</v>
      </c>
      <c r="AQ93" s="77">
        <v>0</v>
      </c>
      <c r="AR93" s="10" t="s">
        <v>80</v>
      </c>
      <c r="AS93" s="77">
        <v>0</v>
      </c>
      <c r="AT93" s="77">
        <v>0</v>
      </c>
      <c r="AU93" s="77">
        <v>0</v>
      </c>
      <c r="AV93" s="78">
        <v>0</v>
      </c>
    </row>
    <row r="94" spans="1:48" ht="14.25" customHeight="1" x14ac:dyDescent="0.3">
      <c r="A94" s="76" t="s">
        <v>144</v>
      </c>
      <c r="B94" s="10" t="s">
        <v>150</v>
      </c>
      <c r="C94" s="77">
        <v>15</v>
      </c>
      <c r="D94" s="79">
        <v>6.6699999999999995E-2</v>
      </c>
      <c r="E94" s="77">
        <v>1</v>
      </c>
      <c r="F94" s="78">
        <v>3</v>
      </c>
      <c r="G94" s="80">
        <v>1</v>
      </c>
      <c r="H94" s="77">
        <v>1</v>
      </c>
      <c r="I94" s="76" t="s">
        <v>146</v>
      </c>
      <c r="J94" s="10" t="s">
        <v>150</v>
      </c>
      <c r="K94" s="77">
        <v>9</v>
      </c>
      <c r="L94" s="79">
        <v>0.27779999999999999</v>
      </c>
      <c r="M94" s="77">
        <v>1</v>
      </c>
      <c r="N94" s="78">
        <v>3</v>
      </c>
      <c r="O94" s="80">
        <v>0</v>
      </c>
      <c r="P94" s="77">
        <v>0</v>
      </c>
      <c r="Q94" s="76" t="s">
        <v>87</v>
      </c>
      <c r="R94" s="10" t="s">
        <v>150</v>
      </c>
      <c r="S94" s="77">
        <v>2</v>
      </c>
      <c r="T94" s="77">
        <v>1</v>
      </c>
      <c r="U94" s="77">
        <v>2</v>
      </c>
      <c r="V94" s="77">
        <v>0</v>
      </c>
      <c r="W94" s="77">
        <v>0</v>
      </c>
      <c r="X94" s="78">
        <v>0</v>
      </c>
      <c r="Y94" s="76" t="s">
        <v>85</v>
      </c>
      <c r="Z94" s="10" t="s">
        <v>150</v>
      </c>
      <c r="AA94" s="77">
        <v>26</v>
      </c>
      <c r="AB94" s="79">
        <v>0.3846</v>
      </c>
      <c r="AC94" s="77">
        <v>8</v>
      </c>
      <c r="AD94" s="78">
        <v>8</v>
      </c>
      <c r="AE94" s="80">
        <v>0</v>
      </c>
      <c r="AF94" s="77">
        <v>2</v>
      </c>
      <c r="AG94" s="76" t="s">
        <v>86</v>
      </c>
      <c r="AH94" s="10" t="s">
        <v>150</v>
      </c>
      <c r="AI94" s="77">
        <v>23</v>
      </c>
      <c r="AJ94" s="79">
        <v>0.30430000000000001</v>
      </c>
      <c r="AK94" s="77">
        <v>7</v>
      </c>
      <c r="AL94" s="77">
        <v>6</v>
      </c>
      <c r="AM94" s="77">
        <v>2</v>
      </c>
      <c r="AN94" s="78">
        <v>2</v>
      </c>
      <c r="AO94" s="76" t="s">
        <v>88</v>
      </c>
      <c r="AP94" s="10" t="s">
        <v>150</v>
      </c>
      <c r="AQ94" s="77">
        <v>0</v>
      </c>
      <c r="AR94" s="10" t="s">
        <v>80</v>
      </c>
      <c r="AS94" s="77">
        <v>0</v>
      </c>
      <c r="AT94" s="77">
        <v>0</v>
      </c>
      <c r="AU94" s="77">
        <v>0</v>
      </c>
      <c r="AV94" s="78">
        <v>0</v>
      </c>
    </row>
    <row r="95" spans="1:48" ht="14.25" customHeight="1" x14ac:dyDescent="0.3">
      <c r="A95" s="81" t="s">
        <v>144</v>
      </c>
      <c r="B95" s="82" t="s">
        <v>151</v>
      </c>
      <c r="C95" s="83">
        <v>0</v>
      </c>
      <c r="D95" s="10" t="s">
        <v>80</v>
      </c>
      <c r="E95" s="77">
        <v>0</v>
      </c>
      <c r="F95" s="78">
        <v>0</v>
      </c>
      <c r="G95" s="80">
        <v>0</v>
      </c>
      <c r="H95" s="77">
        <v>0</v>
      </c>
      <c r="I95" s="81" t="s">
        <v>146</v>
      </c>
      <c r="J95" s="82" t="s">
        <v>151</v>
      </c>
      <c r="K95" s="83">
        <v>1</v>
      </c>
      <c r="L95" s="79">
        <v>-0.5</v>
      </c>
      <c r="M95" s="77">
        <v>0</v>
      </c>
      <c r="N95" s="78">
        <v>0</v>
      </c>
      <c r="O95" s="80">
        <v>1</v>
      </c>
      <c r="P95" s="77">
        <v>0</v>
      </c>
      <c r="Q95" s="76" t="s">
        <v>87</v>
      </c>
      <c r="R95" s="10" t="s">
        <v>151</v>
      </c>
      <c r="S95" s="77">
        <v>0</v>
      </c>
      <c r="T95" s="10" t="s">
        <v>80</v>
      </c>
      <c r="U95" s="77">
        <v>0</v>
      </c>
      <c r="V95" s="77">
        <v>0</v>
      </c>
      <c r="W95" s="77">
        <v>0</v>
      </c>
      <c r="X95" s="78">
        <v>0</v>
      </c>
      <c r="Y95" s="81" t="s">
        <v>85</v>
      </c>
      <c r="Z95" s="82" t="s">
        <v>151</v>
      </c>
      <c r="AA95" s="83">
        <v>12</v>
      </c>
      <c r="AB95" s="79">
        <v>-0.125</v>
      </c>
      <c r="AC95" s="77">
        <v>1</v>
      </c>
      <c r="AD95" s="78">
        <v>3</v>
      </c>
      <c r="AE95" s="80">
        <v>0</v>
      </c>
      <c r="AF95" s="77">
        <v>4</v>
      </c>
      <c r="AG95" s="76" t="s">
        <v>86</v>
      </c>
      <c r="AH95" s="10" t="s">
        <v>151</v>
      </c>
      <c r="AI95" s="77">
        <v>20</v>
      </c>
      <c r="AJ95" s="79">
        <v>0.25</v>
      </c>
      <c r="AK95" s="77">
        <v>5</v>
      </c>
      <c r="AL95" s="77">
        <v>4</v>
      </c>
      <c r="AM95" s="77">
        <v>2</v>
      </c>
      <c r="AN95" s="78">
        <v>1</v>
      </c>
      <c r="AO95" s="76" t="s">
        <v>88</v>
      </c>
      <c r="AP95" s="10" t="s">
        <v>151</v>
      </c>
      <c r="AQ95" s="77">
        <v>0</v>
      </c>
      <c r="AR95" s="10" t="s">
        <v>80</v>
      </c>
      <c r="AS95" s="77">
        <v>0</v>
      </c>
      <c r="AT95" s="77">
        <v>0</v>
      </c>
      <c r="AU95" s="77">
        <v>0</v>
      </c>
      <c r="AV95" s="78">
        <v>0</v>
      </c>
    </row>
    <row r="96" spans="1:48" ht="14.25" customHeight="1" x14ac:dyDescent="0.3">
      <c r="A96" s="84" t="s">
        <v>144</v>
      </c>
      <c r="B96" s="85" t="s">
        <v>152</v>
      </c>
      <c r="C96" s="86">
        <v>84</v>
      </c>
      <c r="D96" s="88">
        <v>0.50600000000000001</v>
      </c>
      <c r="E96" s="86">
        <v>32</v>
      </c>
      <c r="F96" s="86">
        <v>29</v>
      </c>
      <c r="G96" s="87">
        <v>2</v>
      </c>
      <c r="H96" s="86">
        <v>3</v>
      </c>
      <c r="I96" s="84" t="s">
        <v>146</v>
      </c>
      <c r="J96" s="85" t="s">
        <v>153</v>
      </c>
      <c r="K96" s="86">
        <v>53</v>
      </c>
      <c r="L96" s="88">
        <v>0.1226</v>
      </c>
      <c r="M96" s="86">
        <v>7</v>
      </c>
      <c r="N96" s="86">
        <v>12</v>
      </c>
      <c r="O96" s="87">
        <v>5</v>
      </c>
      <c r="P96" s="86">
        <v>4</v>
      </c>
      <c r="Q96" s="84" t="s">
        <v>87</v>
      </c>
      <c r="R96" s="85" t="s">
        <v>153</v>
      </c>
      <c r="S96" s="86">
        <v>1</v>
      </c>
      <c r="T96" s="86">
        <v>0</v>
      </c>
      <c r="U96" s="86">
        <v>0</v>
      </c>
      <c r="V96" s="86">
        <v>0</v>
      </c>
      <c r="W96" s="86">
        <v>0</v>
      </c>
      <c r="X96" s="89">
        <v>0</v>
      </c>
      <c r="Y96" s="84" t="s">
        <v>85</v>
      </c>
      <c r="Z96" s="85" t="s">
        <v>153</v>
      </c>
      <c r="AA96" s="86">
        <v>84</v>
      </c>
      <c r="AB96" s="88">
        <v>0.57740000000000002</v>
      </c>
      <c r="AC96" s="86">
        <v>33</v>
      </c>
      <c r="AD96" s="86">
        <v>33</v>
      </c>
      <c r="AE96" s="87">
        <v>2</v>
      </c>
      <c r="AF96" s="86">
        <v>0</v>
      </c>
      <c r="AG96" s="84" t="s">
        <v>86</v>
      </c>
      <c r="AH96" s="85" t="s">
        <v>153</v>
      </c>
      <c r="AI96" s="86">
        <v>76</v>
      </c>
      <c r="AJ96" s="88">
        <v>0.45390000000000003</v>
      </c>
      <c r="AK96" s="86">
        <v>20</v>
      </c>
      <c r="AL96" s="86">
        <v>33</v>
      </c>
      <c r="AM96" s="86">
        <v>2</v>
      </c>
      <c r="AN96" s="89">
        <v>1</v>
      </c>
      <c r="AO96" s="84" t="s">
        <v>88</v>
      </c>
      <c r="AP96" s="85" t="s">
        <v>153</v>
      </c>
      <c r="AQ96" s="86">
        <v>4</v>
      </c>
      <c r="AR96" s="88">
        <v>0.375</v>
      </c>
      <c r="AS96" s="86">
        <v>1</v>
      </c>
      <c r="AT96" s="86">
        <v>1</v>
      </c>
      <c r="AU96" s="86">
        <v>0</v>
      </c>
      <c r="AV96" s="89">
        <v>0</v>
      </c>
    </row>
    <row r="97" spans="1:48" ht="14.25" customHeight="1" x14ac:dyDescent="0.3">
      <c r="A97" s="90" t="s">
        <v>144</v>
      </c>
      <c r="B97" s="91" t="s">
        <v>154</v>
      </c>
      <c r="C97" s="92">
        <v>31</v>
      </c>
      <c r="D97" s="96">
        <v>-4.8399999999999999E-2</v>
      </c>
      <c r="E97" s="94">
        <v>2</v>
      </c>
      <c r="F97" s="94">
        <v>4</v>
      </c>
      <c r="G97" s="95">
        <v>1</v>
      </c>
      <c r="H97" s="94">
        <v>5</v>
      </c>
      <c r="I97" s="90" t="s">
        <v>146</v>
      </c>
      <c r="J97" s="91" t="s">
        <v>155</v>
      </c>
      <c r="K97" s="92">
        <v>13</v>
      </c>
      <c r="L97" s="96">
        <v>0.15379999999999999</v>
      </c>
      <c r="M97" s="94">
        <v>1</v>
      </c>
      <c r="N97" s="94">
        <v>3</v>
      </c>
      <c r="O97" s="95">
        <v>1</v>
      </c>
      <c r="P97" s="94">
        <v>0</v>
      </c>
      <c r="Q97" s="90" t="s">
        <v>87</v>
      </c>
      <c r="R97" s="97" t="s">
        <v>155</v>
      </c>
      <c r="S97" s="98">
        <v>3</v>
      </c>
      <c r="T97" s="96">
        <v>0.83330000000000004</v>
      </c>
      <c r="U97" s="99">
        <v>2</v>
      </c>
      <c r="V97" s="99">
        <v>1</v>
      </c>
      <c r="W97" s="99">
        <v>0</v>
      </c>
      <c r="X97" s="100">
        <v>0</v>
      </c>
      <c r="Y97" s="90" t="s">
        <v>85</v>
      </c>
      <c r="Z97" s="91" t="s">
        <v>155</v>
      </c>
      <c r="AA97" s="92">
        <v>42</v>
      </c>
      <c r="AB97" s="96">
        <v>0.21429999999999999</v>
      </c>
      <c r="AC97" s="94">
        <v>9</v>
      </c>
      <c r="AD97" s="94">
        <v>12</v>
      </c>
      <c r="AE97" s="95">
        <v>0</v>
      </c>
      <c r="AF97" s="94">
        <v>6</v>
      </c>
      <c r="AG97" s="90" t="s">
        <v>86</v>
      </c>
      <c r="AH97" s="97" t="s">
        <v>155</v>
      </c>
      <c r="AI97" s="98">
        <v>46</v>
      </c>
      <c r="AJ97" s="96">
        <v>0.28260000000000002</v>
      </c>
      <c r="AK97" s="99">
        <v>12</v>
      </c>
      <c r="AL97" s="99">
        <v>12</v>
      </c>
      <c r="AM97" s="99">
        <v>4</v>
      </c>
      <c r="AN97" s="100">
        <v>3</v>
      </c>
      <c r="AO97" s="90" t="s">
        <v>88</v>
      </c>
      <c r="AP97" s="97" t="s">
        <v>155</v>
      </c>
      <c r="AQ97" s="98">
        <v>0</v>
      </c>
      <c r="AR97" s="93" t="s">
        <v>80</v>
      </c>
      <c r="AS97" s="99">
        <v>0</v>
      </c>
      <c r="AT97" s="99">
        <v>0</v>
      </c>
      <c r="AU97" s="99">
        <v>0</v>
      </c>
      <c r="AV97" s="100">
        <v>0</v>
      </c>
    </row>
    <row r="98" spans="1:48" ht="14.2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1"/>
      <c r="AJ98" s="10"/>
      <c r="AK98" s="10"/>
      <c r="AL98" s="10"/>
      <c r="AM98" s="26"/>
      <c r="AN98" s="32"/>
      <c r="AO98" s="10"/>
      <c r="AP98" s="10"/>
      <c r="AQ98" s="101"/>
      <c r="AR98" s="10"/>
      <c r="AS98" s="10"/>
      <c r="AT98" s="10"/>
      <c r="AU98" s="26"/>
      <c r="AV98" s="32"/>
    </row>
    <row r="99" spans="1:48" ht="14.25" customHeight="1" x14ac:dyDescent="0.3">
      <c r="A99" s="102"/>
      <c r="B99" s="103" t="s">
        <v>156</v>
      </c>
      <c r="C99" s="104" t="s">
        <v>102</v>
      </c>
      <c r="D99" s="104" t="s">
        <v>143</v>
      </c>
      <c r="E99" s="104" t="s">
        <v>26</v>
      </c>
      <c r="F99" s="104" t="s">
        <v>103</v>
      </c>
      <c r="G99" s="104" t="s">
        <v>104</v>
      </c>
      <c r="H99" s="104" t="s">
        <v>105</v>
      </c>
      <c r="I99" s="102"/>
      <c r="J99" s="103" t="s">
        <v>156</v>
      </c>
      <c r="K99" s="104" t="s">
        <v>102</v>
      </c>
      <c r="L99" s="104" t="s">
        <v>143</v>
      </c>
      <c r="M99" s="104" t="s">
        <v>26</v>
      </c>
      <c r="N99" s="104" t="s">
        <v>103</v>
      </c>
      <c r="O99" s="104" t="s">
        <v>104</v>
      </c>
      <c r="P99" s="104" t="s">
        <v>105</v>
      </c>
      <c r="Q99" s="10"/>
      <c r="R99" s="103" t="s">
        <v>156</v>
      </c>
      <c r="S99" s="104" t="s">
        <v>102</v>
      </c>
      <c r="T99" s="104" t="s">
        <v>143</v>
      </c>
      <c r="U99" s="104" t="s">
        <v>26</v>
      </c>
      <c r="V99" s="104" t="s">
        <v>103</v>
      </c>
      <c r="W99" s="104" t="s">
        <v>104</v>
      </c>
      <c r="X99" s="105" t="s">
        <v>105</v>
      </c>
      <c r="Y99" s="10"/>
      <c r="Z99" s="103" t="s">
        <v>156</v>
      </c>
      <c r="AA99" s="104" t="s">
        <v>102</v>
      </c>
      <c r="AB99" s="104" t="s">
        <v>143</v>
      </c>
      <c r="AC99" s="104" t="s">
        <v>26</v>
      </c>
      <c r="AD99" s="104" t="s">
        <v>103</v>
      </c>
      <c r="AE99" s="104" t="s">
        <v>104</v>
      </c>
      <c r="AF99" s="104" t="s">
        <v>105</v>
      </c>
      <c r="AG99" s="10"/>
      <c r="AH99" s="103" t="s">
        <v>156</v>
      </c>
      <c r="AI99" s="104" t="s">
        <v>102</v>
      </c>
      <c r="AJ99" s="104" t="s">
        <v>143</v>
      </c>
      <c r="AK99" s="104" t="s">
        <v>26</v>
      </c>
      <c r="AL99" s="104" t="s">
        <v>103</v>
      </c>
      <c r="AM99" s="104" t="s">
        <v>104</v>
      </c>
      <c r="AN99" s="105" t="s">
        <v>105</v>
      </c>
      <c r="AO99" s="10"/>
      <c r="AP99" s="103" t="s">
        <v>156</v>
      </c>
      <c r="AQ99" s="104" t="s">
        <v>102</v>
      </c>
      <c r="AR99" s="104" t="s">
        <v>143</v>
      </c>
      <c r="AS99" s="104" t="s">
        <v>26</v>
      </c>
      <c r="AT99" s="104" t="s">
        <v>103</v>
      </c>
      <c r="AU99" s="104" t="s">
        <v>104</v>
      </c>
      <c r="AV99" s="105" t="s">
        <v>105</v>
      </c>
    </row>
    <row r="100" spans="1:48" ht="14.25" customHeight="1" x14ac:dyDescent="0.3">
      <c r="A100" s="76" t="s">
        <v>144</v>
      </c>
      <c r="B100" s="106" t="s">
        <v>157</v>
      </c>
      <c r="C100" s="107">
        <v>28</v>
      </c>
      <c r="D100" s="111">
        <v>0.58930000000000005</v>
      </c>
      <c r="E100" s="107">
        <v>11</v>
      </c>
      <c r="F100" s="107">
        <v>12</v>
      </c>
      <c r="G100" s="107">
        <v>1</v>
      </c>
      <c r="H100" s="109">
        <v>0</v>
      </c>
      <c r="I100" s="76" t="s">
        <v>146</v>
      </c>
      <c r="J100" s="110" t="s">
        <v>157</v>
      </c>
      <c r="K100" s="92">
        <v>12</v>
      </c>
      <c r="L100" s="111">
        <v>0.25</v>
      </c>
      <c r="M100" s="92">
        <v>3</v>
      </c>
      <c r="N100" s="92">
        <v>3</v>
      </c>
      <c r="O100" s="92">
        <v>3</v>
      </c>
      <c r="P100" s="92">
        <v>0</v>
      </c>
      <c r="Q100" s="76" t="s">
        <v>87</v>
      </c>
      <c r="R100" s="110" t="s">
        <v>157</v>
      </c>
      <c r="S100" s="92">
        <v>1</v>
      </c>
      <c r="T100" s="107">
        <v>0</v>
      </c>
      <c r="U100" s="92">
        <v>0</v>
      </c>
      <c r="V100" s="92">
        <v>0</v>
      </c>
      <c r="W100" s="92">
        <v>0</v>
      </c>
      <c r="X100" s="112">
        <v>0</v>
      </c>
      <c r="Y100" s="76" t="s">
        <v>85</v>
      </c>
      <c r="Z100" s="110" t="s">
        <v>157</v>
      </c>
      <c r="AA100" s="92">
        <v>43</v>
      </c>
      <c r="AB100" s="111">
        <v>0.52329999999999999</v>
      </c>
      <c r="AC100" s="92">
        <v>15</v>
      </c>
      <c r="AD100" s="92">
        <v>16</v>
      </c>
      <c r="AE100" s="92">
        <v>1</v>
      </c>
      <c r="AF100" s="92">
        <v>0</v>
      </c>
      <c r="AG100" s="76" t="s">
        <v>86</v>
      </c>
      <c r="AH100" s="110" t="s">
        <v>157</v>
      </c>
      <c r="AI100" s="92">
        <v>34</v>
      </c>
      <c r="AJ100" s="111">
        <v>0.45590000000000003</v>
      </c>
      <c r="AK100" s="92">
        <v>8</v>
      </c>
      <c r="AL100" s="92">
        <v>18</v>
      </c>
      <c r="AM100" s="92">
        <v>1</v>
      </c>
      <c r="AN100" s="112">
        <v>1</v>
      </c>
      <c r="AO100" s="76" t="s">
        <v>88</v>
      </c>
      <c r="AP100" s="110" t="s">
        <v>157</v>
      </c>
      <c r="AQ100" s="92">
        <v>3</v>
      </c>
      <c r="AR100" s="111">
        <v>0.5</v>
      </c>
      <c r="AS100" s="92">
        <v>1</v>
      </c>
      <c r="AT100" s="92">
        <v>1</v>
      </c>
      <c r="AU100" s="92">
        <v>0</v>
      </c>
      <c r="AV100" s="112">
        <v>0</v>
      </c>
    </row>
    <row r="101" spans="1:48" ht="14.25" customHeight="1" x14ac:dyDescent="0.3">
      <c r="A101" s="76" t="s">
        <v>144</v>
      </c>
      <c r="B101" s="76" t="s">
        <v>158</v>
      </c>
      <c r="C101" s="77">
        <v>14</v>
      </c>
      <c r="D101" s="79">
        <v>0.35709999999999997</v>
      </c>
      <c r="E101" s="77">
        <v>5</v>
      </c>
      <c r="F101" s="77">
        <v>0</v>
      </c>
      <c r="G101" s="77">
        <v>0</v>
      </c>
      <c r="H101" s="78">
        <v>0</v>
      </c>
      <c r="I101" s="76" t="s">
        <v>146</v>
      </c>
      <c r="J101" s="76" t="s">
        <v>158</v>
      </c>
      <c r="K101" s="77">
        <v>3</v>
      </c>
      <c r="L101" s="79">
        <v>0.33329999999999999</v>
      </c>
      <c r="M101" s="77">
        <v>1</v>
      </c>
      <c r="N101" s="77">
        <v>1</v>
      </c>
      <c r="O101" s="77">
        <v>1</v>
      </c>
      <c r="P101" s="77">
        <v>0</v>
      </c>
      <c r="Q101" s="76" t="s">
        <v>87</v>
      </c>
      <c r="R101" s="76" t="s">
        <v>158</v>
      </c>
      <c r="S101" s="77">
        <v>0</v>
      </c>
      <c r="T101" s="10" t="s">
        <v>80</v>
      </c>
      <c r="U101" s="77">
        <v>0</v>
      </c>
      <c r="V101" s="77">
        <v>0</v>
      </c>
      <c r="W101" s="77">
        <v>0</v>
      </c>
      <c r="X101" s="78">
        <v>0</v>
      </c>
      <c r="Y101" s="76" t="s">
        <v>85</v>
      </c>
      <c r="Z101" s="76" t="s">
        <v>158</v>
      </c>
      <c r="AA101" s="77">
        <v>5</v>
      </c>
      <c r="AB101" s="79">
        <v>0.2</v>
      </c>
      <c r="AC101" s="77">
        <v>1</v>
      </c>
      <c r="AD101" s="77">
        <v>0</v>
      </c>
      <c r="AE101" s="77">
        <v>0</v>
      </c>
      <c r="AF101" s="77">
        <v>0</v>
      </c>
      <c r="AG101" s="76" t="s">
        <v>86</v>
      </c>
      <c r="AH101" s="76" t="s">
        <v>158</v>
      </c>
      <c r="AI101" s="77">
        <v>3</v>
      </c>
      <c r="AJ101" s="79">
        <v>0.33329999999999999</v>
      </c>
      <c r="AK101" s="77">
        <v>1</v>
      </c>
      <c r="AL101" s="77">
        <v>0</v>
      </c>
      <c r="AM101" s="77">
        <v>0</v>
      </c>
      <c r="AN101" s="78">
        <v>0</v>
      </c>
      <c r="AO101" s="76" t="s">
        <v>88</v>
      </c>
      <c r="AP101" s="76" t="s">
        <v>158</v>
      </c>
      <c r="AQ101" s="77">
        <v>1</v>
      </c>
      <c r="AR101" s="77">
        <v>1</v>
      </c>
      <c r="AS101" s="77">
        <v>1</v>
      </c>
      <c r="AT101" s="77">
        <v>0</v>
      </c>
      <c r="AU101" s="77">
        <v>0</v>
      </c>
      <c r="AV101" s="78">
        <v>0</v>
      </c>
    </row>
    <row r="102" spans="1:48" ht="14.25" customHeight="1" x14ac:dyDescent="0.3">
      <c r="A102" s="76" t="s">
        <v>144</v>
      </c>
      <c r="B102" s="76" t="s">
        <v>159</v>
      </c>
      <c r="C102" s="77">
        <v>14</v>
      </c>
      <c r="D102" s="79">
        <v>0.42859999999999998</v>
      </c>
      <c r="E102" s="77">
        <v>6</v>
      </c>
      <c r="F102" s="77">
        <v>5</v>
      </c>
      <c r="G102" s="77">
        <v>1</v>
      </c>
      <c r="H102" s="78">
        <v>0</v>
      </c>
      <c r="I102" s="76" t="s">
        <v>146</v>
      </c>
      <c r="J102" s="76" t="s">
        <v>159</v>
      </c>
      <c r="K102" s="77">
        <v>9</v>
      </c>
      <c r="L102" s="79">
        <v>0.22220000000000001</v>
      </c>
      <c r="M102" s="77">
        <v>2</v>
      </c>
      <c r="N102" s="77">
        <v>3</v>
      </c>
      <c r="O102" s="77">
        <v>2</v>
      </c>
      <c r="P102" s="77">
        <v>0</v>
      </c>
      <c r="Q102" s="76" t="s">
        <v>87</v>
      </c>
      <c r="R102" s="76" t="s">
        <v>159</v>
      </c>
      <c r="S102" s="77">
        <v>1</v>
      </c>
      <c r="T102" s="77">
        <v>0</v>
      </c>
      <c r="U102" s="77">
        <v>0</v>
      </c>
      <c r="V102" s="77">
        <v>0</v>
      </c>
      <c r="W102" s="77">
        <v>0</v>
      </c>
      <c r="X102" s="78">
        <v>0</v>
      </c>
      <c r="Y102" s="76" t="s">
        <v>85</v>
      </c>
      <c r="Z102" s="76" t="s">
        <v>159</v>
      </c>
      <c r="AA102" s="77">
        <v>15</v>
      </c>
      <c r="AB102" s="79">
        <v>0.33329999999999999</v>
      </c>
      <c r="AC102" s="77">
        <v>5</v>
      </c>
      <c r="AD102" s="77">
        <v>5</v>
      </c>
      <c r="AE102" s="77">
        <v>1</v>
      </c>
      <c r="AF102" s="77">
        <v>0</v>
      </c>
      <c r="AG102" s="76" t="s">
        <v>86</v>
      </c>
      <c r="AH102" s="76" t="s">
        <v>159</v>
      </c>
      <c r="AI102" s="77">
        <v>16</v>
      </c>
      <c r="AJ102" s="79">
        <v>0.25</v>
      </c>
      <c r="AK102" s="77">
        <v>5</v>
      </c>
      <c r="AL102" s="77">
        <v>5</v>
      </c>
      <c r="AM102" s="77">
        <v>0</v>
      </c>
      <c r="AN102" s="78">
        <v>1</v>
      </c>
      <c r="AO102" s="76" t="s">
        <v>88</v>
      </c>
      <c r="AP102" s="76" t="s">
        <v>159</v>
      </c>
      <c r="AQ102" s="77">
        <v>2</v>
      </c>
      <c r="AR102" s="77">
        <v>0</v>
      </c>
      <c r="AS102" s="77">
        <v>0</v>
      </c>
      <c r="AT102" s="77">
        <v>1</v>
      </c>
      <c r="AU102" s="77">
        <v>0</v>
      </c>
      <c r="AV102" s="78">
        <v>0</v>
      </c>
    </row>
    <row r="103" spans="1:48" ht="14.25" customHeight="1" x14ac:dyDescent="0.3">
      <c r="A103" s="76" t="s">
        <v>144</v>
      </c>
      <c r="B103" s="76" t="s">
        <v>160</v>
      </c>
      <c r="C103" s="77">
        <v>0</v>
      </c>
      <c r="D103" s="10" t="s">
        <v>80</v>
      </c>
      <c r="E103" s="77">
        <v>0</v>
      </c>
      <c r="F103" s="77">
        <v>0</v>
      </c>
      <c r="G103" s="77">
        <v>0</v>
      </c>
      <c r="H103" s="78">
        <v>0</v>
      </c>
      <c r="I103" s="76" t="s">
        <v>146</v>
      </c>
      <c r="J103" s="76" t="s">
        <v>160</v>
      </c>
      <c r="K103" s="77">
        <v>0</v>
      </c>
      <c r="L103" s="10" t="s">
        <v>80</v>
      </c>
      <c r="M103" s="77">
        <v>0</v>
      </c>
      <c r="N103" s="77">
        <v>0</v>
      </c>
      <c r="O103" s="77">
        <v>0</v>
      </c>
      <c r="P103" s="77">
        <v>0</v>
      </c>
      <c r="Q103" s="76" t="s">
        <v>87</v>
      </c>
      <c r="R103" s="76" t="s">
        <v>160</v>
      </c>
      <c r="S103" s="77">
        <v>0</v>
      </c>
      <c r="T103" s="10" t="s">
        <v>80</v>
      </c>
      <c r="U103" s="77">
        <v>0</v>
      </c>
      <c r="V103" s="77">
        <v>0</v>
      </c>
      <c r="W103" s="77">
        <v>0</v>
      </c>
      <c r="X103" s="78">
        <v>0</v>
      </c>
      <c r="Y103" s="76" t="s">
        <v>85</v>
      </c>
      <c r="Z103" s="76" t="s">
        <v>160</v>
      </c>
      <c r="AA103" s="77">
        <v>20</v>
      </c>
      <c r="AB103" s="79">
        <v>0.4</v>
      </c>
      <c r="AC103" s="77">
        <v>8</v>
      </c>
      <c r="AD103" s="77">
        <v>7</v>
      </c>
      <c r="AE103" s="77">
        <v>0</v>
      </c>
      <c r="AF103" s="77">
        <v>0</v>
      </c>
      <c r="AG103" s="76" t="s">
        <v>86</v>
      </c>
      <c r="AH103" s="76" t="s">
        <v>160</v>
      </c>
      <c r="AI103" s="77">
        <v>15</v>
      </c>
      <c r="AJ103" s="79">
        <v>0.1333</v>
      </c>
      <c r="AK103" s="77">
        <v>2</v>
      </c>
      <c r="AL103" s="77">
        <v>11</v>
      </c>
      <c r="AM103" s="77">
        <v>1</v>
      </c>
      <c r="AN103" s="78">
        <v>0</v>
      </c>
      <c r="AO103" s="76" t="s">
        <v>88</v>
      </c>
      <c r="AP103" s="76" t="s">
        <v>160</v>
      </c>
      <c r="AQ103" s="77">
        <v>0</v>
      </c>
      <c r="AR103" s="10" t="s">
        <v>80</v>
      </c>
      <c r="AS103" s="77">
        <v>0</v>
      </c>
      <c r="AT103" s="77">
        <v>0</v>
      </c>
      <c r="AU103" s="77">
        <v>0</v>
      </c>
      <c r="AV103" s="78">
        <v>0</v>
      </c>
    </row>
    <row r="104" spans="1:48" ht="14.25" customHeight="1" x14ac:dyDescent="0.3">
      <c r="A104" s="76" t="s">
        <v>144</v>
      </c>
      <c r="B104" s="110" t="s">
        <v>161</v>
      </c>
      <c r="C104" s="92">
        <v>18</v>
      </c>
      <c r="D104" s="113">
        <v>0.52780000000000005</v>
      </c>
      <c r="E104" s="92">
        <v>7</v>
      </c>
      <c r="F104" s="92">
        <v>6</v>
      </c>
      <c r="G104" s="92">
        <v>0</v>
      </c>
      <c r="H104" s="112">
        <v>1</v>
      </c>
      <c r="I104" s="76" t="s">
        <v>146</v>
      </c>
      <c r="J104" s="110" t="s">
        <v>161</v>
      </c>
      <c r="K104" s="92">
        <v>8</v>
      </c>
      <c r="L104" s="113">
        <v>-0.375</v>
      </c>
      <c r="M104" s="92">
        <v>0</v>
      </c>
      <c r="N104" s="92">
        <v>2</v>
      </c>
      <c r="O104" s="92">
        <v>0</v>
      </c>
      <c r="P104" s="92">
        <v>3</v>
      </c>
      <c r="Q104" s="76" t="s">
        <v>87</v>
      </c>
      <c r="R104" s="110" t="s">
        <v>161</v>
      </c>
      <c r="S104" s="92">
        <v>0</v>
      </c>
      <c r="T104" s="91" t="s">
        <v>80</v>
      </c>
      <c r="U104" s="92">
        <v>0</v>
      </c>
      <c r="V104" s="92">
        <v>0</v>
      </c>
      <c r="W104" s="92">
        <v>0</v>
      </c>
      <c r="X104" s="112">
        <v>0</v>
      </c>
      <c r="Y104" s="76" t="s">
        <v>85</v>
      </c>
      <c r="Z104" s="110" t="s">
        <v>161</v>
      </c>
      <c r="AA104" s="92">
        <v>12</v>
      </c>
      <c r="AB104" s="113">
        <v>0.625</v>
      </c>
      <c r="AC104" s="92">
        <v>5</v>
      </c>
      <c r="AD104" s="92">
        <v>6</v>
      </c>
      <c r="AE104" s="92">
        <v>0</v>
      </c>
      <c r="AF104" s="92">
        <v>0</v>
      </c>
      <c r="AG104" s="76" t="s">
        <v>86</v>
      </c>
      <c r="AH104" s="110" t="s">
        <v>161</v>
      </c>
      <c r="AI104" s="92">
        <v>18</v>
      </c>
      <c r="AJ104" s="113">
        <v>0.41670000000000001</v>
      </c>
      <c r="AK104" s="92">
        <v>5</v>
      </c>
      <c r="AL104" s="92">
        <v>5</v>
      </c>
      <c r="AM104" s="92">
        <v>0</v>
      </c>
      <c r="AN104" s="112">
        <v>0</v>
      </c>
      <c r="AO104" s="76" t="s">
        <v>88</v>
      </c>
      <c r="AP104" s="110" t="s">
        <v>161</v>
      </c>
      <c r="AQ104" s="92">
        <v>1</v>
      </c>
      <c r="AR104" s="92">
        <v>0</v>
      </c>
      <c r="AS104" s="92">
        <v>0</v>
      </c>
      <c r="AT104" s="92">
        <v>0</v>
      </c>
      <c r="AU104" s="92">
        <v>0</v>
      </c>
      <c r="AV104" s="112">
        <v>0</v>
      </c>
    </row>
    <row r="105" spans="1:48" ht="14.25" customHeight="1" x14ac:dyDescent="0.3">
      <c r="A105" s="76" t="s">
        <v>144</v>
      </c>
      <c r="B105" s="76" t="s">
        <v>162</v>
      </c>
      <c r="C105" s="77">
        <v>6</v>
      </c>
      <c r="D105" s="79">
        <v>0.75</v>
      </c>
      <c r="E105" s="77">
        <v>3</v>
      </c>
      <c r="F105" s="77">
        <v>3</v>
      </c>
      <c r="G105" s="77">
        <v>0</v>
      </c>
      <c r="H105" s="78">
        <v>0</v>
      </c>
      <c r="I105" s="76" t="s">
        <v>146</v>
      </c>
      <c r="J105" s="76" t="s">
        <v>162</v>
      </c>
      <c r="K105" s="77">
        <v>1</v>
      </c>
      <c r="L105" s="79">
        <v>0.5</v>
      </c>
      <c r="M105" s="77">
        <v>0</v>
      </c>
      <c r="N105" s="77">
        <v>1</v>
      </c>
      <c r="O105" s="77">
        <v>0</v>
      </c>
      <c r="P105" s="77">
        <v>0</v>
      </c>
      <c r="Q105" s="76" t="s">
        <v>87</v>
      </c>
      <c r="R105" s="76" t="s">
        <v>162</v>
      </c>
      <c r="S105" s="77">
        <v>0</v>
      </c>
      <c r="T105" s="10" t="s">
        <v>80</v>
      </c>
      <c r="U105" s="77">
        <v>0</v>
      </c>
      <c r="V105" s="77">
        <v>0</v>
      </c>
      <c r="W105" s="77">
        <v>0</v>
      </c>
      <c r="X105" s="78">
        <v>0</v>
      </c>
      <c r="Y105" s="76" t="s">
        <v>85</v>
      </c>
      <c r="Z105" s="76" t="s">
        <v>162</v>
      </c>
      <c r="AA105" s="77">
        <v>0</v>
      </c>
      <c r="AB105" s="10" t="s">
        <v>80</v>
      </c>
      <c r="AC105" s="77">
        <v>0</v>
      </c>
      <c r="AD105" s="77">
        <v>0</v>
      </c>
      <c r="AE105" s="77">
        <v>0</v>
      </c>
      <c r="AF105" s="77">
        <v>0</v>
      </c>
      <c r="AG105" s="76" t="s">
        <v>86</v>
      </c>
      <c r="AH105" s="76" t="s">
        <v>162</v>
      </c>
      <c r="AI105" s="77">
        <v>3</v>
      </c>
      <c r="AJ105" s="79">
        <v>0.33329999999999999</v>
      </c>
      <c r="AK105" s="77">
        <v>1</v>
      </c>
      <c r="AL105" s="77">
        <v>0</v>
      </c>
      <c r="AM105" s="77">
        <v>0</v>
      </c>
      <c r="AN105" s="78">
        <v>0</v>
      </c>
      <c r="AO105" s="76" t="s">
        <v>88</v>
      </c>
      <c r="AP105" s="76" t="s">
        <v>162</v>
      </c>
      <c r="AQ105" s="77">
        <v>0</v>
      </c>
      <c r="AR105" s="10" t="s">
        <v>80</v>
      </c>
      <c r="AS105" s="77">
        <v>0</v>
      </c>
      <c r="AT105" s="77">
        <v>0</v>
      </c>
      <c r="AU105" s="77">
        <v>0</v>
      </c>
      <c r="AV105" s="78">
        <v>0</v>
      </c>
    </row>
    <row r="106" spans="1:48" ht="14.25" customHeight="1" x14ac:dyDescent="0.3">
      <c r="A106" s="76" t="s">
        <v>144</v>
      </c>
      <c r="B106" s="76" t="s">
        <v>163</v>
      </c>
      <c r="C106" s="77">
        <v>10</v>
      </c>
      <c r="D106" s="79">
        <v>0.35</v>
      </c>
      <c r="E106" s="77">
        <v>4</v>
      </c>
      <c r="F106" s="77">
        <v>1</v>
      </c>
      <c r="G106" s="77">
        <v>0</v>
      </c>
      <c r="H106" s="78">
        <v>1</v>
      </c>
      <c r="I106" s="76" t="s">
        <v>146</v>
      </c>
      <c r="J106" s="76" t="s">
        <v>163</v>
      </c>
      <c r="K106" s="77">
        <v>7</v>
      </c>
      <c r="L106" s="79">
        <v>-0.35709999999999997</v>
      </c>
      <c r="M106" s="77">
        <v>0</v>
      </c>
      <c r="N106" s="77">
        <v>1</v>
      </c>
      <c r="O106" s="77">
        <v>0</v>
      </c>
      <c r="P106" s="77">
        <v>3</v>
      </c>
      <c r="Q106" s="76" t="s">
        <v>87</v>
      </c>
      <c r="R106" s="76" t="s">
        <v>163</v>
      </c>
      <c r="S106" s="77">
        <v>0</v>
      </c>
      <c r="T106" s="10" t="s">
        <v>80</v>
      </c>
      <c r="U106" s="77">
        <v>0</v>
      </c>
      <c r="V106" s="77">
        <v>0</v>
      </c>
      <c r="W106" s="77">
        <v>0</v>
      </c>
      <c r="X106" s="78">
        <v>0</v>
      </c>
      <c r="Y106" s="76" t="s">
        <v>85</v>
      </c>
      <c r="Z106" s="76" t="s">
        <v>163</v>
      </c>
      <c r="AA106" s="77">
        <v>7</v>
      </c>
      <c r="AB106" s="79">
        <v>0.64290000000000003</v>
      </c>
      <c r="AC106" s="77">
        <v>3</v>
      </c>
      <c r="AD106" s="77">
        <v>3</v>
      </c>
      <c r="AE106" s="77">
        <v>0</v>
      </c>
      <c r="AF106" s="77">
        <v>0</v>
      </c>
      <c r="AG106" s="76" t="s">
        <v>86</v>
      </c>
      <c r="AH106" s="76" t="s">
        <v>163</v>
      </c>
      <c r="AI106" s="77">
        <v>9</v>
      </c>
      <c r="AJ106" s="79">
        <v>0.5</v>
      </c>
      <c r="AK106" s="77">
        <v>3</v>
      </c>
      <c r="AL106" s="77">
        <v>3</v>
      </c>
      <c r="AM106" s="77">
        <v>0</v>
      </c>
      <c r="AN106" s="78">
        <v>0</v>
      </c>
      <c r="AO106" s="76" t="s">
        <v>88</v>
      </c>
      <c r="AP106" s="76" t="s">
        <v>163</v>
      </c>
      <c r="AQ106" s="77">
        <v>1</v>
      </c>
      <c r="AR106" s="77">
        <v>0</v>
      </c>
      <c r="AS106" s="77">
        <v>0</v>
      </c>
      <c r="AT106" s="77">
        <v>0</v>
      </c>
      <c r="AU106" s="77">
        <v>0</v>
      </c>
      <c r="AV106" s="78">
        <v>0</v>
      </c>
    </row>
    <row r="107" spans="1:48" ht="14.25" customHeight="1" x14ac:dyDescent="0.3">
      <c r="A107" s="76" t="s">
        <v>144</v>
      </c>
      <c r="B107" s="76" t="s">
        <v>164</v>
      </c>
      <c r="C107" s="77">
        <v>2</v>
      </c>
      <c r="D107" s="79">
        <v>0.5</v>
      </c>
      <c r="E107" s="77">
        <v>0</v>
      </c>
      <c r="F107" s="77">
        <v>2</v>
      </c>
      <c r="G107" s="77">
        <v>0</v>
      </c>
      <c r="H107" s="78">
        <v>0</v>
      </c>
      <c r="I107" s="76" t="s">
        <v>146</v>
      </c>
      <c r="J107" s="76" t="s">
        <v>164</v>
      </c>
      <c r="K107" s="77">
        <v>0</v>
      </c>
      <c r="L107" s="10" t="s">
        <v>80</v>
      </c>
      <c r="M107" s="77">
        <v>0</v>
      </c>
      <c r="N107" s="77">
        <v>0</v>
      </c>
      <c r="O107" s="77">
        <v>0</v>
      </c>
      <c r="P107" s="77">
        <v>0</v>
      </c>
      <c r="Q107" s="76" t="s">
        <v>87</v>
      </c>
      <c r="R107" s="76" t="s">
        <v>164</v>
      </c>
      <c r="S107" s="77">
        <v>0</v>
      </c>
      <c r="T107" s="10" t="s">
        <v>80</v>
      </c>
      <c r="U107" s="77">
        <v>0</v>
      </c>
      <c r="V107" s="77">
        <v>0</v>
      </c>
      <c r="W107" s="77">
        <v>0</v>
      </c>
      <c r="X107" s="78">
        <v>0</v>
      </c>
      <c r="Y107" s="76" t="s">
        <v>85</v>
      </c>
      <c r="Z107" s="76" t="s">
        <v>164</v>
      </c>
      <c r="AA107" s="77">
        <v>4</v>
      </c>
      <c r="AB107" s="79">
        <v>0.625</v>
      </c>
      <c r="AC107" s="77">
        <v>1</v>
      </c>
      <c r="AD107" s="77">
        <v>3</v>
      </c>
      <c r="AE107" s="77">
        <v>0</v>
      </c>
      <c r="AF107" s="77">
        <v>0</v>
      </c>
      <c r="AG107" s="76" t="s">
        <v>86</v>
      </c>
      <c r="AH107" s="76" t="s">
        <v>164</v>
      </c>
      <c r="AI107" s="77">
        <v>6</v>
      </c>
      <c r="AJ107" s="79">
        <v>0.33329999999999999</v>
      </c>
      <c r="AK107" s="77">
        <v>1</v>
      </c>
      <c r="AL107" s="77">
        <v>2</v>
      </c>
      <c r="AM107" s="77">
        <v>0</v>
      </c>
      <c r="AN107" s="78">
        <v>0</v>
      </c>
      <c r="AO107" s="76" t="s">
        <v>88</v>
      </c>
      <c r="AP107" s="76" t="s">
        <v>164</v>
      </c>
      <c r="AQ107" s="77">
        <v>0</v>
      </c>
      <c r="AR107" s="10" t="s">
        <v>80</v>
      </c>
      <c r="AS107" s="77">
        <v>0</v>
      </c>
      <c r="AT107" s="77">
        <v>0</v>
      </c>
      <c r="AU107" s="77">
        <v>0</v>
      </c>
      <c r="AV107" s="78">
        <v>0</v>
      </c>
    </row>
    <row r="108" spans="1:48" ht="14.25" customHeight="1" x14ac:dyDescent="0.3">
      <c r="A108" s="76" t="s">
        <v>144</v>
      </c>
      <c r="B108" s="110" t="s">
        <v>165</v>
      </c>
      <c r="C108" s="92">
        <v>38</v>
      </c>
      <c r="D108" s="113">
        <v>0.44740000000000002</v>
      </c>
      <c r="E108" s="92">
        <v>14</v>
      </c>
      <c r="F108" s="92">
        <v>11</v>
      </c>
      <c r="G108" s="92">
        <v>1</v>
      </c>
      <c r="H108" s="112">
        <v>2</v>
      </c>
      <c r="I108" s="76" t="s">
        <v>146</v>
      </c>
      <c r="J108" s="110" t="s">
        <v>165</v>
      </c>
      <c r="K108" s="92">
        <v>33</v>
      </c>
      <c r="L108" s="113">
        <v>0.16669999999999999</v>
      </c>
      <c r="M108" s="92">
        <v>4</v>
      </c>
      <c r="N108" s="92">
        <v>7</v>
      </c>
      <c r="O108" s="92">
        <v>2</v>
      </c>
      <c r="P108" s="92">
        <v>1</v>
      </c>
      <c r="Q108" s="76" t="s">
        <v>87</v>
      </c>
      <c r="R108" s="110" t="s">
        <v>165</v>
      </c>
      <c r="S108" s="92">
        <v>0</v>
      </c>
      <c r="T108" s="91" t="s">
        <v>80</v>
      </c>
      <c r="U108" s="92">
        <v>0</v>
      </c>
      <c r="V108" s="92">
        <v>0</v>
      </c>
      <c r="W108" s="92">
        <v>0</v>
      </c>
      <c r="X108" s="112">
        <v>0</v>
      </c>
      <c r="Y108" s="76" t="s">
        <v>85</v>
      </c>
      <c r="Z108" s="110" t="s">
        <v>165</v>
      </c>
      <c r="AA108" s="92">
        <v>29</v>
      </c>
      <c r="AB108" s="113">
        <v>0.62070000000000003</v>
      </c>
      <c r="AC108" s="92">
        <v>13</v>
      </c>
      <c r="AD108" s="92">
        <v>11</v>
      </c>
      <c r="AE108" s="92">
        <v>1</v>
      </c>
      <c r="AF108" s="92">
        <v>0</v>
      </c>
      <c r="AG108" s="76" t="s">
        <v>86</v>
      </c>
      <c r="AH108" s="110" t="s">
        <v>165</v>
      </c>
      <c r="AI108" s="92">
        <v>24</v>
      </c>
      <c r="AJ108" s="113">
        <v>0.47920000000000001</v>
      </c>
      <c r="AK108" s="92">
        <v>7</v>
      </c>
      <c r="AL108" s="92">
        <v>10</v>
      </c>
      <c r="AM108" s="92">
        <v>1</v>
      </c>
      <c r="AN108" s="112">
        <v>0</v>
      </c>
      <c r="AO108" s="76" t="s">
        <v>88</v>
      </c>
      <c r="AP108" s="110" t="s">
        <v>165</v>
      </c>
      <c r="AQ108" s="92">
        <v>0</v>
      </c>
      <c r="AR108" s="91" t="s">
        <v>80</v>
      </c>
      <c r="AS108" s="92">
        <v>0</v>
      </c>
      <c r="AT108" s="92">
        <v>0</v>
      </c>
      <c r="AU108" s="92">
        <v>0</v>
      </c>
      <c r="AV108" s="112">
        <v>0</v>
      </c>
    </row>
    <row r="109" spans="1:48" ht="14.25" customHeight="1" x14ac:dyDescent="0.3">
      <c r="A109" s="76" t="s">
        <v>144</v>
      </c>
      <c r="B109" s="76" t="s">
        <v>166</v>
      </c>
      <c r="C109" s="77">
        <v>19</v>
      </c>
      <c r="D109" s="79">
        <v>0.26319999999999999</v>
      </c>
      <c r="E109" s="77">
        <v>7</v>
      </c>
      <c r="F109" s="77">
        <v>5</v>
      </c>
      <c r="G109" s="77">
        <v>0</v>
      </c>
      <c r="H109" s="78">
        <v>2</v>
      </c>
      <c r="I109" s="76" t="s">
        <v>146</v>
      </c>
      <c r="J109" s="76" t="s">
        <v>166</v>
      </c>
      <c r="K109" s="77">
        <v>24</v>
      </c>
      <c r="L109" s="79">
        <v>8.3299999999999999E-2</v>
      </c>
      <c r="M109" s="77">
        <v>3</v>
      </c>
      <c r="N109" s="77">
        <v>5</v>
      </c>
      <c r="O109" s="77">
        <v>2</v>
      </c>
      <c r="P109" s="77">
        <v>1</v>
      </c>
      <c r="Q109" s="76" t="s">
        <v>87</v>
      </c>
      <c r="R109" s="76" t="s">
        <v>166</v>
      </c>
      <c r="S109" s="77">
        <v>0</v>
      </c>
      <c r="T109" s="10" t="s">
        <v>80</v>
      </c>
      <c r="U109" s="77">
        <v>0</v>
      </c>
      <c r="V109" s="77">
        <v>0</v>
      </c>
      <c r="W109" s="77">
        <v>0</v>
      </c>
      <c r="X109" s="78">
        <v>0</v>
      </c>
      <c r="Y109" s="76" t="s">
        <v>85</v>
      </c>
      <c r="Z109" s="76" t="s">
        <v>166</v>
      </c>
      <c r="AA109" s="77">
        <v>2</v>
      </c>
      <c r="AB109" s="79">
        <v>0.5</v>
      </c>
      <c r="AC109" s="77">
        <v>1</v>
      </c>
      <c r="AD109" s="77">
        <v>0</v>
      </c>
      <c r="AE109" s="77">
        <v>0</v>
      </c>
      <c r="AF109" s="77">
        <v>0</v>
      </c>
      <c r="AG109" s="76" t="s">
        <v>86</v>
      </c>
      <c r="AH109" s="76" t="s">
        <v>166</v>
      </c>
      <c r="AI109" s="77">
        <v>2</v>
      </c>
      <c r="AJ109" s="77">
        <v>0</v>
      </c>
      <c r="AK109" s="77">
        <v>0</v>
      </c>
      <c r="AL109" s="77">
        <v>1</v>
      </c>
      <c r="AM109" s="77">
        <v>0</v>
      </c>
      <c r="AN109" s="78">
        <v>0</v>
      </c>
      <c r="AO109" s="76" t="s">
        <v>88</v>
      </c>
      <c r="AP109" s="76" t="s">
        <v>166</v>
      </c>
      <c r="AQ109" s="77">
        <v>0</v>
      </c>
      <c r="AR109" s="10" t="s">
        <v>80</v>
      </c>
      <c r="AS109" s="77">
        <v>0</v>
      </c>
      <c r="AT109" s="77">
        <v>0</v>
      </c>
      <c r="AU109" s="77">
        <v>0</v>
      </c>
      <c r="AV109" s="78">
        <v>0</v>
      </c>
    </row>
    <row r="110" spans="1:48" ht="14.25" customHeight="1" x14ac:dyDescent="0.3">
      <c r="A110" s="76" t="s">
        <v>144</v>
      </c>
      <c r="B110" s="76" t="s">
        <v>167</v>
      </c>
      <c r="C110" s="77">
        <v>15</v>
      </c>
      <c r="D110" s="79">
        <v>0.56669999999999998</v>
      </c>
      <c r="E110" s="77">
        <v>7</v>
      </c>
      <c r="F110" s="77">
        <v>4</v>
      </c>
      <c r="G110" s="77">
        <v>1</v>
      </c>
      <c r="H110" s="78">
        <v>0</v>
      </c>
      <c r="I110" s="76" t="s">
        <v>146</v>
      </c>
      <c r="J110" s="76" t="s">
        <v>167</v>
      </c>
      <c r="K110" s="77">
        <v>9</v>
      </c>
      <c r="L110" s="79">
        <v>0.22220000000000001</v>
      </c>
      <c r="M110" s="77">
        <v>1</v>
      </c>
      <c r="N110" s="77">
        <v>2</v>
      </c>
      <c r="O110" s="77">
        <v>0</v>
      </c>
      <c r="P110" s="77">
        <v>0</v>
      </c>
      <c r="Q110" s="76" t="s">
        <v>87</v>
      </c>
      <c r="R110" s="76" t="s">
        <v>167</v>
      </c>
      <c r="S110" s="77">
        <v>0</v>
      </c>
      <c r="T110" s="10" t="s">
        <v>80</v>
      </c>
      <c r="U110" s="77">
        <v>0</v>
      </c>
      <c r="V110" s="77">
        <v>0</v>
      </c>
      <c r="W110" s="77">
        <v>0</v>
      </c>
      <c r="X110" s="78">
        <v>0</v>
      </c>
      <c r="Y110" s="76" t="s">
        <v>85</v>
      </c>
      <c r="Z110" s="76" t="s">
        <v>167</v>
      </c>
      <c r="AA110" s="77">
        <v>15</v>
      </c>
      <c r="AB110" s="79">
        <v>0.5333</v>
      </c>
      <c r="AC110" s="77">
        <v>5</v>
      </c>
      <c r="AD110" s="77">
        <v>7</v>
      </c>
      <c r="AE110" s="77">
        <v>1</v>
      </c>
      <c r="AF110" s="77">
        <v>0</v>
      </c>
      <c r="AG110" s="76" t="s">
        <v>86</v>
      </c>
      <c r="AH110" s="76" t="s">
        <v>167</v>
      </c>
      <c r="AI110" s="77">
        <v>13</v>
      </c>
      <c r="AJ110" s="79">
        <v>0.46150000000000002</v>
      </c>
      <c r="AK110" s="77">
        <v>4</v>
      </c>
      <c r="AL110" s="77">
        <v>5</v>
      </c>
      <c r="AM110" s="77">
        <v>1</v>
      </c>
      <c r="AN110" s="78">
        <v>0</v>
      </c>
      <c r="AO110" s="76" t="s">
        <v>88</v>
      </c>
      <c r="AP110" s="76" t="s">
        <v>167</v>
      </c>
      <c r="AQ110" s="77">
        <v>0</v>
      </c>
      <c r="AR110" s="10" t="s">
        <v>80</v>
      </c>
      <c r="AS110" s="77">
        <v>0</v>
      </c>
      <c r="AT110" s="77">
        <v>0</v>
      </c>
      <c r="AU110" s="77">
        <v>0</v>
      </c>
      <c r="AV110" s="78">
        <v>0</v>
      </c>
    </row>
    <row r="111" spans="1:48" ht="14.25" customHeight="1" x14ac:dyDescent="0.3">
      <c r="A111" s="76" t="s">
        <v>144</v>
      </c>
      <c r="B111" s="81" t="s">
        <v>168</v>
      </c>
      <c r="C111" s="83">
        <v>4</v>
      </c>
      <c r="D111" s="83">
        <v>0</v>
      </c>
      <c r="E111" s="83">
        <v>0</v>
      </c>
      <c r="F111" s="83">
        <v>2</v>
      </c>
      <c r="G111" s="83">
        <v>0</v>
      </c>
      <c r="H111" s="114">
        <v>0</v>
      </c>
      <c r="I111" s="76" t="s">
        <v>146</v>
      </c>
      <c r="J111" s="81" t="s">
        <v>168</v>
      </c>
      <c r="K111" s="83">
        <v>0</v>
      </c>
      <c r="L111" s="82" t="s">
        <v>80</v>
      </c>
      <c r="M111" s="83">
        <v>0</v>
      </c>
      <c r="N111" s="83">
        <v>0</v>
      </c>
      <c r="O111" s="83">
        <v>0</v>
      </c>
      <c r="P111" s="83">
        <v>0</v>
      </c>
      <c r="Q111" s="76" t="s">
        <v>87</v>
      </c>
      <c r="R111" s="81" t="s">
        <v>168</v>
      </c>
      <c r="S111" s="83">
        <v>0</v>
      </c>
      <c r="T111" s="82" t="s">
        <v>80</v>
      </c>
      <c r="U111" s="83">
        <v>0</v>
      </c>
      <c r="V111" s="83">
        <v>0</v>
      </c>
      <c r="W111" s="83">
        <v>0</v>
      </c>
      <c r="X111" s="114">
        <v>0</v>
      </c>
      <c r="Y111" s="76" t="s">
        <v>85</v>
      </c>
      <c r="Z111" s="81" t="s">
        <v>168</v>
      </c>
      <c r="AA111" s="83">
        <v>9</v>
      </c>
      <c r="AB111" s="115">
        <v>0.66669999999999996</v>
      </c>
      <c r="AC111" s="83">
        <v>6</v>
      </c>
      <c r="AD111" s="83">
        <v>2</v>
      </c>
      <c r="AE111" s="83">
        <v>0</v>
      </c>
      <c r="AF111" s="83">
        <v>0</v>
      </c>
      <c r="AG111" s="76" t="s">
        <v>86</v>
      </c>
      <c r="AH111" s="81" t="s">
        <v>168</v>
      </c>
      <c r="AI111" s="83">
        <v>9</v>
      </c>
      <c r="AJ111" s="115">
        <v>0.33329999999999999</v>
      </c>
      <c r="AK111" s="83">
        <v>3</v>
      </c>
      <c r="AL111" s="83">
        <v>4</v>
      </c>
      <c r="AM111" s="83">
        <v>0</v>
      </c>
      <c r="AN111" s="114">
        <v>0</v>
      </c>
      <c r="AO111" s="76" t="s">
        <v>88</v>
      </c>
      <c r="AP111" s="81" t="s">
        <v>168</v>
      </c>
      <c r="AQ111" s="83">
        <v>0</v>
      </c>
      <c r="AR111" s="82" t="s">
        <v>80</v>
      </c>
      <c r="AS111" s="83">
        <v>0</v>
      </c>
      <c r="AT111" s="83">
        <v>0</v>
      </c>
      <c r="AU111" s="83">
        <v>0</v>
      </c>
      <c r="AV111" s="114">
        <v>0</v>
      </c>
    </row>
    <row r="112" spans="1:48" ht="14.25" customHeight="1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</row>
    <row r="113" spans="1:48" ht="14.25" customHeight="1" x14ac:dyDescent="0.3">
      <c r="A113" s="26"/>
      <c r="B113" s="103" t="s">
        <v>169</v>
      </c>
      <c r="C113" s="104" t="s">
        <v>102</v>
      </c>
      <c r="D113" s="104" t="s">
        <v>143</v>
      </c>
      <c r="E113" s="104" t="s">
        <v>26</v>
      </c>
      <c r="F113" s="104" t="s">
        <v>103</v>
      </c>
      <c r="G113" s="104" t="s">
        <v>104</v>
      </c>
      <c r="H113" s="104" t="s">
        <v>105</v>
      </c>
      <c r="I113" s="26"/>
      <c r="J113" s="103" t="s">
        <v>169</v>
      </c>
      <c r="K113" s="104" t="s">
        <v>102</v>
      </c>
      <c r="L113" s="104" t="s">
        <v>143</v>
      </c>
      <c r="M113" s="104" t="s">
        <v>26</v>
      </c>
      <c r="N113" s="104" t="s">
        <v>103</v>
      </c>
      <c r="O113" s="104" t="s">
        <v>104</v>
      </c>
      <c r="P113" s="104" t="s">
        <v>105</v>
      </c>
      <c r="Q113" s="26"/>
      <c r="R113" s="103" t="s">
        <v>169</v>
      </c>
      <c r="S113" s="104" t="s">
        <v>102</v>
      </c>
      <c r="T113" s="104" t="s">
        <v>143</v>
      </c>
      <c r="U113" s="104" t="s">
        <v>26</v>
      </c>
      <c r="V113" s="104" t="s">
        <v>103</v>
      </c>
      <c r="W113" s="104" t="s">
        <v>104</v>
      </c>
      <c r="X113" s="105" t="s">
        <v>105</v>
      </c>
      <c r="Y113" s="26"/>
      <c r="Z113" s="103" t="s">
        <v>169</v>
      </c>
      <c r="AA113" s="104" t="s">
        <v>102</v>
      </c>
      <c r="AB113" s="104" t="s">
        <v>143</v>
      </c>
      <c r="AC113" s="104" t="s">
        <v>26</v>
      </c>
      <c r="AD113" s="104" t="s">
        <v>103</v>
      </c>
      <c r="AE113" s="104" t="s">
        <v>104</v>
      </c>
      <c r="AF113" s="104" t="s">
        <v>105</v>
      </c>
      <c r="AG113" s="26"/>
      <c r="AH113" s="103" t="s">
        <v>169</v>
      </c>
      <c r="AI113" s="104" t="s">
        <v>102</v>
      </c>
      <c r="AJ113" s="104" t="s">
        <v>143</v>
      </c>
      <c r="AK113" s="104" t="s">
        <v>26</v>
      </c>
      <c r="AL113" s="104" t="s">
        <v>103</v>
      </c>
      <c r="AM113" s="104" t="s">
        <v>104</v>
      </c>
      <c r="AN113" s="105" t="s">
        <v>105</v>
      </c>
      <c r="AO113" s="26"/>
      <c r="AP113" s="103" t="s">
        <v>169</v>
      </c>
      <c r="AQ113" s="104" t="s">
        <v>102</v>
      </c>
      <c r="AR113" s="104" t="s">
        <v>143</v>
      </c>
      <c r="AS113" s="104" t="s">
        <v>26</v>
      </c>
      <c r="AT113" s="104" t="s">
        <v>103</v>
      </c>
      <c r="AU113" s="104" t="s">
        <v>104</v>
      </c>
      <c r="AV113" s="105" t="s">
        <v>105</v>
      </c>
    </row>
    <row r="114" spans="1:48" ht="14.25" customHeight="1" x14ac:dyDescent="0.3">
      <c r="A114" s="76" t="s">
        <v>144</v>
      </c>
      <c r="B114" s="110" t="s">
        <v>170</v>
      </c>
      <c r="C114" s="92">
        <v>17</v>
      </c>
      <c r="D114" s="111">
        <v>2.9399999999999999E-2</v>
      </c>
      <c r="E114" s="92">
        <v>1</v>
      </c>
      <c r="F114" s="92">
        <v>2</v>
      </c>
      <c r="G114" s="92">
        <v>1</v>
      </c>
      <c r="H114" s="92">
        <v>1</v>
      </c>
      <c r="I114" s="76" t="s">
        <v>146</v>
      </c>
      <c r="J114" s="110" t="s">
        <v>170</v>
      </c>
      <c r="K114" s="92">
        <v>7</v>
      </c>
      <c r="L114" s="111">
        <v>0.1429</v>
      </c>
      <c r="M114" s="92">
        <v>0</v>
      </c>
      <c r="N114" s="92">
        <v>3</v>
      </c>
      <c r="O114" s="92">
        <v>1</v>
      </c>
      <c r="P114" s="92">
        <v>0</v>
      </c>
      <c r="Q114" s="76" t="s">
        <v>87</v>
      </c>
      <c r="R114" s="110" t="s">
        <v>170</v>
      </c>
      <c r="S114" s="92">
        <v>1</v>
      </c>
      <c r="T114" s="111">
        <v>0.5</v>
      </c>
      <c r="U114" s="92">
        <v>0</v>
      </c>
      <c r="V114" s="92">
        <v>1</v>
      </c>
      <c r="W114" s="92">
        <v>0</v>
      </c>
      <c r="X114" s="112">
        <v>0</v>
      </c>
      <c r="Y114" s="76" t="s">
        <v>85</v>
      </c>
      <c r="Z114" s="110" t="s">
        <v>170</v>
      </c>
      <c r="AA114" s="92">
        <v>16</v>
      </c>
      <c r="AB114" s="111">
        <v>0.125</v>
      </c>
      <c r="AC114" s="92">
        <v>5</v>
      </c>
      <c r="AD114" s="92">
        <v>2</v>
      </c>
      <c r="AE114" s="92">
        <v>0</v>
      </c>
      <c r="AF114" s="92">
        <v>4</v>
      </c>
      <c r="AG114" s="76" t="s">
        <v>86</v>
      </c>
      <c r="AH114" s="110" t="s">
        <v>170</v>
      </c>
      <c r="AI114" s="92">
        <v>15</v>
      </c>
      <c r="AJ114" s="111">
        <v>0.16669999999999999</v>
      </c>
      <c r="AK114" s="92">
        <v>3</v>
      </c>
      <c r="AL114" s="92">
        <v>4</v>
      </c>
      <c r="AM114" s="92">
        <v>1</v>
      </c>
      <c r="AN114" s="112">
        <v>2</v>
      </c>
      <c r="AO114" s="76" t="s">
        <v>88</v>
      </c>
      <c r="AP114" s="110" t="s">
        <v>170</v>
      </c>
      <c r="AQ114" s="92">
        <v>0</v>
      </c>
      <c r="AR114" s="108" t="s">
        <v>80</v>
      </c>
      <c r="AS114" s="92">
        <v>0</v>
      </c>
      <c r="AT114" s="92">
        <v>0</v>
      </c>
      <c r="AU114" s="92">
        <v>0</v>
      </c>
      <c r="AV114" s="112">
        <v>0</v>
      </c>
    </row>
    <row r="115" spans="1:48" ht="14.25" customHeight="1" x14ac:dyDescent="0.3">
      <c r="A115" s="76" t="s">
        <v>144</v>
      </c>
      <c r="B115" s="76" t="s">
        <v>171</v>
      </c>
      <c r="C115" s="77">
        <v>6</v>
      </c>
      <c r="D115" s="77">
        <v>0</v>
      </c>
      <c r="E115" s="77">
        <v>1</v>
      </c>
      <c r="F115" s="77">
        <v>0</v>
      </c>
      <c r="G115" s="77">
        <v>0</v>
      </c>
      <c r="H115" s="77">
        <v>1</v>
      </c>
      <c r="I115" s="76" t="s">
        <v>146</v>
      </c>
      <c r="J115" s="76" t="s">
        <v>171</v>
      </c>
      <c r="K115" s="77">
        <v>0</v>
      </c>
      <c r="L115" s="10" t="s">
        <v>80</v>
      </c>
      <c r="M115" s="77">
        <v>0</v>
      </c>
      <c r="N115" s="77">
        <v>0</v>
      </c>
      <c r="O115" s="77">
        <v>0</v>
      </c>
      <c r="P115" s="77">
        <v>0</v>
      </c>
      <c r="Q115" s="76" t="s">
        <v>87</v>
      </c>
      <c r="R115" s="76" t="s">
        <v>171</v>
      </c>
      <c r="S115" s="77">
        <v>1</v>
      </c>
      <c r="T115" s="77">
        <v>0</v>
      </c>
      <c r="U115" s="77">
        <v>0</v>
      </c>
      <c r="V115" s="77">
        <v>0</v>
      </c>
      <c r="W115" s="77">
        <v>0</v>
      </c>
      <c r="X115" s="78">
        <v>0</v>
      </c>
      <c r="Y115" s="76" t="s">
        <v>85</v>
      </c>
      <c r="Z115" s="76" t="s">
        <v>171</v>
      </c>
      <c r="AA115" s="77">
        <v>1</v>
      </c>
      <c r="AB115" s="77">
        <v>0</v>
      </c>
      <c r="AC115" s="77">
        <v>0</v>
      </c>
      <c r="AD115" s="77">
        <v>0</v>
      </c>
      <c r="AE115" s="77">
        <v>0</v>
      </c>
      <c r="AF115" s="77">
        <v>0</v>
      </c>
      <c r="AG115" s="76" t="s">
        <v>86</v>
      </c>
      <c r="AH115" s="76" t="s">
        <v>171</v>
      </c>
      <c r="AI115" s="77">
        <v>2</v>
      </c>
      <c r="AJ115" s="77">
        <v>0</v>
      </c>
      <c r="AK115" s="77">
        <v>0</v>
      </c>
      <c r="AL115" s="77">
        <v>0</v>
      </c>
      <c r="AM115" s="77">
        <v>0</v>
      </c>
      <c r="AN115" s="78">
        <v>0</v>
      </c>
      <c r="AO115" s="76" t="s">
        <v>88</v>
      </c>
      <c r="AP115" s="76" t="s">
        <v>171</v>
      </c>
      <c r="AQ115" s="77">
        <v>0</v>
      </c>
      <c r="AR115" s="10" t="s">
        <v>80</v>
      </c>
      <c r="AS115" s="77">
        <v>0</v>
      </c>
      <c r="AT115" s="77">
        <v>0</v>
      </c>
      <c r="AU115" s="77">
        <v>0</v>
      </c>
      <c r="AV115" s="78">
        <v>0</v>
      </c>
    </row>
    <row r="116" spans="1:48" ht="14.25" customHeight="1" x14ac:dyDescent="0.3">
      <c r="A116" s="76" t="s">
        <v>144</v>
      </c>
      <c r="B116" s="76" t="s">
        <v>172</v>
      </c>
      <c r="C116" s="77">
        <v>11</v>
      </c>
      <c r="D116" s="77">
        <v>0</v>
      </c>
      <c r="E116" s="77">
        <v>0</v>
      </c>
      <c r="F116" s="77">
        <v>2</v>
      </c>
      <c r="G116" s="77">
        <v>1</v>
      </c>
      <c r="H116" s="77">
        <v>0</v>
      </c>
      <c r="I116" s="76" t="s">
        <v>146</v>
      </c>
      <c r="J116" s="76" t="s">
        <v>172</v>
      </c>
      <c r="K116" s="77">
        <v>6</v>
      </c>
      <c r="L116" s="77">
        <v>0</v>
      </c>
      <c r="M116" s="77">
        <v>0</v>
      </c>
      <c r="N116" s="77">
        <v>3</v>
      </c>
      <c r="O116" s="77">
        <v>0</v>
      </c>
      <c r="P116" s="77">
        <v>0</v>
      </c>
      <c r="Q116" s="76" t="s">
        <v>87</v>
      </c>
      <c r="R116" s="76" t="s">
        <v>172</v>
      </c>
      <c r="S116" s="77">
        <v>0</v>
      </c>
      <c r="T116" s="10" t="s">
        <v>80</v>
      </c>
      <c r="U116" s="77">
        <v>0</v>
      </c>
      <c r="V116" s="77">
        <v>0</v>
      </c>
      <c r="W116" s="77">
        <v>0</v>
      </c>
      <c r="X116" s="78">
        <v>0</v>
      </c>
      <c r="Y116" s="76" t="s">
        <v>85</v>
      </c>
      <c r="Z116" s="76" t="s">
        <v>172</v>
      </c>
      <c r="AA116" s="77">
        <v>8</v>
      </c>
      <c r="AB116" s="79">
        <v>0.375</v>
      </c>
      <c r="AC116" s="77">
        <v>4</v>
      </c>
      <c r="AD116" s="77">
        <v>1</v>
      </c>
      <c r="AE116" s="77">
        <v>0</v>
      </c>
      <c r="AF116" s="77">
        <v>1</v>
      </c>
      <c r="AG116" s="76" t="s">
        <v>86</v>
      </c>
      <c r="AH116" s="76" t="s">
        <v>172</v>
      </c>
      <c r="AI116" s="77">
        <v>7</v>
      </c>
      <c r="AJ116" s="79">
        <v>0.1429</v>
      </c>
      <c r="AK116" s="77">
        <v>2</v>
      </c>
      <c r="AL116" s="77">
        <v>2</v>
      </c>
      <c r="AM116" s="77">
        <v>0</v>
      </c>
      <c r="AN116" s="78">
        <v>1</v>
      </c>
      <c r="AO116" s="76" t="s">
        <v>88</v>
      </c>
      <c r="AP116" s="76" t="s">
        <v>172</v>
      </c>
      <c r="AQ116" s="77">
        <v>0</v>
      </c>
      <c r="AR116" s="10" t="s">
        <v>80</v>
      </c>
      <c r="AS116" s="77">
        <v>0</v>
      </c>
      <c r="AT116" s="77">
        <v>0</v>
      </c>
      <c r="AU116" s="77">
        <v>0</v>
      </c>
      <c r="AV116" s="78">
        <v>0</v>
      </c>
    </row>
    <row r="117" spans="1:48" ht="14.25" customHeight="1" x14ac:dyDescent="0.3">
      <c r="A117" s="76" t="s">
        <v>144</v>
      </c>
      <c r="B117" s="76" t="s">
        <v>173</v>
      </c>
      <c r="C117" s="77">
        <v>0</v>
      </c>
      <c r="D117" s="10" t="s">
        <v>80</v>
      </c>
      <c r="E117" s="77">
        <v>0</v>
      </c>
      <c r="F117" s="77">
        <v>0</v>
      </c>
      <c r="G117" s="77">
        <v>0</v>
      </c>
      <c r="H117" s="77">
        <v>0</v>
      </c>
      <c r="I117" s="76" t="s">
        <v>146</v>
      </c>
      <c r="J117" s="76" t="s">
        <v>173</v>
      </c>
      <c r="K117" s="77">
        <v>1</v>
      </c>
      <c r="L117" s="77">
        <v>0</v>
      </c>
      <c r="M117" s="77">
        <v>0</v>
      </c>
      <c r="N117" s="77">
        <v>0</v>
      </c>
      <c r="O117" s="77">
        <v>1</v>
      </c>
      <c r="P117" s="77">
        <v>0</v>
      </c>
      <c r="Q117" s="76" t="s">
        <v>87</v>
      </c>
      <c r="R117" s="76" t="s">
        <v>173</v>
      </c>
      <c r="S117" s="77">
        <v>0</v>
      </c>
      <c r="T117" s="10" t="s">
        <v>80</v>
      </c>
      <c r="U117" s="77">
        <v>0</v>
      </c>
      <c r="V117" s="77">
        <v>0</v>
      </c>
      <c r="W117" s="77">
        <v>0</v>
      </c>
      <c r="X117" s="78">
        <v>0</v>
      </c>
      <c r="Y117" s="76" t="s">
        <v>85</v>
      </c>
      <c r="Z117" s="76" t="s">
        <v>173</v>
      </c>
      <c r="AA117" s="77">
        <v>7</v>
      </c>
      <c r="AB117" s="79">
        <v>-0.28570000000000001</v>
      </c>
      <c r="AC117" s="77">
        <v>1</v>
      </c>
      <c r="AD117" s="77">
        <v>1</v>
      </c>
      <c r="AE117" s="77">
        <v>0</v>
      </c>
      <c r="AF117" s="77">
        <v>3</v>
      </c>
      <c r="AG117" s="76" t="s">
        <v>86</v>
      </c>
      <c r="AH117" s="76" t="s">
        <v>173</v>
      </c>
      <c r="AI117" s="77">
        <v>6</v>
      </c>
      <c r="AJ117" s="77">
        <v>0</v>
      </c>
      <c r="AK117" s="77">
        <v>1</v>
      </c>
      <c r="AL117" s="77">
        <v>1</v>
      </c>
      <c r="AM117" s="77">
        <v>1</v>
      </c>
      <c r="AN117" s="78">
        <v>1</v>
      </c>
      <c r="AO117" s="76" t="s">
        <v>88</v>
      </c>
      <c r="AP117" s="76" t="s">
        <v>173</v>
      </c>
      <c r="AQ117" s="77">
        <v>0</v>
      </c>
      <c r="AR117" s="10" t="s">
        <v>80</v>
      </c>
      <c r="AS117" s="77">
        <v>0</v>
      </c>
      <c r="AT117" s="77">
        <v>0</v>
      </c>
      <c r="AU117" s="77">
        <v>0</v>
      </c>
      <c r="AV117" s="78">
        <v>0</v>
      </c>
    </row>
    <row r="118" spans="1:48" ht="14.25" customHeight="1" x14ac:dyDescent="0.3">
      <c r="A118" s="76" t="s">
        <v>144</v>
      </c>
      <c r="B118" s="110" t="s">
        <v>174</v>
      </c>
      <c r="C118" s="92">
        <v>12</v>
      </c>
      <c r="D118" s="113">
        <v>-0.125</v>
      </c>
      <c r="E118" s="92">
        <v>1</v>
      </c>
      <c r="F118" s="92">
        <v>1</v>
      </c>
      <c r="G118" s="92">
        <v>0</v>
      </c>
      <c r="H118" s="92">
        <v>3</v>
      </c>
      <c r="I118" s="76" t="s">
        <v>146</v>
      </c>
      <c r="J118" s="110" t="s">
        <v>174</v>
      </c>
      <c r="K118" s="92">
        <v>3</v>
      </c>
      <c r="L118" s="92">
        <v>0</v>
      </c>
      <c r="M118" s="92">
        <v>0</v>
      </c>
      <c r="N118" s="92">
        <v>0</v>
      </c>
      <c r="O118" s="92">
        <v>0</v>
      </c>
      <c r="P118" s="92">
        <v>0</v>
      </c>
      <c r="Q118" s="76" t="s">
        <v>87</v>
      </c>
      <c r="R118" s="110" t="s">
        <v>174</v>
      </c>
      <c r="S118" s="92">
        <v>1</v>
      </c>
      <c r="T118" s="113">
        <v>1.5</v>
      </c>
      <c r="U118" s="92">
        <v>1</v>
      </c>
      <c r="V118" s="92">
        <v>0</v>
      </c>
      <c r="W118" s="92">
        <v>0</v>
      </c>
      <c r="X118" s="112">
        <v>0</v>
      </c>
      <c r="Y118" s="76" t="s">
        <v>85</v>
      </c>
      <c r="Z118" s="110" t="s">
        <v>174</v>
      </c>
      <c r="AA118" s="92">
        <v>19</v>
      </c>
      <c r="AB118" s="113">
        <v>0.21049999999999999</v>
      </c>
      <c r="AC118" s="92">
        <v>4</v>
      </c>
      <c r="AD118" s="92">
        <v>7</v>
      </c>
      <c r="AE118" s="92">
        <v>0</v>
      </c>
      <c r="AF118" s="92">
        <v>2</v>
      </c>
      <c r="AG118" s="76" t="s">
        <v>86</v>
      </c>
      <c r="AH118" s="110" t="s">
        <v>174</v>
      </c>
      <c r="AI118" s="92">
        <v>19</v>
      </c>
      <c r="AJ118" s="113">
        <v>0.36840000000000001</v>
      </c>
      <c r="AK118" s="92">
        <v>6</v>
      </c>
      <c r="AL118" s="92">
        <v>6</v>
      </c>
      <c r="AM118" s="92">
        <v>2</v>
      </c>
      <c r="AN118" s="112">
        <v>1</v>
      </c>
      <c r="AO118" s="76" t="s">
        <v>88</v>
      </c>
      <c r="AP118" s="110" t="s">
        <v>174</v>
      </c>
      <c r="AQ118" s="92">
        <v>0</v>
      </c>
      <c r="AR118" s="91" t="s">
        <v>80</v>
      </c>
      <c r="AS118" s="92">
        <v>0</v>
      </c>
      <c r="AT118" s="92">
        <v>0</v>
      </c>
      <c r="AU118" s="92">
        <v>0</v>
      </c>
      <c r="AV118" s="112">
        <v>0</v>
      </c>
    </row>
    <row r="119" spans="1:48" ht="14.25" customHeight="1" x14ac:dyDescent="0.3">
      <c r="A119" s="76" t="s">
        <v>144</v>
      </c>
      <c r="B119" s="76" t="s">
        <v>175</v>
      </c>
      <c r="C119" s="77">
        <v>9</v>
      </c>
      <c r="D119" s="79">
        <v>-0.16669999999999999</v>
      </c>
      <c r="E119" s="77">
        <v>0</v>
      </c>
      <c r="F119" s="77">
        <v>1</v>
      </c>
      <c r="G119" s="77">
        <v>0</v>
      </c>
      <c r="H119" s="77">
        <v>2</v>
      </c>
      <c r="I119" s="76" t="s">
        <v>146</v>
      </c>
      <c r="J119" s="76" t="s">
        <v>175</v>
      </c>
      <c r="K119" s="77">
        <v>1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6" t="s">
        <v>87</v>
      </c>
      <c r="R119" s="76" t="s">
        <v>175</v>
      </c>
      <c r="S119" s="77">
        <v>0</v>
      </c>
      <c r="T119" s="10" t="s">
        <v>80</v>
      </c>
      <c r="U119" s="77">
        <v>0</v>
      </c>
      <c r="V119" s="77">
        <v>0</v>
      </c>
      <c r="W119" s="77">
        <v>0</v>
      </c>
      <c r="X119" s="78">
        <v>0</v>
      </c>
      <c r="Y119" s="76" t="s">
        <v>85</v>
      </c>
      <c r="Z119" s="76" t="s">
        <v>175</v>
      </c>
      <c r="AA119" s="77">
        <v>0</v>
      </c>
      <c r="AB119" s="10" t="s">
        <v>80</v>
      </c>
      <c r="AC119" s="77">
        <v>0</v>
      </c>
      <c r="AD119" s="77">
        <v>0</v>
      </c>
      <c r="AE119" s="77">
        <v>0</v>
      </c>
      <c r="AF119" s="77">
        <v>0</v>
      </c>
      <c r="AG119" s="76" t="s">
        <v>86</v>
      </c>
      <c r="AH119" s="76" t="s">
        <v>175</v>
      </c>
      <c r="AI119" s="77">
        <v>1</v>
      </c>
      <c r="AJ119" s="79">
        <v>0.5</v>
      </c>
      <c r="AK119" s="77">
        <v>0</v>
      </c>
      <c r="AL119" s="77">
        <v>1</v>
      </c>
      <c r="AM119" s="77">
        <v>0</v>
      </c>
      <c r="AN119" s="78">
        <v>0</v>
      </c>
      <c r="AO119" s="76" t="s">
        <v>88</v>
      </c>
      <c r="AP119" s="76" t="s">
        <v>175</v>
      </c>
      <c r="AQ119" s="77">
        <v>0</v>
      </c>
      <c r="AR119" s="10" t="s">
        <v>80</v>
      </c>
      <c r="AS119" s="77">
        <v>0</v>
      </c>
      <c r="AT119" s="77">
        <v>0</v>
      </c>
      <c r="AU119" s="77">
        <v>0</v>
      </c>
      <c r="AV119" s="78">
        <v>0</v>
      </c>
    </row>
    <row r="120" spans="1:48" ht="14.25" customHeight="1" x14ac:dyDescent="0.3">
      <c r="A120" s="76" t="s">
        <v>144</v>
      </c>
      <c r="B120" s="76" t="s">
        <v>176</v>
      </c>
      <c r="C120" s="77">
        <v>3</v>
      </c>
      <c r="D120" s="77">
        <v>0</v>
      </c>
      <c r="E120" s="77">
        <v>1</v>
      </c>
      <c r="F120" s="77">
        <v>0</v>
      </c>
      <c r="G120" s="77">
        <v>0</v>
      </c>
      <c r="H120" s="77">
        <v>1</v>
      </c>
      <c r="I120" s="76" t="s">
        <v>146</v>
      </c>
      <c r="J120" s="76" t="s">
        <v>176</v>
      </c>
      <c r="K120" s="77">
        <v>2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  <c r="Q120" s="76" t="s">
        <v>87</v>
      </c>
      <c r="R120" s="76" t="s">
        <v>176</v>
      </c>
      <c r="S120" s="77">
        <v>1</v>
      </c>
      <c r="T120" s="77">
        <v>1</v>
      </c>
      <c r="U120" s="77">
        <v>1</v>
      </c>
      <c r="V120" s="77">
        <v>0</v>
      </c>
      <c r="W120" s="77">
        <v>0</v>
      </c>
      <c r="X120" s="78">
        <v>0</v>
      </c>
      <c r="Y120" s="76" t="s">
        <v>85</v>
      </c>
      <c r="Z120" s="76" t="s">
        <v>176</v>
      </c>
      <c r="AA120" s="77">
        <v>15</v>
      </c>
      <c r="AB120" s="79">
        <v>0.36670000000000003</v>
      </c>
      <c r="AC120" s="77">
        <v>4</v>
      </c>
      <c r="AD120" s="77">
        <v>5</v>
      </c>
      <c r="AE120" s="77">
        <v>0</v>
      </c>
      <c r="AF120" s="77">
        <v>1</v>
      </c>
      <c r="AG120" s="76" t="s">
        <v>86</v>
      </c>
      <c r="AH120" s="76" t="s">
        <v>176</v>
      </c>
      <c r="AI120" s="77">
        <v>11</v>
      </c>
      <c r="AJ120" s="79">
        <v>0.36359999999999998</v>
      </c>
      <c r="AK120" s="77">
        <v>4</v>
      </c>
      <c r="AL120" s="77">
        <v>3</v>
      </c>
      <c r="AM120" s="77">
        <v>1</v>
      </c>
      <c r="AN120" s="78">
        <v>1</v>
      </c>
      <c r="AO120" s="76" t="s">
        <v>88</v>
      </c>
      <c r="AP120" s="76" t="s">
        <v>176</v>
      </c>
      <c r="AQ120" s="77">
        <v>0</v>
      </c>
      <c r="AR120" s="10" t="s">
        <v>80</v>
      </c>
      <c r="AS120" s="77">
        <v>0</v>
      </c>
      <c r="AT120" s="77">
        <v>0</v>
      </c>
      <c r="AU120" s="77">
        <v>0</v>
      </c>
      <c r="AV120" s="78">
        <v>0</v>
      </c>
    </row>
    <row r="121" spans="1:48" ht="14.25" customHeight="1" x14ac:dyDescent="0.3">
      <c r="A121" s="76" t="s">
        <v>144</v>
      </c>
      <c r="B121" s="76" t="s">
        <v>177</v>
      </c>
      <c r="C121" s="77">
        <v>0</v>
      </c>
      <c r="D121" s="10" t="s">
        <v>80</v>
      </c>
      <c r="E121" s="77">
        <v>0</v>
      </c>
      <c r="F121" s="77">
        <v>0</v>
      </c>
      <c r="G121" s="77">
        <v>0</v>
      </c>
      <c r="H121" s="77">
        <v>0</v>
      </c>
      <c r="I121" s="76" t="s">
        <v>146</v>
      </c>
      <c r="J121" s="76" t="s">
        <v>177</v>
      </c>
      <c r="K121" s="77">
        <v>0</v>
      </c>
      <c r="L121" s="10" t="s">
        <v>80</v>
      </c>
      <c r="M121" s="77">
        <v>0</v>
      </c>
      <c r="N121" s="77">
        <v>0</v>
      </c>
      <c r="O121" s="77">
        <v>0</v>
      </c>
      <c r="P121" s="77">
        <v>0</v>
      </c>
      <c r="Q121" s="76" t="s">
        <v>87</v>
      </c>
      <c r="R121" s="76" t="s">
        <v>177</v>
      </c>
      <c r="S121" s="77">
        <v>0</v>
      </c>
      <c r="T121" s="10" t="s">
        <v>80</v>
      </c>
      <c r="U121" s="77">
        <v>0</v>
      </c>
      <c r="V121" s="77">
        <v>0</v>
      </c>
      <c r="W121" s="77">
        <v>0</v>
      </c>
      <c r="X121" s="78">
        <v>0</v>
      </c>
      <c r="Y121" s="76" t="s">
        <v>85</v>
      </c>
      <c r="Z121" s="76" t="s">
        <v>177</v>
      </c>
      <c r="AA121" s="77">
        <v>4</v>
      </c>
      <c r="AB121" s="77">
        <v>0</v>
      </c>
      <c r="AC121" s="77">
        <v>0</v>
      </c>
      <c r="AD121" s="77">
        <v>2</v>
      </c>
      <c r="AE121" s="77">
        <v>0</v>
      </c>
      <c r="AF121" s="77">
        <v>1</v>
      </c>
      <c r="AG121" s="76" t="s">
        <v>86</v>
      </c>
      <c r="AH121" s="76" t="s">
        <v>177</v>
      </c>
      <c r="AI121" s="77">
        <v>7</v>
      </c>
      <c r="AJ121" s="79">
        <v>0.35709999999999997</v>
      </c>
      <c r="AK121" s="77">
        <v>2</v>
      </c>
      <c r="AL121" s="77">
        <v>2</v>
      </c>
      <c r="AM121" s="77">
        <v>1</v>
      </c>
      <c r="AN121" s="78">
        <v>0</v>
      </c>
      <c r="AO121" s="76" t="s">
        <v>88</v>
      </c>
      <c r="AP121" s="76" t="s">
        <v>177</v>
      </c>
      <c r="AQ121" s="77">
        <v>0</v>
      </c>
      <c r="AR121" s="10" t="s">
        <v>80</v>
      </c>
      <c r="AS121" s="77">
        <v>0</v>
      </c>
      <c r="AT121" s="77">
        <v>0</v>
      </c>
      <c r="AU121" s="77">
        <v>0</v>
      </c>
      <c r="AV121" s="78">
        <v>0</v>
      </c>
    </row>
    <row r="122" spans="1:48" ht="14.25" customHeight="1" x14ac:dyDescent="0.3">
      <c r="A122" s="76" t="s">
        <v>144</v>
      </c>
      <c r="B122" s="110" t="s">
        <v>178</v>
      </c>
      <c r="C122" s="92">
        <v>2</v>
      </c>
      <c r="D122" s="113">
        <v>-0.25</v>
      </c>
      <c r="E122" s="92">
        <v>0</v>
      </c>
      <c r="F122" s="92">
        <v>1</v>
      </c>
      <c r="G122" s="92">
        <v>0</v>
      </c>
      <c r="H122" s="92">
        <v>1</v>
      </c>
      <c r="I122" s="76" t="s">
        <v>146</v>
      </c>
      <c r="J122" s="110" t="s">
        <v>178</v>
      </c>
      <c r="K122" s="92">
        <v>3</v>
      </c>
      <c r="L122" s="113">
        <v>0.33329999999999999</v>
      </c>
      <c r="M122" s="92">
        <v>1</v>
      </c>
      <c r="N122" s="92">
        <v>0</v>
      </c>
      <c r="O122" s="92">
        <v>0</v>
      </c>
      <c r="P122" s="92">
        <v>0</v>
      </c>
      <c r="Q122" s="76" t="s">
        <v>87</v>
      </c>
      <c r="R122" s="110" t="s">
        <v>178</v>
      </c>
      <c r="S122" s="92">
        <v>1</v>
      </c>
      <c r="T122" s="92">
        <v>1</v>
      </c>
      <c r="U122" s="92">
        <v>1</v>
      </c>
      <c r="V122" s="92">
        <v>0</v>
      </c>
      <c r="W122" s="92">
        <v>0</v>
      </c>
      <c r="X122" s="112">
        <v>0</v>
      </c>
      <c r="Y122" s="76" t="s">
        <v>85</v>
      </c>
      <c r="Z122" s="110" t="s">
        <v>178</v>
      </c>
      <c r="AA122" s="92">
        <v>7</v>
      </c>
      <c r="AB122" s="113">
        <v>0.21429999999999999</v>
      </c>
      <c r="AC122" s="92">
        <v>0</v>
      </c>
      <c r="AD122" s="92">
        <v>3</v>
      </c>
      <c r="AE122" s="92">
        <v>0</v>
      </c>
      <c r="AF122" s="92">
        <v>0</v>
      </c>
      <c r="AG122" s="76" t="s">
        <v>86</v>
      </c>
      <c r="AH122" s="110" t="s">
        <v>178</v>
      </c>
      <c r="AI122" s="92">
        <v>12</v>
      </c>
      <c r="AJ122" s="113">
        <v>0.29170000000000001</v>
      </c>
      <c r="AK122" s="92">
        <v>3</v>
      </c>
      <c r="AL122" s="92">
        <v>2</v>
      </c>
      <c r="AM122" s="92">
        <v>1</v>
      </c>
      <c r="AN122" s="112">
        <v>0</v>
      </c>
      <c r="AO122" s="76" t="s">
        <v>88</v>
      </c>
      <c r="AP122" s="110" t="s">
        <v>178</v>
      </c>
      <c r="AQ122" s="92">
        <v>0</v>
      </c>
      <c r="AR122" s="91" t="s">
        <v>80</v>
      </c>
      <c r="AS122" s="92">
        <v>0</v>
      </c>
      <c r="AT122" s="92">
        <v>0</v>
      </c>
      <c r="AU122" s="92">
        <v>0</v>
      </c>
      <c r="AV122" s="112">
        <v>0</v>
      </c>
    </row>
    <row r="123" spans="1:48" ht="14.25" customHeight="1" x14ac:dyDescent="0.3">
      <c r="A123" s="76" t="s">
        <v>144</v>
      </c>
      <c r="B123" s="76" t="s">
        <v>179</v>
      </c>
      <c r="C123" s="77">
        <v>1</v>
      </c>
      <c r="D123" s="77">
        <v>-1</v>
      </c>
      <c r="E123" s="77">
        <v>0</v>
      </c>
      <c r="F123" s="77">
        <v>0</v>
      </c>
      <c r="G123" s="77">
        <v>0</v>
      </c>
      <c r="H123" s="77">
        <v>1</v>
      </c>
      <c r="I123" s="76" t="s">
        <v>146</v>
      </c>
      <c r="J123" s="76" t="s">
        <v>179</v>
      </c>
      <c r="K123" s="77">
        <v>2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  <c r="Q123" s="76" t="s">
        <v>87</v>
      </c>
      <c r="R123" s="76" t="s">
        <v>179</v>
      </c>
      <c r="S123" s="77">
        <v>0</v>
      </c>
      <c r="T123" s="10" t="s">
        <v>80</v>
      </c>
      <c r="U123" s="77">
        <v>0</v>
      </c>
      <c r="V123" s="77">
        <v>0</v>
      </c>
      <c r="W123" s="77">
        <v>0</v>
      </c>
      <c r="X123" s="78">
        <v>0</v>
      </c>
      <c r="Y123" s="76" t="s">
        <v>85</v>
      </c>
      <c r="Z123" s="76" t="s">
        <v>179</v>
      </c>
      <c r="AA123" s="77">
        <v>3</v>
      </c>
      <c r="AB123" s="77">
        <v>0</v>
      </c>
      <c r="AC123" s="77">
        <v>0</v>
      </c>
      <c r="AD123" s="77">
        <v>1</v>
      </c>
      <c r="AE123" s="77">
        <v>0</v>
      </c>
      <c r="AF123" s="77">
        <v>0</v>
      </c>
      <c r="AG123" s="76" t="s">
        <v>86</v>
      </c>
      <c r="AH123" s="76" t="s">
        <v>179</v>
      </c>
      <c r="AI123" s="77">
        <v>0</v>
      </c>
      <c r="AJ123" s="10" t="s">
        <v>80</v>
      </c>
      <c r="AK123" s="77">
        <v>0</v>
      </c>
      <c r="AL123" s="77">
        <v>0</v>
      </c>
      <c r="AM123" s="77">
        <v>0</v>
      </c>
      <c r="AN123" s="78">
        <v>0</v>
      </c>
      <c r="AO123" s="76" t="s">
        <v>88</v>
      </c>
      <c r="AP123" s="76" t="s">
        <v>179</v>
      </c>
      <c r="AQ123" s="77">
        <v>0</v>
      </c>
      <c r="AR123" s="10" t="s">
        <v>80</v>
      </c>
      <c r="AS123" s="77">
        <v>0</v>
      </c>
      <c r="AT123" s="77">
        <v>0</v>
      </c>
      <c r="AU123" s="77">
        <v>0</v>
      </c>
      <c r="AV123" s="78">
        <v>0</v>
      </c>
    </row>
    <row r="124" spans="1:48" ht="14.25" customHeight="1" x14ac:dyDescent="0.3">
      <c r="A124" s="76" t="s">
        <v>144</v>
      </c>
      <c r="B124" s="76" t="s">
        <v>180</v>
      </c>
      <c r="C124" s="77">
        <v>1</v>
      </c>
      <c r="D124" s="79">
        <v>0.5</v>
      </c>
      <c r="E124" s="77">
        <v>0</v>
      </c>
      <c r="F124" s="77">
        <v>1</v>
      </c>
      <c r="G124" s="77">
        <v>0</v>
      </c>
      <c r="H124" s="77">
        <v>0</v>
      </c>
      <c r="I124" s="76" t="s">
        <v>146</v>
      </c>
      <c r="J124" s="76" t="s">
        <v>180</v>
      </c>
      <c r="K124" s="77">
        <v>1</v>
      </c>
      <c r="L124" s="77">
        <v>1</v>
      </c>
      <c r="M124" s="77">
        <v>1</v>
      </c>
      <c r="N124" s="77">
        <v>0</v>
      </c>
      <c r="O124" s="77">
        <v>0</v>
      </c>
      <c r="P124" s="77">
        <v>0</v>
      </c>
      <c r="Q124" s="76" t="s">
        <v>87</v>
      </c>
      <c r="R124" s="76" t="s">
        <v>180</v>
      </c>
      <c r="S124" s="77">
        <v>1</v>
      </c>
      <c r="T124" s="77">
        <v>1</v>
      </c>
      <c r="U124" s="77">
        <v>1</v>
      </c>
      <c r="V124" s="77">
        <v>0</v>
      </c>
      <c r="W124" s="77">
        <v>0</v>
      </c>
      <c r="X124" s="78">
        <v>0</v>
      </c>
      <c r="Y124" s="76" t="s">
        <v>85</v>
      </c>
      <c r="Z124" s="76" t="s">
        <v>180</v>
      </c>
      <c r="AA124" s="77">
        <v>3</v>
      </c>
      <c r="AB124" s="79">
        <v>0.33329999999999999</v>
      </c>
      <c r="AC124" s="77">
        <v>0</v>
      </c>
      <c r="AD124" s="77">
        <v>2</v>
      </c>
      <c r="AE124" s="77">
        <v>0</v>
      </c>
      <c r="AF124" s="77">
        <v>0</v>
      </c>
      <c r="AG124" s="76" t="s">
        <v>86</v>
      </c>
      <c r="AH124" s="76" t="s">
        <v>180</v>
      </c>
      <c r="AI124" s="77">
        <v>5</v>
      </c>
      <c r="AJ124" s="79">
        <v>0.2</v>
      </c>
      <c r="AK124" s="77">
        <v>1</v>
      </c>
      <c r="AL124" s="77">
        <v>1</v>
      </c>
      <c r="AM124" s="77">
        <v>1</v>
      </c>
      <c r="AN124" s="78">
        <v>0</v>
      </c>
      <c r="AO124" s="76" t="s">
        <v>88</v>
      </c>
      <c r="AP124" s="76" t="s">
        <v>180</v>
      </c>
      <c r="AQ124" s="77">
        <v>0</v>
      </c>
      <c r="AR124" s="10" t="s">
        <v>80</v>
      </c>
      <c r="AS124" s="77">
        <v>0</v>
      </c>
      <c r="AT124" s="77">
        <v>0</v>
      </c>
      <c r="AU124" s="77">
        <v>0</v>
      </c>
      <c r="AV124" s="78">
        <v>0</v>
      </c>
    </row>
    <row r="125" spans="1:48" ht="14.25" customHeight="1" x14ac:dyDescent="0.3">
      <c r="A125" s="76" t="s">
        <v>144</v>
      </c>
      <c r="B125" s="81" t="s">
        <v>181</v>
      </c>
      <c r="C125" s="83">
        <v>0</v>
      </c>
      <c r="D125" s="82" t="s">
        <v>80</v>
      </c>
      <c r="E125" s="83">
        <v>0</v>
      </c>
      <c r="F125" s="83">
        <v>0</v>
      </c>
      <c r="G125" s="83">
        <v>0</v>
      </c>
      <c r="H125" s="83">
        <v>0</v>
      </c>
      <c r="I125" s="76" t="s">
        <v>146</v>
      </c>
      <c r="J125" s="81" t="s">
        <v>181</v>
      </c>
      <c r="K125" s="83">
        <v>0</v>
      </c>
      <c r="L125" s="82" t="s">
        <v>80</v>
      </c>
      <c r="M125" s="83">
        <v>0</v>
      </c>
      <c r="N125" s="83">
        <v>0</v>
      </c>
      <c r="O125" s="83">
        <v>0</v>
      </c>
      <c r="P125" s="83">
        <v>0</v>
      </c>
      <c r="Q125" s="76" t="s">
        <v>87</v>
      </c>
      <c r="R125" s="81" t="s">
        <v>181</v>
      </c>
      <c r="S125" s="83">
        <v>0</v>
      </c>
      <c r="T125" s="82" t="s">
        <v>80</v>
      </c>
      <c r="U125" s="83">
        <v>0</v>
      </c>
      <c r="V125" s="83">
        <v>0</v>
      </c>
      <c r="W125" s="83">
        <v>0</v>
      </c>
      <c r="X125" s="114">
        <v>0</v>
      </c>
      <c r="Y125" s="76" t="s">
        <v>85</v>
      </c>
      <c r="Z125" s="81" t="s">
        <v>181</v>
      </c>
      <c r="AA125" s="83">
        <v>1</v>
      </c>
      <c r="AB125" s="83">
        <v>0</v>
      </c>
      <c r="AC125" s="83">
        <v>0</v>
      </c>
      <c r="AD125" s="83">
        <v>0</v>
      </c>
      <c r="AE125" s="83">
        <v>0</v>
      </c>
      <c r="AF125" s="83">
        <v>0</v>
      </c>
      <c r="AG125" s="76" t="s">
        <v>86</v>
      </c>
      <c r="AH125" s="81" t="s">
        <v>181</v>
      </c>
      <c r="AI125" s="83">
        <v>7</v>
      </c>
      <c r="AJ125" s="115">
        <v>0.28570000000000001</v>
      </c>
      <c r="AK125" s="83">
        <v>2</v>
      </c>
      <c r="AL125" s="83">
        <v>1</v>
      </c>
      <c r="AM125" s="83">
        <v>0</v>
      </c>
      <c r="AN125" s="114">
        <v>0</v>
      </c>
      <c r="AO125" s="76" t="s">
        <v>88</v>
      </c>
      <c r="AP125" s="81" t="s">
        <v>181</v>
      </c>
      <c r="AQ125" s="83">
        <v>0</v>
      </c>
      <c r="AR125" s="82" t="s">
        <v>80</v>
      </c>
      <c r="AS125" s="83">
        <v>0</v>
      </c>
      <c r="AT125" s="83">
        <v>0</v>
      </c>
      <c r="AU125" s="83">
        <v>0</v>
      </c>
      <c r="AV125" s="114">
        <v>0</v>
      </c>
    </row>
  </sheetData>
  <mergeCells count="21">
    <mergeCell ref="A80:F80"/>
    <mergeCell ref="T80:Y80"/>
    <mergeCell ref="A1:BH1"/>
    <mergeCell ref="AW4:AW5"/>
    <mergeCell ref="A66:L66"/>
    <mergeCell ref="A2:L2"/>
    <mergeCell ref="G80:L80"/>
    <mergeCell ref="A12:A13"/>
    <mergeCell ref="M12:M13"/>
    <mergeCell ref="A35:L35"/>
    <mergeCell ref="A20:L20"/>
    <mergeCell ref="A4:A5"/>
    <mergeCell ref="N80:S80"/>
    <mergeCell ref="Y12:Y13"/>
    <mergeCell ref="M4:M5"/>
    <mergeCell ref="BJ2:BS2"/>
    <mergeCell ref="Y4:Y5"/>
    <mergeCell ref="N66:Y66"/>
    <mergeCell ref="AK4:AK5"/>
    <mergeCell ref="BJ17:BS17"/>
    <mergeCell ref="AK12:AK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showGridLines="0" zoomScaleNormal="100" workbookViewId="0">
      <selection activeCell="C28" sqref="C28"/>
    </sheetView>
  </sheetViews>
  <sheetFormatPr baseColWidth="10" defaultColWidth="8.6640625" defaultRowHeight="14.4" x14ac:dyDescent="0.3"/>
  <cols>
    <col min="2" max="2" width="14" customWidth="1"/>
    <col min="3" max="3" width="72" customWidth="1"/>
  </cols>
  <sheetData>
    <row r="1" spans="1:6" ht="27.75" customHeight="1" x14ac:dyDescent="0.3">
      <c r="A1" s="166" t="s">
        <v>0</v>
      </c>
      <c r="B1" s="151"/>
      <c r="C1" s="151"/>
      <c r="D1" s="151"/>
      <c r="E1" s="151"/>
      <c r="F1" s="1"/>
    </row>
    <row r="2" spans="1:6" ht="14.25" customHeight="1" x14ac:dyDescent="0.3">
      <c r="A2" s="1"/>
      <c r="B2" s="1"/>
      <c r="C2" s="1"/>
      <c r="D2" s="1"/>
      <c r="E2" s="1"/>
      <c r="F2" s="1"/>
    </row>
    <row r="3" spans="1:6" ht="14.25" customHeight="1" x14ac:dyDescent="0.3">
      <c r="A3" s="1"/>
      <c r="B3" s="147" t="s">
        <v>1</v>
      </c>
      <c r="C3" s="148" t="s">
        <v>2</v>
      </c>
      <c r="D3" s="1"/>
      <c r="E3" s="1"/>
      <c r="F3" s="1"/>
    </row>
    <row r="4" spans="1:6" ht="14.25" customHeight="1" x14ac:dyDescent="0.3">
      <c r="A4" s="1"/>
      <c r="B4" s="147" t="s">
        <v>3</v>
      </c>
      <c r="C4" s="148" t="s">
        <v>4</v>
      </c>
      <c r="D4" s="1"/>
      <c r="E4" s="1"/>
      <c r="F4" s="1"/>
    </row>
    <row r="5" spans="1:6" ht="14.25" customHeight="1" x14ac:dyDescent="0.3">
      <c r="A5" s="1"/>
      <c r="B5" s="147" t="s">
        <v>5</v>
      </c>
      <c r="C5" s="148" t="s">
        <v>6</v>
      </c>
      <c r="D5" s="1"/>
      <c r="E5" s="1"/>
      <c r="F5" s="1"/>
    </row>
    <row r="6" spans="1:6" ht="14.25" customHeight="1" x14ac:dyDescent="0.3">
      <c r="A6" s="1"/>
      <c r="B6" s="147" t="s">
        <v>7</v>
      </c>
      <c r="C6" s="148" t="s">
        <v>8</v>
      </c>
      <c r="D6" s="1"/>
      <c r="E6" s="1"/>
      <c r="F6" s="1"/>
    </row>
    <row r="7" spans="1:6" ht="14.25" customHeight="1" x14ac:dyDescent="0.3">
      <c r="A7" s="1"/>
      <c r="B7" s="147" t="s">
        <v>9</v>
      </c>
      <c r="C7" s="148" t="s">
        <v>10</v>
      </c>
      <c r="D7" s="1"/>
      <c r="E7" s="1"/>
      <c r="F7" s="1"/>
    </row>
    <row r="8" spans="1:6" ht="14.25" customHeight="1" x14ac:dyDescent="0.3">
      <c r="A8" s="1"/>
      <c r="B8" s="147" t="s">
        <v>11</v>
      </c>
      <c r="C8" s="148" t="s">
        <v>12</v>
      </c>
      <c r="D8" s="1"/>
      <c r="E8" s="1"/>
      <c r="F8" s="1"/>
    </row>
    <row r="9" spans="1:6" ht="14.25" customHeight="1" x14ac:dyDescent="0.3">
      <c r="A9" s="1"/>
      <c r="B9" s="147" t="s">
        <v>13</v>
      </c>
      <c r="C9" s="148" t="s">
        <v>14</v>
      </c>
      <c r="D9" s="1"/>
      <c r="E9" s="1"/>
      <c r="F9" s="1"/>
    </row>
    <row r="10" spans="1:6" ht="14.25" customHeight="1" x14ac:dyDescent="0.3">
      <c r="A10" s="1"/>
      <c r="B10" s="1"/>
      <c r="C10" s="148"/>
      <c r="D10" s="1"/>
      <c r="E10" s="1"/>
      <c r="F10" s="1"/>
    </row>
    <row r="11" spans="1:6" ht="14.25" customHeight="1" x14ac:dyDescent="0.3">
      <c r="A11" s="1"/>
      <c r="B11" s="147" t="s">
        <v>15</v>
      </c>
      <c r="C11" s="148" t="s">
        <v>16</v>
      </c>
      <c r="D11" s="1"/>
      <c r="E11" s="1"/>
      <c r="F11" s="1"/>
    </row>
    <row r="12" spans="1:6" ht="14.25" customHeight="1" x14ac:dyDescent="0.3">
      <c r="A12" s="1"/>
      <c r="B12" s="1"/>
      <c r="C12" s="148" t="s">
        <v>17</v>
      </c>
      <c r="D12" s="1"/>
      <c r="E12" s="1"/>
      <c r="F12" s="1"/>
    </row>
    <row r="13" spans="1:6" ht="14.25" customHeight="1" x14ac:dyDescent="0.3">
      <c r="A13" s="1"/>
      <c r="B13" s="1"/>
      <c r="C13" s="148" t="s">
        <v>18</v>
      </c>
      <c r="D13" s="1"/>
      <c r="E13" s="1"/>
      <c r="F13" s="1"/>
    </row>
    <row r="14" spans="1:6" ht="14.25" customHeight="1" x14ac:dyDescent="0.3">
      <c r="A14" s="1"/>
      <c r="B14" s="1"/>
      <c r="C14" s="148" t="s">
        <v>19</v>
      </c>
      <c r="D14" s="1"/>
      <c r="E14" s="1"/>
      <c r="F14" s="1"/>
    </row>
    <row r="15" spans="1:6" ht="14.25" customHeight="1" x14ac:dyDescent="0.3">
      <c r="A15" s="1"/>
      <c r="B15" s="1"/>
      <c r="C15" s="148" t="s">
        <v>20</v>
      </c>
      <c r="D15" s="1"/>
      <c r="E15" s="1"/>
      <c r="F15" s="1"/>
    </row>
    <row r="16" spans="1:6" ht="14.25" customHeight="1" x14ac:dyDescent="0.3">
      <c r="A16" s="1"/>
      <c r="B16" s="147" t="s">
        <v>21</v>
      </c>
      <c r="C16" s="148" t="s">
        <v>22</v>
      </c>
      <c r="D16" s="1"/>
      <c r="E16" s="1"/>
      <c r="F16" s="1"/>
    </row>
    <row r="17" spans="1:6" ht="14.25" customHeight="1" x14ac:dyDescent="0.3">
      <c r="A17" s="1"/>
      <c r="B17" s="147" t="s">
        <v>23</v>
      </c>
      <c r="C17" s="148" t="s">
        <v>24</v>
      </c>
      <c r="D17" s="1"/>
      <c r="E17" s="1"/>
      <c r="F17" s="1"/>
    </row>
    <row r="18" spans="1:6" ht="14.25" customHeight="1" x14ac:dyDescent="0.3">
      <c r="A18" s="1"/>
      <c r="B18" s="1"/>
      <c r="C18" s="1"/>
      <c r="D18" s="1"/>
      <c r="E18" s="1"/>
      <c r="F18" s="1"/>
    </row>
    <row r="19" spans="1:6" ht="14.25" customHeight="1" x14ac:dyDescent="0.3">
      <c r="A19" s="1"/>
      <c r="B19" s="1"/>
      <c r="C19" s="1"/>
      <c r="D19" s="1"/>
      <c r="E19" s="1"/>
      <c r="F19" s="1"/>
    </row>
    <row r="20" spans="1:6" ht="14.25" customHeight="1" x14ac:dyDescent="0.3">
      <c r="A20" s="1"/>
      <c r="B20" s="1"/>
      <c r="C20" s="1"/>
      <c r="D20" s="1"/>
      <c r="E20" s="1"/>
      <c r="F20" s="1"/>
    </row>
    <row r="21" spans="1:6" ht="14.25" customHeight="1" x14ac:dyDescent="0.3">
      <c r="A21" s="1"/>
      <c r="B21" s="1"/>
      <c r="C21" s="1"/>
      <c r="D21" s="1"/>
      <c r="E21" s="1"/>
      <c r="F21" s="1"/>
    </row>
    <row r="22" spans="1:6" ht="14.25" customHeight="1" x14ac:dyDescent="0.3">
      <c r="A22" s="1"/>
      <c r="B22" s="1"/>
      <c r="C22" s="1"/>
      <c r="D22" s="1"/>
      <c r="E22" s="1"/>
      <c r="F22" s="1"/>
    </row>
    <row r="23" spans="1:6" ht="14.25" customHeight="1" x14ac:dyDescent="0.3">
      <c r="A23" s="1"/>
      <c r="B23" s="1"/>
      <c r="C23" s="1"/>
      <c r="D23" s="1"/>
      <c r="E23" s="1"/>
      <c r="F23" s="1"/>
    </row>
    <row r="24" spans="1:6" ht="14.25" customHeight="1" x14ac:dyDescent="0.3">
      <c r="A24" s="1"/>
      <c r="B24" s="1"/>
      <c r="C24" s="1"/>
      <c r="D24" s="1"/>
      <c r="E24" s="1"/>
      <c r="F24" s="1"/>
    </row>
    <row r="25" spans="1:6" ht="14.25" customHeight="1" x14ac:dyDescent="0.3">
      <c r="A25" s="1"/>
      <c r="B25" s="1"/>
      <c r="C25" s="1"/>
      <c r="D25" s="1"/>
      <c r="E25" s="1"/>
      <c r="F25" s="1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INDICE</vt:lpstr>
      <vt:lpstr>18-05</vt:lpstr>
      <vt:lpstr>19-05</vt:lpstr>
      <vt:lpstr>21-05</vt:lpstr>
      <vt:lpstr>CASLA</vt:lpstr>
      <vt:lpstr>PRÓXIMO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Damian Verdi</dc:creator>
  <cp:lastModifiedBy>Ignacio Damian Verdi</cp:lastModifiedBy>
  <cp:revision>0</cp:revision>
  <dcterms:created xsi:type="dcterms:W3CDTF">2026-05-31T01:27:01Z</dcterms:created>
  <dcterms:modified xsi:type="dcterms:W3CDTF">2026-05-31T18:13:59Z</dcterms:modified>
  <dc:language>en-US</dc:language>
</cp:coreProperties>
</file>